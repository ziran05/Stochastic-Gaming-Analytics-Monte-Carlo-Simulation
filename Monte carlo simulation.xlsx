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1"/>
  <workbookPr showInkAnnotation="0" defaultThemeVersion="202300"/>
  <xr:revisionPtr revIDLastSave="0" documentId="8_{E62081F0-1109-7E41-9F50-72BFB3CFCDB4}" xr6:coauthVersionLast="47" xr6:coauthVersionMax="47" xr10:uidLastSave="{00000000-0000-0000-0000-000000000000}"/>
  <bookViews>
    <workbookView xWindow="0" yWindow="0" windowWidth="0" windowHeight="0" activeTab="3" xr2:uid="{00000000-000D-0000-FFFF-FFFF00000000}"/>
  </bookViews>
  <sheets>
    <sheet name="Spreadsheet data" sheetId="1" r:id="rId1"/>
    <sheet name="Cozy farm" sheetId="2" r:id="rId2"/>
    <sheet name="Events data" sheetId="3" r:id="rId3"/>
    <sheet name="Monte carlo simulation" sheetId="4" r:id="rId4"/>
    <sheet name="Test" sheetId="5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22" i="4" l="1"/>
  <c r="R22" i="4"/>
  <c r="O23" i="4"/>
  <c r="P22" i="4"/>
  <c r="P23" i="4"/>
  <c r="Q23" i="4"/>
  <c r="R23" i="4"/>
  <c r="O24" i="4"/>
  <c r="P24" i="4"/>
  <c r="Q24" i="4"/>
  <c r="R24" i="4"/>
  <c r="O25" i="4"/>
  <c r="P25" i="4"/>
  <c r="Q25" i="4"/>
  <c r="R25" i="4"/>
  <c r="O26" i="4"/>
  <c r="P26" i="4"/>
  <c r="Q26" i="4"/>
  <c r="R26" i="4"/>
  <c r="O27" i="4"/>
  <c r="P27" i="4"/>
  <c r="Q27" i="4"/>
  <c r="R27" i="4"/>
  <c r="O28" i="4"/>
  <c r="P28" i="4"/>
  <c r="Q28" i="4"/>
  <c r="R28" i="4"/>
  <c r="O29" i="4"/>
  <c r="P29" i="4"/>
  <c r="Q29" i="4"/>
  <c r="R29" i="4"/>
  <c r="O30" i="4"/>
  <c r="P30" i="4"/>
  <c r="Q30" i="4"/>
  <c r="R30" i="4"/>
  <c r="O31" i="4"/>
  <c r="P31" i="4"/>
  <c r="Q31" i="4"/>
  <c r="R31" i="4"/>
  <c r="O32" i="4"/>
  <c r="P32" i="4"/>
  <c r="Q32" i="4"/>
  <c r="R32" i="4"/>
  <c r="O33" i="4"/>
  <c r="P33" i="4"/>
  <c r="Q33" i="4"/>
  <c r="R33" i="4"/>
  <c r="O34" i="4"/>
  <c r="P34" i="4"/>
  <c r="Q34" i="4"/>
  <c r="R34" i="4"/>
  <c r="O35" i="4"/>
  <c r="P35" i="4"/>
  <c r="Q35" i="4"/>
  <c r="R35" i="4"/>
  <c r="O36" i="4"/>
  <c r="P36" i="4"/>
  <c r="Q36" i="4"/>
  <c r="R36" i="4"/>
  <c r="O37" i="4"/>
  <c r="P37" i="4"/>
  <c r="Q37" i="4"/>
  <c r="R37" i="4"/>
  <c r="O38" i="4"/>
  <c r="P38" i="4"/>
  <c r="Q38" i="4"/>
  <c r="R38" i="4"/>
  <c r="O39" i="4"/>
  <c r="P39" i="4"/>
  <c r="Q39" i="4"/>
  <c r="R39" i="4"/>
  <c r="O40" i="4"/>
  <c r="P40" i="4"/>
  <c r="Q40" i="4"/>
  <c r="R40" i="4"/>
  <c r="O41" i="4"/>
  <c r="P41" i="4"/>
  <c r="Q41" i="4"/>
  <c r="R41" i="4"/>
  <c r="O42" i="4"/>
  <c r="P42" i="4"/>
  <c r="Q42" i="4"/>
  <c r="R42" i="4"/>
  <c r="O43" i="4"/>
  <c r="P43" i="4"/>
  <c r="Q43" i="4"/>
  <c r="R43" i="4"/>
  <c r="O44" i="4"/>
  <c r="P44" i="4"/>
  <c r="Q44" i="4"/>
  <c r="R44" i="4"/>
  <c r="O45" i="4"/>
  <c r="P45" i="4"/>
  <c r="Q45" i="4"/>
  <c r="R45" i="4"/>
  <c r="O46" i="4"/>
  <c r="P46" i="4"/>
  <c r="Q46" i="4"/>
  <c r="R46" i="4"/>
  <c r="O47" i="4"/>
  <c r="P47" i="4"/>
  <c r="Q47" i="4"/>
  <c r="R47" i="4"/>
  <c r="O48" i="4"/>
  <c r="P48" i="4"/>
  <c r="Q48" i="4"/>
  <c r="R48" i="4"/>
  <c r="O49" i="4"/>
  <c r="P49" i="4"/>
  <c r="Q49" i="4"/>
  <c r="R49" i="4"/>
  <c r="O50" i="4"/>
  <c r="P50" i="4"/>
  <c r="Q50" i="4"/>
  <c r="R50" i="4"/>
  <c r="O51" i="4"/>
  <c r="P51" i="4"/>
  <c r="Q51" i="4"/>
  <c r="R51" i="4"/>
  <c r="O52" i="4"/>
  <c r="P52" i="4"/>
  <c r="Q52" i="4"/>
  <c r="R52" i="4"/>
  <c r="O53" i="4"/>
  <c r="P53" i="4"/>
  <c r="Q53" i="4"/>
  <c r="R53" i="4"/>
  <c r="O54" i="4"/>
  <c r="P54" i="4"/>
  <c r="Q54" i="4"/>
  <c r="R54" i="4"/>
  <c r="O55" i="4"/>
  <c r="P55" i="4"/>
  <c r="Q55" i="4"/>
  <c r="R55" i="4"/>
  <c r="O56" i="4"/>
  <c r="P56" i="4"/>
  <c r="Q56" i="4"/>
  <c r="R56" i="4"/>
  <c r="O57" i="4"/>
  <c r="P57" i="4"/>
  <c r="Q57" i="4"/>
  <c r="R57" i="4"/>
  <c r="O58" i="4"/>
  <c r="P58" i="4"/>
  <c r="Q58" i="4"/>
  <c r="R58" i="4"/>
  <c r="O59" i="4"/>
  <c r="P59" i="4"/>
  <c r="Q59" i="4"/>
  <c r="R59" i="4"/>
  <c r="O60" i="4"/>
  <c r="P60" i="4"/>
  <c r="Q60" i="4"/>
  <c r="R60" i="4"/>
  <c r="O61" i="4"/>
  <c r="P61" i="4"/>
  <c r="Q61" i="4"/>
  <c r="R61" i="4"/>
  <c r="O62" i="4"/>
  <c r="P62" i="4"/>
  <c r="Q62" i="4"/>
  <c r="R62" i="4"/>
  <c r="O63" i="4"/>
  <c r="P63" i="4"/>
  <c r="Q63" i="4"/>
  <c r="R63" i="4"/>
  <c r="O64" i="4"/>
  <c r="P64" i="4"/>
  <c r="Q64" i="4"/>
  <c r="R64" i="4"/>
  <c r="O65" i="4"/>
  <c r="P65" i="4"/>
  <c r="Q65" i="4"/>
  <c r="R65" i="4"/>
  <c r="O66" i="4"/>
  <c r="P66" i="4"/>
  <c r="Q66" i="4"/>
  <c r="R66" i="4"/>
  <c r="O67" i="4"/>
  <c r="P67" i="4"/>
  <c r="Q67" i="4"/>
  <c r="R67" i="4"/>
  <c r="O68" i="4"/>
  <c r="P68" i="4"/>
  <c r="Q68" i="4"/>
  <c r="R68" i="4"/>
  <c r="O69" i="4"/>
  <c r="P69" i="4"/>
  <c r="Q69" i="4"/>
  <c r="R69" i="4"/>
  <c r="O70" i="4"/>
  <c r="P70" i="4"/>
  <c r="Q70" i="4"/>
  <c r="R70" i="4"/>
  <c r="O71" i="4"/>
  <c r="P71" i="4"/>
  <c r="Q71" i="4"/>
  <c r="R71" i="4"/>
  <c r="O72" i="4"/>
  <c r="P72" i="4"/>
  <c r="Q72" i="4"/>
  <c r="R72" i="4"/>
  <c r="O73" i="4"/>
  <c r="P73" i="4"/>
  <c r="Q73" i="4"/>
  <c r="R73" i="4"/>
  <c r="O74" i="4"/>
  <c r="P74" i="4"/>
  <c r="Q74" i="4"/>
  <c r="R74" i="4"/>
  <c r="O75" i="4"/>
  <c r="P75" i="4"/>
  <c r="Q75" i="4"/>
  <c r="R75" i="4"/>
  <c r="O76" i="4"/>
  <c r="P76" i="4"/>
  <c r="Q76" i="4"/>
  <c r="R76" i="4"/>
  <c r="O77" i="4"/>
  <c r="P77" i="4"/>
  <c r="Q77" i="4"/>
  <c r="R77" i="4"/>
  <c r="O78" i="4"/>
  <c r="P78" i="4"/>
  <c r="Q78" i="4"/>
  <c r="R78" i="4"/>
  <c r="O79" i="4"/>
  <c r="P79" i="4"/>
  <c r="Q79" i="4"/>
  <c r="R79" i="4"/>
  <c r="O80" i="4"/>
  <c r="P80" i="4"/>
  <c r="Q80" i="4"/>
  <c r="R80" i="4"/>
  <c r="O81" i="4"/>
  <c r="P81" i="4"/>
  <c r="Q81" i="4"/>
  <c r="R81" i="4"/>
  <c r="O82" i="4"/>
  <c r="P82" i="4"/>
  <c r="Q82" i="4"/>
  <c r="R82" i="4"/>
  <c r="O83" i="4"/>
  <c r="P83" i="4"/>
  <c r="Q83" i="4"/>
  <c r="R83" i="4"/>
  <c r="O84" i="4"/>
  <c r="P84" i="4"/>
  <c r="Q84" i="4"/>
  <c r="R84" i="4"/>
  <c r="O85" i="4"/>
  <c r="P85" i="4"/>
  <c r="Q85" i="4"/>
  <c r="R85" i="4"/>
  <c r="O86" i="4"/>
  <c r="P86" i="4"/>
  <c r="Q86" i="4"/>
  <c r="R86" i="4"/>
  <c r="O87" i="4"/>
  <c r="P87" i="4"/>
  <c r="Q87" i="4"/>
  <c r="R87" i="4"/>
  <c r="O88" i="4"/>
  <c r="P88" i="4"/>
  <c r="Q88" i="4"/>
  <c r="R88" i="4"/>
  <c r="O89" i="4"/>
  <c r="P89" i="4"/>
  <c r="Q89" i="4"/>
  <c r="R89" i="4"/>
  <c r="O90" i="4"/>
  <c r="P90" i="4"/>
  <c r="Q90" i="4"/>
  <c r="R90" i="4"/>
  <c r="O91" i="4"/>
  <c r="P91" i="4"/>
  <c r="Q91" i="4"/>
  <c r="R91" i="4"/>
  <c r="O92" i="4"/>
  <c r="P92" i="4"/>
  <c r="Q92" i="4"/>
  <c r="R92" i="4"/>
  <c r="O93" i="4"/>
  <c r="P93" i="4"/>
  <c r="Q93" i="4"/>
  <c r="R93" i="4"/>
  <c r="O94" i="4"/>
  <c r="P94" i="4"/>
  <c r="Q94" i="4"/>
  <c r="R94" i="4"/>
  <c r="O95" i="4"/>
  <c r="P95" i="4"/>
  <c r="Q95" i="4"/>
  <c r="R95" i="4"/>
  <c r="O96" i="4"/>
  <c r="P96" i="4"/>
  <c r="Q96" i="4"/>
  <c r="R96" i="4"/>
  <c r="O97" i="4"/>
  <c r="P97" i="4"/>
  <c r="Q97" i="4"/>
  <c r="R97" i="4"/>
  <c r="O98" i="4"/>
  <c r="P98" i="4"/>
  <c r="Q98" i="4"/>
  <c r="R98" i="4"/>
  <c r="O99" i="4"/>
  <c r="P99" i="4"/>
  <c r="Q99" i="4"/>
  <c r="R99" i="4"/>
  <c r="O100" i="4"/>
  <c r="P100" i="4"/>
  <c r="Q100" i="4"/>
  <c r="R100" i="4"/>
  <c r="O101" i="4"/>
  <c r="P101" i="4"/>
  <c r="Q101" i="4"/>
  <c r="R101" i="4"/>
  <c r="O102" i="4"/>
  <c r="P102" i="4"/>
  <c r="Q102" i="4"/>
  <c r="R102" i="4"/>
  <c r="O103" i="4"/>
  <c r="P103" i="4"/>
  <c r="Q103" i="4"/>
  <c r="R103" i="4"/>
  <c r="O104" i="4"/>
  <c r="P104" i="4"/>
  <c r="Q104" i="4"/>
  <c r="R104" i="4"/>
  <c r="O105" i="4"/>
  <c r="P105" i="4"/>
  <c r="Q105" i="4"/>
  <c r="R105" i="4"/>
  <c r="O106" i="4"/>
  <c r="P106" i="4"/>
  <c r="Q106" i="4"/>
  <c r="R106" i="4"/>
  <c r="O107" i="4"/>
  <c r="P107" i="4"/>
  <c r="Q107" i="4"/>
  <c r="R107" i="4"/>
  <c r="O108" i="4"/>
  <c r="P108" i="4"/>
  <c r="Q108" i="4"/>
  <c r="R108" i="4"/>
  <c r="O109" i="4"/>
  <c r="P109" i="4"/>
  <c r="Q109" i="4"/>
  <c r="R109" i="4"/>
  <c r="O110" i="4"/>
  <c r="P110" i="4"/>
  <c r="Q110" i="4"/>
  <c r="R110" i="4"/>
  <c r="O111" i="4"/>
  <c r="P111" i="4"/>
  <c r="Q111" i="4"/>
  <c r="R111" i="4"/>
  <c r="O112" i="4"/>
  <c r="P112" i="4"/>
  <c r="Q112" i="4"/>
  <c r="R112" i="4"/>
  <c r="O113" i="4"/>
  <c r="P113" i="4"/>
  <c r="Q113" i="4"/>
  <c r="R113" i="4"/>
  <c r="O114" i="4"/>
  <c r="P114" i="4"/>
  <c r="Q114" i="4"/>
  <c r="R114" i="4"/>
  <c r="O115" i="4"/>
  <c r="P115" i="4"/>
  <c r="Q115" i="4"/>
  <c r="R115" i="4"/>
  <c r="O116" i="4"/>
  <c r="P116" i="4"/>
  <c r="Q116" i="4"/>
  <c r="R116" i="4"/>
  <c r="O117" i="4"/>
  <c r="P117" i="4"/>
  <c r="Q117" i="4"/>
  <c r="R117" i="4"/>
  <c r="O118" i="4"/>
  <c r="P118" i="4"/>
  <c r="Q118" i="4"/>
  <c r="R118" i="4"/>
  <c r="O119" i="4"/>
  <c r="P119" i="4"/>
  <c r="Q119" i="4"/>
  <c r="R119" i="4"/>
  <c r="O120" i="4"/>
  <c r="P120" i="4"/>
  <c r="Q120" i="4"/>
  <c r="R120" i="4"/>
  <c r="O121" i="4"/>
  <c r="P121" i="4"/>
  <c r="Q121" i="4"/>
  <c r="R121" i="4"/>
  <c r="O122" i="4"/>
  <c r="P122" i="4"/>
  <c r="Q122" i="4"/>
  <c r="R122" i="4"/>
  <c r="O123" i="4"/>
  <c r="P123" i="4"/>
  <c r="Q123" i="4"/>
  <c r="R123" i="4"/>
  <c r="O124" i="4"/>
  <c r="P124" i="4"/>
  <c r="Q124" i="4"/>
  <c r="R124" i="4"/>
  <c r="O125" i="4"/>
  <c r="P125" i="4"/>
  <c r="Q125" i="4"/>
  <c r="R125" i="4"/>
  <c r="O126" i="4"/>
  <c r="P126" i="4"/>
  <c r="Q126" i="4"/>
  <c r="R126" i="4"/>
  <c r="O127" i="4"/>
  <c r="P127" i="4"/>
  <c r="Q127" i="4"/>
  <c r="R127" i="4"/>
  <c r="O128" i="4"/>
  <c r="P128" i="4"/>
  <c r="Q128" i="4"/>
  <c r="R128" i="4"/>
  <c r="O129" i="4"/>
  <c r="P129" i="4"/>
  <c r="Q129" i="4"/>
  <c r="R129" i="4"/>
  <c r="O130" i="4"/>
  <c r="P130" i="4"/>
  <c r="Q130" i="4"/>
  <c r="R130" i="4"/>
  <c r="O131" i="4"/>
  <c r="P131" i="4"/>
  <c r="Q131" i="4"/>
  <c r="R131" i="4"/>
  <c r="O132" i="4"/>
  <c r="P132" i="4"/>
  <c r="Q132" i="4"/>
  <c r="R132" i="4"/>
  <c r="O133" i="4"/>
  <c r="P133" i="4"/>
  <c r="Q133" i="4"/>
  <c r="R133" i="4"/>
  <c r="O134" i="4"/>
  <c r="P134" i="4"/>
  <c r="Q134" i="4"/>
  <c r="R134" i="4"/>
  <c r="O135" i="4"/>
  <c r="P135" i="4"/>
  <c r="Q135" i="4"/>
  <c r="R135" i="4"/>
  <c r="O136" i="4"/>
  <c r="P136" i="4"/>
  <c r="Q136" i="4"/>
  <c r="R136" i="4"/>
  <c r="O137" i="4"/>
  <c r="P137" i="4"/>
  <c r="Q137" i="4"/>
  <c r="R137" i="4"/>
  <c r="O138" i="4"/>
  <c r="P138" i="4"/>
  <c r="Q138" i="4"/>
  <c r="R138" i="4"/>
  <c r="O139" i="4"/>
  <c r="P139" i="4"/>
  <c r="Q139" i="4"/>
  <c r="R139" i="4"/>
  <c r="O140" i="4"/>
  <c r="P140" i="4"/>
  <c r="Q140" i="4"/>
  <c r="R140" i="4"/>
  <c r="O141" i="4"/>
  <c r="P141" i="4"/>
  <c r="Q141" i="4"/>
  <c r="R141" i="4"/>
  <c r="O142" i="4"/>
  <c r="P142" i="4"/>
  <c r="Q142" i="4"/>
  <c r="R142" i="4"/>
  <c r="O143" i="4"/>
  <c r="P143" i="4"/>
  <c r="Q143" i="4"/>
  <c r="R143" i="4"/>
  <c r="O144" i="4"/>
  <c r="P144" i="4"/>
  <c r="Q144" i="4"/>
  <c r="R144" i="4"/>
  <c r="O145" i="4"/>
  <c r="P145" i="4"/>
  <c r="Q145" i="4"/>
  <c r="R145" i="4"/>
  <c r="O146" i="4"/>
  <c r="P146" i="4"/>
  <c r="Q146" i="4"/>
  <c r="R146" i="4"/>
  <c r="O147" i="4"/>
  <c r="P147" i="4"/>
  <c r="Q147" i="4"/>
  <c r="R147" i="4"/>
  <c r="O148" i="4"/>
  <c r="P148" i="4"/>
  <c r="Q148" i="4"/>
  <c r="R148" i="4"/>
  <c r="O149" i="4"/>
  <c r="P149" i="4"/>
  <c r="Q149" i="4"/>
  <c r="R149" i="4"/>
  <c r="O150" i="4"/>
  <c r="P150" i="4"/>
  <c r="Q150" i="4"/>
  <c r="R150" i="4"/>
  <c r="O151" i="4"/>
  <c r="P151" i="4"/>
  <c r="Q151" i="4"/>
  <c r="R151" i="4"/>
  <c r="O152" i="4"/>
  <c r="P152" i="4"/>
  <c r="Q152" i="4"/>
  <c r="R152" i="4"/>
  <c r="O153" i="4"/>
  <c r="P153" i="4"/>
  <c r="Q153" i="4"/>
  <c r="R153" i="4"/>
  <c r="O154" i="4"/>
  <c r="P154" i="4"/>
  <c r="Q154" i="4"/>
  <c r="R154" i="4"/>
  <c r="O155" i="4"/>
  <c r="P155" i="4"/>
  <c r="Q155" i="4"/>
  <c r="R155" i="4"/>
  <c r="O156" i="4"/>
  <c r="P156" i="4"/>
  <c r="Q156" i="4"/>
  <c r="R156" i="4"/>
  <c r="O157" i="4"/>
  <c r="P157" i="4"/>
  <c r="Q157" i="4"/>
  <c r="R157" i="4"/>
  <c r="O158" i="4"/>
  <c r="P158" i="4"/>
  <c r="Q158" i="4"/>
  <c r="R158" i="4"/>
  <c r="O159" i="4"/>
  <c r="P159" i="4"/>
  <c r="Q159" i="4"/>
  <c r="R159" i="4"/>
  <c r="O160" i="4"/>
  <c r="P160" i="4"/>
  <c r="Q160" i="4"/>
  <c r="R160" i="4"/>
  <c r="O161" i="4"/>
  <c r="P161" i="4"/>
  <c r="Q161" i="4"/>
  <c r="R161" i="4"/>
  <c r="O162" i="4"/>
  <c r="P162" i="4"/>
  <c r="Q162" i="4"/>
  <c r="R162" i="4"/>
  <c r="O163" i="4"/>
  <c r="P163" i="4"/>
  <c r="Q163" i="4"/>
  <c r="R163" i="4"/>
  <c r="O164" i="4"/>
  <c r="P164" i="4"/>
  <c r="Q164" i="4"/>
  <c r="R164" i="4"/>
  <c r="O165" i="4"/>
  <c r="P165" i="4"/>
  <c r="Q165" i="4"/>
  <c r="R165" i="4"/>
  <c r="O166" i="4"/>
  <c r="P166" i="4"/>
  <c r="Q166" i="4"/>
  <c r="R166" i="4"/>
  <c r="O167" i="4"/>
  <c r="P167" i="4"/>
  <c r="Q167" i="4"/>
  <c r="R167" i="4"/>
  <c r="O168" i="4"/>
  <c r="P168" i="4"/>
  <c r="Q168" i="4"/>
  <c r="R168" i="4"/>
  <c r="O169" i="4"/>
  <c r="P169" i="4"/>
  <c r="Q169" i="4"/>
  <c r="R169" i="4"/>
  <c r="O170" i="4"/>
  <c r="P170" i="4"/>
  <c r="Q170" i="4"/>
  <c r="R170" i="4"/>
  <c r="O171" i="4"/>
  <c r="P171" i="4"/>
  <c r="Q171" i="4"/>
  <c r="R171" i="4"/>
  <c r="O172" i="4"/>
  <c r="P172" i="4"/>
  <c r="Q172" i="4"/>
  <c r="R172" i="4"/>
  <c r="O173" i="4"/>
  <c r="P173" i="4"/>
  <c r="Q173" i="4"/>
  <c r="R173" i="4"/>
  <c r="O174" i="4"/>
  <c r="P174" i="4"/>
  <c r="Q174" i="4"/>
  <c r="R174" i="4"/>
  <c r="O175" i="4"/>
  <c r="P175" i="4"/>
  <c r="Q175" i="4"/>
  <c r="R175" i="4"/>
  <c r="O176" i="4"/>
  <c r="P176" i="4"/>
  <c r="Q176" i="4"/>
  <c r="R176" i="4"/>
  <c r="O177" i="4"/>
  <c r="P177" i="4"/>
  <c r="Q177" i="4"/>
  <c r="R177" i="4"/>
  <c r="O178" i="4"/>
  <c r="P178" i="4"/>
  <c r="Q178" i="4"/>
  <c r="R178" i="4"/>
  <c r="O179" i="4"/>
  <c r="P179" i="4"/>
  <c r="Q179" i="4"/>
  <c r="R179" i="4"/>
  <c r="O180" i="4"/>
  <c r="P180" i="4"/>
  <c r="Q180" i="4"/>
  <c r="R180" i="4"/>
  <c r="O181" i="4"/>
  <c r="P181" i="4"/>
  <c r="Q181" i="4"/>
  <c r="R181" i="4"/>
  <c r="O182" i="4"/>
  <c r="P182" i="4"/>
  <c r="Q182" i="4"/>
  <c r="R182" i="4"/>
  <c r="O183" i="4"/>
  <c r="P183" i="4"/>
  <c r="Q183" i="4"/>
  <c r="R183" i="4"/>
  <c r="O184" i="4"/>
  <c r="P184" i="4"/>
  <c r="Q184" i="4"/>
  <c r="R184" i="4"/>
  <c r="O185" i="4"/>
  <c r="P185" i="4"/>
  <c r="Q185" i="4"/>
  <c r="R185" i="4"/>
  <c r="O186" i="4"/>
  <c r="P186" i="4"/>
  <c r="Q186" i="4"/>
  <c r="R186" i="4"/>
  <c r="O187" i="4"/>
  <c r="P187" i="4"/>
  <c r="Q187" i="4"/>
  <c r="R187" i="4"/>
  <c r="O188" i="4"/>
  <c r="P188" i="4"/>
  <c r="Q188" i="4"/>
  <c r="R188" i="4"/>
  <c r="O189" i="4"/>
  <c r="P189" i="4"/>
  <c r="Q189" i="4"/>
  <c r="R189" i="4"/>
  <c r="O190" i="4"/>
  <c r="P190" i="4"/>
  <c r="Q190" i="4"/>
  <c r="R190" i="4"/>
  <c r="O191" i="4"/>
  <c r="P191" i="4"/>
  <c r="Q191" i="4"/>
  <c r="R191" i="4"/>
  <c r="O192" i="4"/>
  <c r="P192" i="4"/>
  <c r="Q192" i="4"/>
  <c r="R192" i="4"/>
  <c r="O193" i="4"/>
  <c r="P193" i="4"/>
  <c r="Q193" i="4"/>
  <c r="R193" i="4"/>
  <c r="O194" i="4"/>
  <c r="P194" i="4"/>
  <c r="Q194" i="4"/>
  <c r="R194" i="4"/>
  <c r="O195" i="4"/>
  <c r="P195" i="4"/>
  <c r="Q195" i="4"/>
  <c r="R195" i="4"/>
  <c r="O196" i="4"/>
  <c r="P196" i="4"/>
  <c r="Q196" i="4"/>
  <c r="R196" i="4"/>
  <c r="O197" i="4"/>
  <c r="P197" i="4"/>
  <c r="Q197" i="4"/>
  <c r="R197" i="4"/>
  <c r="O198" i="4"/>
  <c r="P198" i="4"/>
  <c r="Q198" i="4"/>
  <c r="R198" i="4"/>
  <c r="O199" i="4"/>
  <c r="P199" i="4"/>
  <c r="Q199" i="4"/>
  <c r="R199" i="4"/>
  <c r="O200" i="4"/>
  <c r="P200" i="4"/>
  <c r="Q200" i="4"/>
  <c r="R200" i="4"/>
  <c r="O201" i="4"/>
  <c r="P201" i="4"/>
  <c r="Q201" i="4"/>
  <c r="R201" i="4"/>
  <c r="O202" i="4"/>
  <c r="P202" i="4"/>
  <c r="Q202" i="4"/>
  <c r="R202" i="4"/>
  <c r="O203" i="4"/>
  <c r="P203" i="4"/>
  <c r="Q203" i="4"/>
  <c r="R203" i="4"/>
  <c r="O204" i="4"/>
  <c r="P204" i="4"/>
  <c r="Q204" i="4"/>
  <c r="R204" i="4"/>
  <c r="O205" i="4"/>
  <c r="P205" i="4"/>
  <c r="Q205" i="4"/>
  <c r="R205" i="4"/>
  <c r="O206" i="4"/>
  <c r="P206" i="4"/>
  <c r="Q206" i="4"/>
  <c r="R206" i="4"/>
  <c r="O207" i="4"/>
  <c r="P207" i="4"/>
  <c r="Q207" i="4"/>
  <c r="R207" i="4"/>
  <c r="O208" i="4"/>
  <c r="P208" i="4"/>
  <c r="Q208" i="4"/>
  <c r="R208" i="4"/>
  <c r="O209" i="4"/>
  <c r="P209" i="4"/>
  <c r="Q209" i="4"/>
  <c r="R209" i="4"/>
  <c r="O210" i="4"/>
  <c r="P210" i="4"/>
  <c r="Q210" i="4"/>
  <c r="R210" i="4"/>
  <c r="O211" i="4"/>
  <c r="P211" i="4"/>
  <c r="Q211" i="4"/>
  <c r="R211" i="4"/>
  <c r="O212" i="4"/>
  <c r="P212" i="4"/>
  <c r="Q212" i="4"/>
  <c r="R212" i="4"/>
  <c r="O213" i="4"/>
  <c r="P213" i="4"/>
  <c r="Q213" i="4"/>
  <c r="R213" i="4"/>
  <c r="O214" i="4"/>
  <c r="P214" i="4"/>
  <c r="Q214" i="4"/>
  <c r="R214" i="4"/>
  <c r="O215" i="4"/>
  <c r="P215" i="4"/>
  <c r="Q215" i="4"/>
  <c r="R215" i="4"/>
  <c r="O216" i="4"/>
  <c r="P216" i="4"/>
  <c r="Q216" i="4"/>
  <c r="R216" i="4"/>
  <c r="O217" i="4"/>
  <c r="P217" i="4"/>
  <c r="Q217" i="4"/>
  <c r="R217" i="4"/>
  <c r="O218" i="4"/>
  <c r="P218" i="4"/>
  <c r="Q218" i="4"/>
  <c r="R218" i="4"/>
  <c r="O219" i="4"/>
  <c r="P219" i="4"/>
  <c r="Q219" i="4"/>
  <c r="R219" i="4"/>
  <c r="O220" i="4"/>
  <c r="P220" i="4"/>
  <c r="Q220" i="4"/>
  <c r="R220" i="4"/>
  <c r="O221" i="4"/>
  <c r="P221" i="4"/>
  <c r="Q221" i="4"/>
  <c r="R221" i="4"/>
  <c r="O222" i="4"/>
  <c r="P222" i="4"/>
  <c r="Q222" i="4"/>
  <c r="R222" i="4"/>
  <c r="O223" i="4"/>
  <c r="P223" i="4"/>
  <c r="Q223" i="4"/>
  <c r="R223" i="4"/>
  <c r="O224" i="4"/>
  <c r="P224" i="4"/>
  <c r="Q224" i="4"/>
  <c r="R224" i="4"/>
  <c r="O225" i="4"/>
  <c r="P225" i="4"/>
  <c r="Q225" i="4"/>
  <c r="R225" i="4"/>
  <c r="O226" i="4"/>
  <c r="P226" i="4"/>
  <c r="Q226" i="4"/>
  <c r="R226" i="4"/>
  <c r="O227" i="4"/>
  <c r="P227" i="4"/>
  <c r="Q227" i="4"/>
  <c r="R227" i="4"/>
  <c r="O228" i="4"/>
  <c r="P228" i="4"/>
  <c r="Q228" i="4"/>
  <c r="R228" i="4"/>
  <c r="O229" i="4"/>
  <c r="P229" i="4"/>
  <c r="Q229" i="4"/>
  <c r="R229" i="4"/>
  <c r="O230" i="4"/>
  <c r="P230" i="4"/>
  <c r="Q230" i="4"/>
  <c r="R230" i="4"/>
  <c r="O231" i="4"/>
  <c r="P231" i="4"/>
  <c r="Q231" i="4"/>
  <c r="R231" i="4"/>
  <c r="O232" i="4"/>
  <c r="P232" i="4"/>
  <c r="Q232" i="4"/>
  <c r="R232" i="4"/>
  <c r="O233" i="4"/>
  <c r="P233" i="4"/>
  <c r="Q233" i="4"/>
  <c r="R233" i="4"/>
  <c r="O234" i="4"/>
  <c r="P234" i="4"/>
  <c r="Q234" i="4"/>
  <c r="R234" i="4"/>
  <c r="O235" i="4"/>
  <c r="P235" i="4"/>
  <c r="Q235" i="4"/>
  <c r="R235" i="4"/>
  <c r="O236" i="4"/>
  <c r="P236" i="4"/>
  <c r="Q236" i="4"/>
  <c r="R236" i="4"/>
  <c r="O237" i="4"/>
  <c r="P237" i="4"/>
  <c r="Q237" i="4"/>
  <c r="R237" i="4"/>
  <c r="O238" i="4"/>
  <c r="P238" i="4"/>
  <c r="Q238" i="4"/>
  <c r="R238" i="4"/>
  <c r="O239" i="4"/>
  <c r="P239" i="4"/>
  <c r="Q239" i="4"/>
  <c r="R239" i="4"/>
  <c r="O240" i="4"/>
  <c r="P240" i="4"/>
  <c r="Q240" i="4"/>
  <c r="R240" i="4"/>
  <c r="O241" i="4"/>
  <c r="P241" i="4"/>
  <c r="Q241" i="4"/>
  <c r="R241" i="4"/>
  <c r="O242" i="4"/>
  <c r="P242" i="4"/>
  <c r="Q242" i="4"/>
  <c r="R242" i="4"/>
  <c r="O243" i="4"/>
  <c r="P243" i="4"/>
  <c r="Q243" i="4"/>
  <c r="R243" i="4"/>
  <c r="O244" i="4"/>
  <c r="P244" i="4"/>
  <c r="Q244" i="4"/>
  <c r="R244" i="4"/>
  <c r="O245" i="4"/>
  <c r="P245" i="4"/>
  <c r="Q245" i="4"/>
  <c r="R245" i="4"/>
  <c r="O246" i="4"/>
  <c r="P246" i="4"/>
  <c r="Q246" i="4"/>
  <c r="R246" i="4"/>
  <c r="O247" i="4"/>
  <c r="P247" i="4"/>
  <c r="Q247" i="4"/>
  <c r="R247" i="4"/>
  <c r="O248" i="4"/>
  <c r="P248" i="4"/>
  <c r="Q248" i="4"/>
  <c r="R248" i="4"/>
  <c r="O249" i="4"/>
  <c r="P249" i="4"/>
  <c r="Q249" i="4"/>
  <c r="R249" i="4"/>
  <c r="O250" i="4"/>
  <c r="P250" i="4"/>
  <c r="Q250" i="4"/>
  <c r="R250" i="4"/>
  <c r="O251" i="4"/>
  <c r="P251" i="4"/>
  <c r="Q251" i="4"/>
  <c r="R251" i="4"/>
  <c r="O252" i="4"/>
  <c r="P252" i="4"/>
  <c r="Q252" i="4"/>
  <c r="R252" i="4"/>
  <c r="O253" i="4"/>
  <c r="P253" i="4"/>
  <c r="Q253" i="4"/>
  <c r="R253" i="4"/>
  <c r="O254" i="4"/>
  <c r="P254" i="4"/>
  <c r="Q254" i="4"/>
  <c r="R254" i="4"/>
  <c r="O255" i="4"/>
  <c r="P255" i="4"/>
  <c r="Q255" i="4"/>
  <c r="R255" i="4"/>
  <c r="O256" i="4"/>
  <c r="P256" i="4"/>
  <c r="Q256" i="4"/>
  <c r="R256" i="4"/>
  <c r="O257" i="4"/>
  <c r="P257" i="4"/>
  <c r="Q257" i="4"/>
  <c r="R257" i="4"/>
  <c r="O258" i="4"/>
  <c r="P258" i="4"/>
  <c r="Q258" i="4"/>
  <c r="R258" i="4"/>
  <c r="O259" i="4"/>
  <c r="P259" i="4"/>
  <c r="Q259" i="4"/>
  <c r="R259" i="4"/>
  <c r="O260" i="4"/>
  <c r="P260" i="4"/>
  <c r="Q260" i="4"/>
  <c r="R260" i="4"/>
  <c r="O261" i="4"/>
  <c r="P261" i="4"/>
  <c r="Q261" i="4"/>
  <c r="R261" i="4"/>
  <c r="O262" i="4"/>
  <c r="P262" i="4"/>
  <c r="Q262" i="4"/>
  <c r="R262" i="4"/>
  <c r="O263" i="4"/>
  <c r="P263" i="4"/>
  <c r="Q263" i="4"/>
  <c r="R263" i="4"/>
  <c r="O264" i="4"/>
  <c r="P264" i="4"/>
  <c r="Q264" i="4"/>
  <c r="R264" i="4"/>
  <c r="O265" i="4"/>
  <c r="P265" i="4"/>
  <c r="Q265" i="4"/>
  <c r="R265" i="4"/>
  <c r="O266" i="4"/>
  <c r="P266" i="4"/>
  <c r="Q266" i="4"/>
  <c r="R266" i="4"/>
  <c r="O267" i="4"/>
  <c r="P267" i="4"/>
  <c r="Q267" i="4"/>
  <c r="R267" i="4"/>
  <c r="O268" i="4"/>
  <c r="P268" i="4"/>
  <c r="Q268" i="4"/>
  <c r="R268" i="4"/>
  <c r="O269" i="4"/>
  <c r="P269" i="4"/>
  <c r="Q269" i="4"/>
  <c r="R269" i="4"/>
  <c r="O270" i="4"/>
  <c r="P270" i="4"/>
  <c r="Q270" i="4"/>
  <c r="R270" i="4"/>
  <c r="O271" i="4"/>
  <c r="P271" i="4"/>
  <c r="Q271" i="4"/>
  <c r="R271" i="4"/>
  <c r="O272" i="4"/>
  <c r="P272" i="4"/>
  <c r="Q272" i="4"/>
  <c r="R272" i="4"/>
  <c r="O273" i="4"/>
  <c r="P273" i="4"/>
  <c r="Q273" i="4"/>
  <c r="R273" i="4"/>
  <c r="O274" i="4"/>
  <c r="P274" i="4"/>
  <c r="Q274" i="4"/>
  <c r="R274" i="4"/>
  <c r="O275" i="4"/>
  <c r="P275" i="4"/>
  <c r="Q275" i="4"/>
  <c r="R275" i="4"/>
  <c r="O276" i="4"/>
  <c r="P276" i="4"/>
  <c r="Q276" i="4"/>
  <c r="R276" i="4"/>
  <c r="O277" i="4"/>
  <c r="P277" i="4"/>
  <c r="Q277" i="4"/>
  <c r="R277" i="4"/>
  <c r="O278" i="4"/>
  <c r="P278" i="4"/>
  <c r="Q278" i="4"/>
  <c r="R278" i="4"/>
  <c r="O279" i="4"/>
  <c r="P279" i="4"/>
  <c r="Q279" i="4"/>
  <c r="R279" i="4"/>
  <c r="O280" i="4"/>
  <c r="P280" i="4"/>
  <c r="Q280" i="4"/>
  <c r="R280" i="4"/>
  <c r="O281" i="4"/>
  <c r="P281" i="4"/>
  <c r="Q281" i="4"/>
  <c r="R281" i="4"/>
  <c r="O282" i="4"/>
  <c r="P282" i="4"/>
  <c r="Q282" i="4"/>
  <c r="R282" i="4"/>
  <c r="O283" i="4"/>
  <c r="P283" i="4"/>
  <c r="Q283" i="4"/>
  <c r="R283" i="4"/>
  <c r="O284" i="4"/>
  <c r="P284" i="4"/>
  <c r="Q284" i="4"/>
  <c r="R284" i="4"/>
  <c r="O285" i="4"/>
  <c r="P285" i="4"/>
  <c r="Q285" i="4"/>
  <c r="R285" i="4"/>
  <c r="O286" i="4"/>
  <c r="P286" i="4"/>
  <c r="Q286" i="4"/>
  <c r="R286" i="4"/>
  <c r="O287" i="4"/>
  <c r="P287" i="4"/>
  <c r="Q287" i="4"/>
  <c r="R287" i="4"/>
  <c r="O288" i="4"/>
  <c r="P288" i="4"/>
  <c r="Q288" i="4"/>
  <c r="R288" i="4"/>
  <c r="O289" i="4"/>
  <c r="P289" i="4"/>
  <c r="Q289" i="4"/>
  <c r="R289" i="4"/>
  <c r="O290" i="4"/>
  <c r="P290" i="4"/>
  <c r="Q290" i="4"/>
  <c r="R290" i="4"/>
  <c r="O291" i="4"/>
  <c r="P291" i="4"/>
  <c r="Q291" i="4"/>
  <c r="R291" i="4"/>
  <c r="O292" i="4"/>
  <c r="P292" i="4"/>
  <c r="Q292" i="4"/>
  <c r="R292" i="4"/>
  <c r="O293" i="4"/>
  <c r="P293" i="4"/>
  <c r="Q293" i="4"/>
  <c r="R293" i="4"/>
  <c r="O294" i="4"/>
  <c r="P294" i="4"/>
  <c r="Q294" i="4"/>
  <c r="R294" i="4"/>
  <c r="O295" i="4"/>
  <c r="P295" i="4"/>
  <c r="Q295" i="4"/>
  <c r="R295" i="4"/>
  <c r="O296" i="4"/>
  <c r="P296" i="4"/>
  <c r="Q296" i="4"/>
  <c r="R296" i="4"/>
  <c r="O297" i="4"/>
  <c r="P297" i="4"/>
  <c r="Q297" i="4"/>
  <c r="R297" i="4"/>
  <c r="O298" i="4"/>
  <c r="P298" i="4"/>
  <c r="Q298" i="4"/>
  <c r="R298" i="4"/>
  <c r="O299" i="4"/>
  <c r="P299" i="4"/>
  <c r="Q299" i="4"/>
  <c r="R299" i="4"/>
  <c r="O300" i="4"/>
  <c r="P300" i="4"/>
  <c r="Q300" i="4"/>
  <c r="R300" i="4"/>
  <c r="O301" i="4"/>
  <c r="P301" i="4"/>
  <c r="Q301" i="4"/>
  <c r="R301" i="4"/>
  <c r="O302" i="4"/>
  <c r="P302" i="4"/>
  <c r="Q302" i="4"/>
  <c r="R302" i="4"/>
  <c r="O303" i="4"/>
  <c r="P303" i="4"/>
  <c r="Q303" i="4"/>
  <c r="R303" i="4"/>
  <c r="O304" i="4"/>
  <c r="P304" i="4"/>
  <c r="Q304" i="4"/>
  <c r="R304" i="4"/>
  <c r="O305" i="4"/>
  <c r="P305" i="4"/>
  <c r="Q305" i="4"/>
  <c r="R305" i="4"/>
  <c r="O306" i="4"/>
  <c r="P306" i="4"/>
  <c r="Q306" i="4"/>
  <c r="R306" i="4"/>
  <c r="O307" i="4"/>
  <c r="P307" i="4"/>
  <c r="Q307" i="4"/>
  <c r="R307" i="4"/>
  <c r="O308" i="4"/>
  <c r="P308" i="4"/>
  <c r="Q308" i="4"/>
  <c r="R308" i="4"/>
  <c r="O309" i="4"/>
  <c r="P309" i="4"/>
  <c r="Q309" i="4"/>
  <c r="R309" i="4"/>
  <c r="O310" i="4"/>
  <c r="P310" i="4"/>
  <c r="Q310" i="4"/>
  <c r="R310" i="4"/>
  <c r="O311" i="4"/>
  <c r="P311" i="4"/>
  <c r="Q311" i="4"/>
  <c r="R311" i="4"/>
  <c r="O312" i="4"/>
  <c r="P312" i="4"/>
  <c r="Q312" i="4"/>
  <c r="R312" i="4"/>
  <c r="O313" i="4"/>
  <c r="P313" i="4"/>
  <c r="Q313" i="4"/>
  <c r="R313" i="4"/>
  <c r="O314" i="4"/>
  <c r="P314" i="4"/>
  <c r="Q314" i="4"/>
  <c r="R314" i="4"/>
  <c r="O315" i="4"/>
  <c r="P315" i="4"/>
  <c r="Q315" i="4"/>
  <c r="R315" i="4"/>
  <c r="O316" i="4"/>
  <c r="P316" i="4"/>
  <c r="Q316" i="4"/>
  <c r="R316" i="4"/>
  <c r="O317" i="4"/>
  <c r="P317" i="4"/>
  <c r="Q317" i="4"/>
  <c r="R317" i="4"/>
  <c r="O318" i="4"/>
  <c r="P318" i="4"/>
  <c r="Q318" i="4"/>
  <c r="R318" i="4"/>
  <c r="O319" i="4"/>
  <c r="P319" i="4"/>
  <c r="Q319" i="4"/>
  <c r="R319" i="4"/>
  <c r="O320" i="4"/>
  <c r="P320" i="4"/>
  <c r="Q320" i="4"/>
  <c r="R320" i="4"/>
  <c r="O321" i="4"/>
  <c r="P321" i="4"/>
  <c r="Q321" i="4"/>
  <c r="R321" i="4"/>
  <c r="O322" i="4"/>
  <c r="P322" i="4"/>
  <c r="Q322" i="4"/>
  <c r="R322" i="4"/>
  <c r="O323" i="4"/>
  <c r="P323" i="4"/>
  <c r="Q323" i="4"/>
  <c r="R323" i="4"/>
  <c r="O324" i="4"/>
  <c r="P324" i="4"/>
  <c r="Q324" i="4"/>
  <c r="R324" i="4"/>
  <c r="O325" i="4"/>
  <c r="P325" i="4"/>
  <c r="Q325" i="4"/>
  <c r="R325" i="4"/>
  <c r="O326" i="4"/>
  <c r="P326" i="4"/>
  <c r="Q326" i="4"/>
  <c r="R326" i="4"/>
  <c r="O327" i="4"/>
  <c r="P327" i="4"/>
  <c r="Q327" i="4"/>
  <c r="R327" i="4"/>
  <c r="O328" i="4"/>
  <c r="P328" i="4"/>
  <c r="Q328" i="4"/>
  <c r="R328" i="4"/>
  <c r="O329" i="4"/>
  <c r="P329" i="4"/>
  <c r="Q329" i="4"/>
  <c r="R329" i="4"/>
  <c r="O330" i="4"/>
  <c r="P330" i="4"/>
  <c r="Q330" i="4"/>
  <c r="R330" i="4"/>
  <c r="O331" i="4"/>
  <c r="P331" i="4"/>
  <c r="Q331" i="4"/>
  <c r="R331" i="4"/>
  <c r="O332" i="4"/>
  <c r="P332" i="4"/>
  <c r="Q332" i="4"/>
  <c r="R332" i="4"/>
  <c r="O333" i="4"/>
  <c r="P333" i="4"/>
  <c r="Q333" i="4"/>
  <c r="R333" i="4"/>
  <c r="O334" i="4"/>
  <c r="P334" i="4"/>
  <c r="Q334" i="4"/>
  <c r="R334" i="4"/>
  <c r="O335" i="4"/>
  <c r="P335" i="4"/>
  <c r="Q335" i="4"/>
  <c r="R335" i="4"/>
  <c r="O336" i="4"/>
  <c r="P336" i="4"/>
  <c r="Q336" i="4"/>
  <c r="R336" i="4"/>
  <c r="O337" i="4"/>
  <c r="P337" i="4"/>
  <c r="Q337" i="4"/>
  <c r="R337" i="4"/>
  <c r="O338" i="4"/>
  <c r="P338" i="4"/>
  <c r="Q338" i="4"/>
  <c r="R338" i="4"/>
  <c r="O339" i="4"/>
  <c r="P339" i="4"/>
  <c r="Q339" i="4"/>
  <c r="R339" i="4"/>
  <c r="O340" i="4"/>
  <c r="P340" i="4"/>
  <c r="Q340" i="4"/>
  <c r="R340" i="4"/>
  <c r="O341" i="4"/>
  <c r="P341" i="4"/>
  <c r="Q341" i="4"/>
  <c r="R341" i="4"/>
  <c r="O342" i="4"/>
  <c r="P342" i="4"/>
  <c r="Q342" i="4"/>
  <c r="R342" i="4"/>
  <c r="O343" i="4"/>
  <c r="P343" i="4"/>
  <c r="Q343" i="4"/>
  <c r="R343" i="4"/>
  <c r="O344" i="4"/>
  <c r="P344" i="4"/>
  <c r="Q344" i="4"/>
  <c r="R344" i="4"/>
  <c r="O345" i="4"/>
  <c r="P345" i="4"/>
  <c r="Q345" i="4"/>
  <c r="R345" i="4"/>
  <c r="O346" i="4"/>
  <c r="P346" i="4"/>
  <c r="Q346" i="4"/>
  <c r="R346" i="4"/>
  <c r="O347" i="4"/>
  <c r="P347" i="4"/>
  <c r="Q347" i="4"/>
  <c r="R347" i="4"/>
  <c r="O348" i="4"/>
  <c r="P348" i="4"/>
  <c r="Q348" i="4"/>
  <c r="R348" i="4"/>
  <c r="O349" i="4"/>
  <c r="P349" i="4"/>
  <c r="Q349" i="4"/>
  <c r="R349" i="4"/>
  <c r="O350" i="4"/>
  <c r="P350" i="4"/>
  <c r="Q350" i="4"/>
  <c r="R350" i="4"/>
  <c r="O351" i="4"/>
  <c r="P351" i="4"/>
  <c r="Q351" i="4"/>
  <c r="R351" i="4"/>
  <c r="O352" i="4"/>
  <c r="P352" i="4"/>
  <c r="Q352" i="4"/>
  <c r="R352" i="4"/>
  <c r="O353" i="4"/>
  <c r="P353" i="4"/>
  <c r="Q353" i="4"/>
  <c r="R353" i="4"/>
  <c r="O354" i="4"/>
  <c r="P354" i="4"/>
  <c r="Q354" i="4"/>
  <c r="R354" i="4"/>
  <c r="O355" i="4"/>
  <c r="P355" i="4"/>
  <c r="Q355" i="4"/>
  <c r="R355" i="4"/>
  <c r="O356" i="4"/>
  <c r="P356" i="4"/>
  <c r="Q356" i="4"/>
  <c r="R356" i="4"/>
  <c r="O357" i="4"/>
  <c r="P357" i="4"/>
  <c r="Q357" i="4"/>
  <c r="R357" i="4"/>
  <c r="O358" i="4"/>
  <c r="P358" i="4"/>
  <c r="Q358" i="4"/>
  <c r="R358" i="4"/>
  <c r="O359" i="4"/>
  <c r="P359" i="4"/>
  <c r="Q359" i="4"/>
  <c r="R359" i="4"/>
  <c r="O360" i="4"/>
  <c r="P360" i="4"/>
  <c r="Q360" i="4"/>
  <c r="R360" i="4"/>
  <c r="O361" i="4"/>
  <c r="P361" i="4"/>
  <c r="Q361" i="4"/>
  <c r="R361" i="4"/>
  <c r="O362" i="4"/>
  <c r="P362" i="4"/>
  <c r="Q362" i="4"/>
  <c r="R362" i="4"/>
  <c r="O363" i="4"/>
  <c r="P363" i="4"/>
  <c r="Q363" i="4"/>
  <c r="R363" i="4"/>
  <c r="O364" i="4"/>
  <c r="P364" i="4"/>
  <c r="Q364" i="4"/>
  <c r="R364" i="4"/>
  <c r="O365" i="4"/>
  <c r="P365" i="4"/>
  <c r="Q365" i="4"/>
  <c r="R365" i="4"/>
  <c r="O366" i="4"/>
  <c r="P366" i="4"/>
  <c r="Q366" i="4"/>
  <c r="R366" i="4"/>
  <c r="O367" i="4"/>
  <c r="P367" i="4"/>
  <c r="Q367" i="4"/>
  <c r="R367" i="4"/>
  <c r="O368" i="4"/>
  <c r="P368" i="4"/>
  <c r="Q368" i="4"/>
  <c r="R368" i="4"/>
  <c r="O369" i="4"/>
  <c r="P369" i="4"/>
  <c r="Q369" i="4"/>
  <c r="R369" i="4"/>
  <c r="O370" i="4"/>
  <c r="P370" i="4"/>
  <c r="Q370" i="4"/>
  <c r="R370" i="4"/>
  <c r="O371" i="4"/>
  <c r="P371" i="4"/>
  <c r="Q371" i="4"/>
  <c r="R371" i="4"/>
  <c r="O372" i="4"/>
  <c r="P372" i="4"/>
  <c r="Q372" i="4"/>
  <c r="R372" i="4"/>
  <c r="O373" i="4"/>
  <c r="P373" i="4"/>
  <c r="Q373" i="4"/>
  <c r="R373" i="4"/>
  <c r="O374" i="4"/>
  <c r="P374" i="4"/>
  <c r="Q374" i="4"/>
  <c r="R374" i="4"/>
  <c r="O375" i="4"/>
  <c r="P375" i="4"/>
  <c r="Q375" i="4"/>
  <c r="R375" i="4"/>
  <c r="O376" i="4"/>
  <c r="P376" i="4"/>
  <c r="Q376" i="4"/>
  <c r="R376" i="4"/>
  <c r="O377" i="4"/>
  <c r="P377" i="4"/>
  <c r="Q377" i="4"/>
  <c r="R377" i="4"/>
  <c r="O378" i="4"/>
  <c r="P378" i="4"/>
  <c r="Q378" i="4"/>
  <c r="R378" i="4"/>
  <c r="O379" i="4"/>
  <c r="P379" i="4"/>
  <c r="Q379" i="4"/>
  <c r="R379" i="4"/>
  <c r="O380" i="4"/>
  <c r="P380" i="4"/>
  <c r="Q380" i="4"/>
  <c r="R380" i="4"/>
  <c r="O381" i="4"/>
  <c r="P381" i="4"/>
  <c r="Q381" i="4"/>
  <c r="R381" i="4"/>
  <c r="O382" i="4"/>
  <c r="P382" i="4"/>
  <c r="Q382" i="4"/>
  <c r="R382" i="4"/>
  <c r="O383" i="4"/>
  <c r="P383" i="4"/>
  <c r="Q383" i="4"/>
  <c r="R383" i="4"/>
  <c r="O384" i="4"/>
  <c r="P384" i="4"/>
  <c r="Q384" i="4"/>
  <c r="R384" i="4"/>
  <c r="O385" i="4"/>
  <c r="P385" i="4"/>
  <c r="Q385" i="4"/>
  <c r="R385" i="4"/>
  <c r="O386" i="4"/>
  <c r="P386" i="4"/>
  <c r="Q386" i="4"/>
  <c r="R386" i="4"/>
  <c r="O387" i="4"/>
  <c r="P387" i="4"/>
  <c r="Q387" i="4"/>
  <c r="R387" i="4"/>
  <c r="O388" i="4"/>
  <c r="P388" i="4"/>
  <c r="Q388" i="4"/>
  <c r="R388" i="4"/>
  <c r="O389" i="4"/>
  <c r="P389" i="4"/>
  <c r="Q389" i="4"/>
  <c r="R389" i="4"/>
  <c r="O390" i="4"/>
  <c r="P390" i="4"/>
  <c r="Q390" i="4"/>
  <c r="R390" i="4"/>
  <c r="O391" i="4"/>
  <c r="P391" i="4"/>
  <c r="Q391" i="4"/>
  <c r="R391" i="4"/>
  <c r="O392" i="4"/>
  <c r="P392" i="4"/>
  <c r="Q392" i="4"/>
  <c r="R392" i="4"/>
  <c r="O393" i="4"/>
  <c r="P393" i="4"/>
  <c r="Q393" i="4"/>
  <c r="R393" i="4"/>
  <c r="O394" i="4"/>
  <c r="P394" i="4"/>
  <c r="Q394" i="4"/>
  <c r="R394" i="4"/>
  <c r="O395" i="4"/>
  <c r="P395" i="4"/>
  <c r="Q395" i="4"/>
  <c r="R395" i="4"/>
  <c r="O396" i="4"/>
  <c r="P396" i="4"/>
  <c r="Q396" i="4"/>
  <c r="R396" i="4"/>
  <c r="O397" i="4"/>
  <c r="P397" i="4"/>
  <c r="Q397" i="4"/>
  <c r="R397" i="4"/>
  <c r="O398" i="4"/>
  <c r="P398" i="4"/>
  <c r="Q398" i="4"/>
  <c r="R398" i="4"/>
  <c r="O399" i="4"/>
  <c r="P399" i="4"/>
  <c r="Q399" i="4"/>
  <c r="R399" i="4"/>
  <c r="O400" i="4"/>
  <c r="P400" i="4"/>
  <c r="Q400" i="4"/>
  <c r="R400" i="4"/>
  <c r="O401" i="4"/>
  <c r="P401" i="4"/>
  <c r="Q401" i="4"/>
  <c r="R401" i="4"/>
  <c r="O402" i="4"/>
  <c r="P402" i="4"/>
  <c r="Q402" i="4"/>
  <c r="R402" i="4"/>
  <c r="O403" i="4"/>
  <c r="P403" i="4"/>
  <c r="Q403" i="4"/>
  <c r="R403" i="4"/>
  <c r="O404" i="4"/>
  <c r="P404" i="4"/>
  <c r="Q404" i="4"/>
  <c r="R404" i="4"/>
  <c r="O405" i="4"/>
  <c r="P405" i="4"/>
  <c r="Q405" i="4"/>
  <c r="R405" i="4"/>
  <c r="O406" i="4"/>
  <c r="P406" i="4"/>
  <c r="Q406" i="4"/>
  <c r="R406" i="4"/>
  <c r="O407" i="4"/>
  <c r="P407" i="4"/>
  <c r="Q407" i="4"/>
  <c r="R407" i="4"/>
  <c r="O408" i="4"/>
  <c r="P408" i="4"/>
  <c r="Q408" i="4"/>
  <c r="R408" i="4"/>
  <c r="O409" i="4"/>
  <c r="P409" i="4"/>
  <c r="Q409" i="4"/>
  <c r="R409" i="4"/>
  <c r="O410" i="4"/>
  <c r="P410" i="4"/>
  <c r="Q410" i="4"/>
  <c r="R410" i="4"/>
  <c r="O411" i="4"/>
  <c r="P411" i="4"/>
  <c r="Q411" i="4"/>
  <c r="R411" i="4"/>
  <c r="O412" i="4"/>
  <c r="P412" i="4"/>
  <c r="Q412" i="4"/>
  <c r="R412" i="4"/>
  <c r="O413" i="4"/>
  <c r="P413" i="4"/>
  <c r="Q413" i="4"/>
  <c r="R413" i="4"/>
  <c r="O414" i="4"/>
  <c r="P414" i="4"/>
  <c r="Q414" i="4"/>
  <c r="R414" i="4"/>
  <c r="O415" i="4"/>
  <c r="P415" i="4"/>
  <c r="Q415" i="4"/>
  <c r="R415" i="4"/>
  <c r="O416" i="4"/>
  <c r="P416" i="4"/>
  <c r="Q416" i="4"/>
  <c r="R416" i="4"/>
  <c r="O417" i="4"/>
  <c r="P417" i="4"/>
  <c r="Q417" i="4"/>
  <c r="R417" i="4"/>
  <c r="O418" i="4"/>
  <c r="P418" i="4"/>
  <c r="Q418" i="4"/>
  <c r="R418" i="4"/>
  <c r="O419" i="4"/>
  <c r="P419" i="4"/>
  <c r="Q419" i="4"/>
  <c r="R419" i="4"/>
  <c r="O420" i="4"/>
  <c r="P420" i="4"/>
  <c r="Q420" i="4"/>
  <c r="R420" i="4"/>
  <c r="O421" i="4"/>
  <c r="P421" i="4"/>
  <c r="Q421" i="4"/>
  <c r="R421" i="4"/>
  <c r="O422" i="4"/>
  <c r="P422" i="4"/>
  <c r="Q422" i="4"/>
  <c r="R422" i="4"/>
  <c r="O423" i="4"/>
  <c r="P423" i="4"/>
  <c r="Q423" i="4"/>
  <c r="R423" i="4"/>
  <c r="O424" i="4"/>
  <c r="P424" i="4"/>
  <c r="Q424" i="4"/>
  <c r="R424" i="4"/>
  <c r="O425" i="4"/>
  <c r="P425" i="4"/>
  <c r="Q425" i="4"/>
  <c r="R425" i="4"/>
  <c r="O426" i="4"/>
  <c r="P426" i="4"/>
  <c r="Q426" i="4"/>
  <c r="R426" i="4"/>
  <c r="O427" i="4"/>
  <c r="P427" i="4"/>
  <c r="Q427" i="4"/>
  <c r="R427" i="4"/>
  <c r="O428" i="4"/>
  <c r="P428" i="4"/>
  <c r="Q428" i="4"/>
  <c r="R428" i="4"/>
  <c r="O429" i="4"/>
  <c r="P429" i="4"/>
  <c r="Q429" i="4"/>
  <c r="R429" i="4"/>
  <c r="O430" i="4"/>
  <c r="P430" i="4"/>
  <c r="Q430" i="4"/>
  <c r="R430" i="4"/>
  <c r="O431" i="4"/>
  <c r="P431" i="4"/>
  <c r="Q431" i="4"/>
  <c r="R431" i="4"/>
  <c r="O432" i="4"/>
  <c r="P432" i="4"/>
  <c r="Q432" i="4"/>
  <c r="R432" i="4"/>
  <c r="O433" i="4"/>
  <c r="P433" i="4"/>
  <c r="Q433" i="4"/>
  <c r="R433" i="4"/>
  <c r="O434" i="4"/>
  <c r="P434" i="4"/>
  <c r="Q434" i="4"/>
  <c r="R434" i="4"/>
  <c r="O435" i="4"/>
  <c r="P435" i="4"/>
  <c r="Q435" i="4"/>
  <c r="R435" i="4"/>
  <c r="O436" i="4"/>
  <c r="P436" i="4"/>
  <c r="Q436" i="4"/>
  <c r="R436" i="4"/>
  <c r="O437" i="4"/>
  <c r="P437" i="4"/>
  <c r="Q437" i="4"/>
  <c r="R437" i="4"/>
  <c r="O438" i="4"/>
  <c r="P438" i="4"/>
  <c r="Q438" i="4"/>
  <c r="R438" i="4"/>
  <c r="O439" i="4"/>
  <c r="P439" i="4"/>
  <c r="Q439" i="4"/>
  <c r="R439" i="4"/>
  <c r="O440" i="4"/>
  <c r="P440" i="4"/>
  <c r="Q440" i="4"/>
  <c r="R440" i="4"/>
  <c r="O441" i="4"/>
  <c r="P441" i="4"/>
  <c r="Q441" i="4"/>
  <c r="R441" i="4"/>
  <c r="O442" i="4"/>
  <c r="P442" i="4"/>
  <c r="Q442" i="4"/>
  <c r="R442" i="4"/>
  <c r="O443" i="4"/>
  <c r="P443" i="4"/>
  <c r="Q443" i="4"/>
  <c r="R443" i="4"/>
  <c r="O444" i="4"/>
  <c r="P444" i="4"/>
  <c r="Q444" i="4"/>
  <c r="R444" i="4"/>
  <c r="O445" i="4"/>
  <c r="P445" i="4"/>
  <c r="Q445" i="4"/>
  <c r="R445" i="4"/>
  <c r="O446" i="4"/>
  <c r="P446" i="4"/>
  <c r="Q446" i="4"/>
  <c r="R446" i="4"/>
  <c r="O447" i="4"/>
  <c r="P447" i="4"/>
  <c r="Q447" i="4"/>
  <c r="R447" i="4"/>
  <c r="O448" i="4"/>
  <c r="P448" i="4"/>
  <c r="Q448" i="4"/>
  <c r="R448" i="4"/>
  <c r="O449" i="4"/>
  <c r="P449" i="4"/>
  <c r="Q449" i="4"/>
  <c r="R449" i="4"/>
  <c r="O450" i="4"/>
  <c r="P450" i="4"/>
  <c r="Q450" i="4"/>
  <c r="R450" i="4"/>
  <c r="O451" i="4"/>
  <c r="P451" i="4"/>
  <c r="Q451" i="4"/>
  <c r="R451" i="4"/>
  <c r="O452" i="4"/>
  <c r="P452" i="4"/>
  <c r="Q452" i="4"/>
  <c r="R452" i="4"/>
  <c r="O453" i="4"/>
  <c r="P453" i="4"/>
  <c r="Q453" i="4"/>
  <c r="R453" i="4"/>
  <c r="O454" i="4"/>
  <c r="P454" i="4"/>
  <c r="Q454" i="4"/>
  <c r="R454" i="4"/>
  <c r="O455" i="4"/>
  <c r="P455" i="4"/>
  <c r="Q455" i="4"/>
  <c r="R455" i="4"/>
  <c r="O456" i="4"/>
  <c r="P456" i="4"/>
  <c r="Q456" i="4"/>
  <c r="R456" i="4"/>
  <c r="O457" i="4"/>
  <c r="P457" i="4"/>
  <c r="Q457" i="4"/>
  <c r="R457" i="4"/>
  <c r="O458" i="4"/>
  <c r="P458" i="4"/>
  <c r="Q458" i="4"/>
  <c r="R458" i="4"/>
  <c r="O459" i="4"/>
  <c r="P459" i="4"/>
  <c r="Q459" i="4"/>
  <c r="R459" i="4"/>
  <c r="O460" i="4"/>
  <c r="P460" i="4"/>
  <c r="Q460" i="4"/>
  <c r="R460" i="4"/>
  <c r="O461" i="4"/>
  <c r="P461" i="4"/>
  <c r="Q461" i="4"/>
  <c r="R461" i="4"/>
  <c r="O462" i="4"/>
  <c r="P462" i="4"/>
  <c r="Q462" i="4"/>
  <c r="R462" i="4"/>
  <c r="O463" i="4"/>
  <c r="P463" i="4"/>
  <c r="Q463" i="4"/>
  <c r="R463" i="4"/>
  <c r="O464" i="4"/>
  <c r="P464" i="4"/>
  <c r="Q464" i="4"/>
  <c r="R464" i="4"/>
  <c r="O465" i="4"/>
  <c r="P465" i="4"/>
  <c r="Q465" i="4"/>
  <c r="R465" i="4"/>
  <c r="O466" i="4"/>
  <c r="P466" i="4"/>
  <c r="Q466" i="4"/>
  <c r="R466" i="4"/>
  <c r="O467" i="4"/>
  <c r="P467" i="4"/>
  <c r="Q467" i="4"/>
  <c r="R467" i="4"/>
  <c r="O468" i="4"/>
  <c r="P468" i="4"/>
  <c r="Q468" i="4"/>
  <c r="R468" i="4"/>
  <c r="O469" i="4"/>
  <c r="P469" i="4"/>
  <c r="Q469" i="4"/>
  <c r="R469" i="4"/>
  <c r="O470" i="4"/>
  <c r="P470" i="4"/>
  <c r="Q470" i="4"/>
  <c r="R470" i="4"/>
  <c r="O471" i="4"/>
  <c r="P471" i="4"/>
  <c r="Q471" i="4"/>
  <c r="R471" i="4"/>
  <c r="O472" i="4"/>
  <c r="P472" i="4"/>
  <c r="Q472" i="4"/>
  <c r="R472" i="4"/>
  <c r="O473" i="4"/>
  <c r="P473" i="4"/>
  <c r="Q473" i="4"/>
  <c r="R473" i="4"/>
  <c r="O474" i="4"/>
  <c r="P474" i="4"/>
  <c r="Q474" i="4"/>
  <c r="R474" i="4"/>
  <c r="O475" i="4"/>
  <c r="P475" i="4"/>
  <c r="Q475" i="4"/>
  <c r="R475" i="4"/>
  <c r="O476" i="4"/>
  <c r="P476" i="4"/>
  <c r="Q476" i="4"/>
  <c r="R476" i="4"/>
  <c r="O477" i="4"/>
  <c r="P477" i="4"/>
  <c r="Q477" i="4"/>
  <c r="R477" i="4"/>
  <c r="O478" i="4"/>
  <c r="P478" i="4"/>
  <c r="Q478" i="4"/>
  <c r="R478" i="4"/>
  <c r="O479" i="4"/>
  <c r="P479" i="4"/>
  <c r="Q479" i="4"/>
  <c r="R479" i="4"/>
  <c r="O480" i="4"/>
  <c r="P480" i="4"/>
  <c r="Q480" i="4"/>
  <c r="R480" i="4"/>
  <c r="O481" i="4"/>
  <c r="P481" i="4"/>
  <c r="Q481" i="4"/>
  <c r="R481" i="4"/>
  <c r="O482" i="4"/>
  <c r="P482" i="4"/>
  <c r="Q482" i="4"/>
  <c r="R482" i="4"/>
  <c r="O483" i="4"/>
  <c r="P483" i="4"/>
  <c r="Q483" i="4"/>
  <c r="R483" i="4"/>
  <c r="O484" i="4"/>
  <c r="P484" i="4"/>
  <c r="Q484" i="4"/>
  <c r="R484" i="4"/>
  <c r="O485" i="4"/>
  <c r="P485" i="4"/>
  <c r="Q485" i="4"/>
  <c r="R485" i="4"/>
  <c r="O486" i="4"/>
  <c r="P486" i="4"/>
  <c r="Q486" i="4"/>
  <c r="R486" i="4"/>
  <c r="O487" i="4"/>
  <c r="P487" i="4"/>
  <c r="Q487" i="4"/>
  <c r="R487" i="4"/>
  <c r="O488" i="4"/>
  <c r="P488" i="4"/>
  <c r="Q488" i="4"/>
  <c r="R488" i="4"/>
  <c r="O489" i="4"/>
  <c r="P489" i="4"/>
  <c r="Q489" i="4"/>
  <c r="R489" i="4"/>
  <c r="O490" i="4"/>
  <c r="P490" i="4"/>
  <c r="Q490" i="4"/>
  <c r="R490" i="4"/>
  <c r="O491" i="4"/>
  <c r="P491" i="4"/>
  <c r="Q491" i="4"/>
  <c r="R491" i="4"/>
  <c r="O492" i="4"/>
  <c r="P492" i="4"/>
  <c r="Q492" i="4"/>
  <c r="R492" i="4"/>
  <c r="O493" i="4"/>
  <c r="P493" i="4"/>
  <c r="Q493" i="4"/>
  <c r="R493" i="4"/>
  <c r="O494" i="4"/>
  <c r="P494" i="4"/>
  <c r="Q494" i="4"/>
  <c r="R494" i="4"/>
  <c r="O495" i="4"/>
  <c r="P495" i="4"/>
  <c r="Q495" i="4"/>
  <c r="R495" i="4"/>
  <c r="O496" i="4"/>
  <c r="P496" i="4"/>
  <c r="Q496" i="4"/>
  <c r="R496" i="4"/>
  <c r="O497" i="4"/>
  <c r="P497" i="4"/>
  <c r="Q497" i="4"/>
  <c r="R497" i="4"/>
  <c r="O498" i="4"/>
  <c r="P498" i="4"/>
  <c r="Q498" i="4"/>
  <c r="R498" i="4"/>
  <c r="O499" i="4"/>
  <c r="P499" i="4"/>
  <c r="Q499" i="4"/>
  <c r="R499" i="4"/>
  <c r="O500" i="4"/>
  <c r="P500" i="4"/>
  <c r="Q500" i="4"/>
  <c r="R500" i="4"/>
  <c r="O501" i="4"/>
  <c r="P501" i="4"/>
  <c r="Q501" i="4"/>
  <c r="R501" i="4"/>
  <c r="O502" i="4"/>
  <c r="P502" i="4"/>
  <c r="Q502" i="4"/>
  <c r="R502" i="4"/>
  <c r="O503" i="4"/>
  <c r="P503" i="4"/>
  <c r="Q503" i="4"/>
  <c r="R503" i="4"/>
  <c r="O504" i="4"/>
  <c r="P504" i="4"/>
  <c r="Q504" i="4"/>
  <c r="R504" i="4"/>
  <c r="O505" i="4"/>
  <c r="P505" i="4"/>
  <c r="Q505" i="4"/>
  <c r="R505" i="4"/>
  <c r="O506" i="4"/>
  <c r="P506" i="4"/>
  <c r="Q506" i="4"/>
  <c r="R506" i="4"/>
  <c r="O507" i="4"/>
  <c r="P507" i="4"/>
  <c r="Q507" i="4"/>
  <c r="R507" i="4"/>
  <c r="O508" i="4"/>
  <c r="P508" i="4"/>
  <c r="Q508" i="4"/>
  <c r="R508" i="4"/>
  <c r="O509" i="4"/>
  <c r="P509" i="4"/>
  <c r="Q509" i="4"/>
  <c r="R509" i="4"/>
  <c r="O510" i="4"/>
  <c r="P510" i="4"/>
  <c r="Q510" i="4"/>
  <c r="R510" i="4"/>
  <c r="O511" i="4"/>
  <c r="P511" i="4"/>
  <c r="Q511" i="4"/>
  <c r="R511" i="4"/>
  <c r="O512" i="4"/>
  <c r="P512" i="4"/>
  <c r="Q512" i="4"/>
  <c r="R512" i="4"/>
  <c r="O513" i="4"/>
  <c r="P513" i="4"/>
  <c r="Q513" i="4"/>
  <c r="R513" i="4"/>
  <c r="O514" i="4"/>
  <c r="P514" i="4"/>
  <c r="Q514" i="4"/>
  <c r="R514" i="4"/>
  <c r="O515" i="4"/>
  <c r="P515" i="4"/>
  <c r="Q515" i="4"/>
  <c r="R515" i="4"/>
  <c r="O516" i="4"/>
  <c r="P516" i="4"/>
  <c r="Q516" i="4"/>
  <c r="R516" i="4"/>
  <c r="O517" i="4"/>
  <c r="P517" i="4"/>
  <c r="Q517" i="4"/>
  <c r="R517" i="4"/>
  <c r="O518" i="4"/>
  <c r="P518" i="4"/>
  <c r="Q518" i="4"/>
  <c r="R518" i="4"/>
  <c r="O519" i="4"/>
  <c r="P519" i="4"/>
  <c r="Q519" i="4"/>
  <c r="R519" i="4"/>
  <c r="O520" i="4"/>
  <c r="P520" i="4"/>
  <c r="Q520" i="4"/>
  <c r="R520" i="4"/>
  <c r="O521" i="4"/>
  <c r="P521" i="4"/>
  <c r="Q521" i="4"/>
  <c r="R521" i="4"/>
  <c r="O522" i="4"/>
  <c r="P522" i="4"/>
  <c r="Q522" i="4"/>
  <c r="R522" i="4"/>
  <c r="O523" i="4"/>
  <c r="P523" i="4"/>
  <c r="Q523" i="4"/>
  <c r="R523" i="4"/>
  <c r="O524" i="4"/>
  <c r="P524" i="4"/>
  <c r="Q524" i="4"/>
  <c r="R524" i="4"/>
  <c r="O525" i="4"/>
  <c r="P525" i="4"/>
  <c r="Q525" i="4"/>
  <c r="R525" i="4"/>
  <c r="O526" i="4"/>
  <c r="P526" i="4"/>
  <c r="Q526" i="4"/>
  <c r="R526" i="4"/>
  <c r="O527" i="4"/>
  <c r="P527" i="4"/>
  <c r="Q527" i="4"/>
  <c r="R527" i="4"/>
  <c r="O528" i="4"/>
  <c r="P528" i="4"/>
  <c r="Q528" i="4"/>
  <c r="R528" i="4"/>
  <c r="O529" i="4"/>
  <c r="P529" i="4"/>
  <c r="Q529" i="4"/>
  <c r="R529" i="4"/>
  <c r="O530" i="4"/>
  <c r="P530" i="4"/>
  <c r="Q530" i="4"/>
  <c r="R530" i="4"/>
  <c r="O531" i="4"/>
  <c r="P531" i="4"/>
  <c r="Q531" i="4"/>
  <c r="R531" i="4"/>
  <c r="O532" i="4"/>
  <c r="P532" i="4"/>
  <c r="Q532" i="4"/>
  <c r="R532" i="4"/>
  <c r="O533" i="4"/>
  <c r="P533" i="4"/>
  <c r="Q533" i="4"/>
  <c r="R533" i="4"/>
  <c r="O534" i="4"/>
  <c r="P534" i="4"/>
  <c r="Q534" i="4"/>
  <c r="R534" i="4"/>
  <c r="O535" i="4"/>
  <c r="P535" i="4"/>
  <c r="Q535" i="4"/>
  <c r="R535" i="4"/>
  <c r="O536" i="4"/>
  <c r="P536" i="4"/>
  <c r="Q536" i="4"/>
  <c r="R536" i="4"/>
  <c r="O537" i="4"/>
  <c r="P537" i="4"/>
  <c r="Q537" i="4"/>
  <c r="R537" i="4"/>
  <c r="O538" i="4"/>
  <c r="P538" i="4"/>
  <c r="Q538" i="4"/>
  <c r="R538" i="4"/>
  <c r="O539" i="4"/>
  <c r="P539" i="4"/>
  <c r="Q539" i="4"/>
  <c r="R539" i="4"/>
  <c r="O540" i="4"/>
  <c r="P540" i="4"/>
  <c r="Q540" i="4"/>
  <c r="R540" i="4"/>
  <c r="O541" i="4"/>
  <c r="P541" i="4"/>
  <c r="Q541" i="4"/>
  <c r="R541" i="4"/>
  <c r="O542" i="4"/>
  <c r="P542" i="4"/>
  <c r="Q542" i="4"/>
  <c r="R542" i="4"/>
  <c r="O543" i="4"/>
  <c r="P543" i="4"/>
  <c r="Q543" i="4"/>
  <c r="R543" i="4"/>
  <c r="O544" i="4"/>
  <c r="P544" i="4"/>
  <c r="Q544" i="4"/>
  <c r="R544" i="4"/>
  <c r="O545" i="4"/>
  <c r="P545" i="4"/>
  <c r="Q545" i="4"/>
  <c r="R545" i="4"/>
  <c r="O546" i="4"/>
  <c r="P546" i="4"/>
  <c r="Q546" i="4"/>
  <c r="R546" i="4"/>
  <c r="O547" i="4"/>
  <c r="P547" i="4"/>
  <c r="Q547" i="4"/>
  <c r="R547" i="4"/>
  <c r="O548" i="4"/>
  <c r="P548" i="4"/>
  <c r="Q548" i="4"/>
  <c r="R548" i="4"/>
  <c r="O549" i="4"/>
  <c r="P549" i="4"/>
  <c r="Q549" i="4"/>
  <c r="R549" i="4"/>
  <c r="O550" i="4"/>
  <c r="P550" i="4"/>
  <c r="Q550" i="4"/>
  <c r="R550" i="4"/>
  <c r="O551" i="4"/>
  <c r="P551" i="4"/>
  <c r="Q551" i="4"/>
  <c r="R551" i="4"/>
  <c r="O552" i="4"/>
  <c r="P552" i="4"/>
  <c r="Q552" i="4"/>
  <c r="R552" i="4"/>
  <c r="O553" i="4"/>
  <c r="P553" i="4"/>
  <c r="Q553" i="4"/>
  <c r="R553" i="4"/>
  <c r="O554" i="4"/>
  <c r="P554" i="4"/>
  <c r="Q554" i="4"/>
  <c r="R554" i="4"/>
  <c r="O555" i="4"/>
  <c r="P555" i="4"/>
  <c r="Q555" i="4"/>
  <c r="R555" i="4"/>
  <c r="O556" i="4"/>
  <c r="P556" i="4"/>
  <c r="Q556" i="4"/>
  <c r="R556" i="4"/>
  <c r="O557" i="4"/>
  <c r="P557" i="4"/>
  <c r="Q557" i="4"/>
  <c r="R557" i="4"/>
  <c r="O558" i="4"/>
  <c r="P558" i="4"/>
  <c r="Q558" i="4"/>
  <c r="R558" i="4"/>
  <c r="O559" i="4"/>
  <c r="P559" i="4"/>
  <c r="Q559" i="4"/>
  <c r="R559" i="4"/>
  <c r="O560" i="4"/>
  <c r="P560" i="4"/>
  <c r="Q560" i="4"/>
  <c r="R560" i="4"/>
  <c r="O561" i="4"/>
  <c r="P561" i="4"/>
  <c r="Q561" i="4"/>
  <c r="R561" i="4"/>
  <c r="O562" i="4"/>
  <c r="P562" i="4"/>
  <c r="Q562" i="4"/>
  <c r="R562" i="4"/>
  <c r="O563" i="4"/>
  <c r="P563" i="4"/>
  <c r="Q563" i="4"/>
  <c r="R563" i="4"/>
  <c r="O564" i="4"/>
  <c r="P564" i="4"/>
  <c r="Q564" i="4"/>
  <c r="R564" i="4"/>
  <c r="O565" i="4"/>
  <c r="P565" i="4"/>
  <c r="Q565" i="4"/>
  <c r="R565" i="4"/>
  <c r="O566" i="4"/>
  <c r="P566" i="4"/>
  <c r="Q566" i="4"/>
  <c r="R566" i="4"/>
  <c r="O567" i="4"/>
  <c r="P567" i="4"/>
  <c r="Q567" i="4"/>
  <c r="R567" i="4"/>
  <c r="O568" i="4"/>
  <c r="P568" i="4"/>
  <c r="Q568" i="4"/>
  <c r="R568" i="4"/>
  <c r="O569" i="4"/>
  <c r="P569" i="4"/>
  <c r="Q569" i="4"/>
  <c r="R569" i="4"/>
  <c r="O570" i="4"/>
  <c r="P570" i="4"/>
  <c r="Q570" i="4"/>
  <c r="R570" i="4"/>
  <c r="O571" i="4"/>
  <c r="P571" i="4"/>
  <c r="Q571" i="4"/>
  <c r="R571" i="4"/>
  <c r="O572" i="4"/>
  <c r="P572" i="4"/>
  <c r="Q572" i="4"/>
  <c r="R572" i="4"/>
  <c r="O573" i="4"/>
  <c r="P573" i="4"/>
  <c r="Q573" i="4"/>
  <c r="R573" i="4"/>
  <c r="O574" i="4"/>
  <c r="P574" i="4"/>
  <c r="Q574" i="4"/>
  <c r="R574" i="4"/>
  <c r="O575" i="4"/>
  <c r="P575" i="4"/>
  <c r="Q575" i="4"/>
  <c r="R575" i="4"/>
  <c r="O576" i="4"/>
  <c r="P576" i="4"/>
  <c r="Q576" i="4"/>
  <c r="R576" i="4"/>
  <c r="O577" i="4"/>
  <c r="P577" i="4"/>
  <c r="Q577" i="4"/>
  <c r="R577" i="4"/>
  <c r="O578" i="4"/>
  <c r="P578" i="4"/>
  <c r="Q578" i="4"/>
  <c r="R578" i="4"/>
  <c r="O579" i="4"/>
  <c r="P579" i="4"/>
  <c r="Q579" i="4"/>
  <c r="R579" i="4"/>
  <c r="O580" i="4"/>
  <c r="P580" i="4"/>
  <c r="Q580" i="4"/>
  <c r="R580" i="4"/>
  <c r="O581" i="4"/>
  <c r="P581" i="4"/>
  <c r="Q581" i="4"/>
  <c r="R581" i="4"/>
  <c r="O582" i="4"/>
  <c r="P582" i="4"/>
  <c r="Q582" i="4"/>
  <c r="R582" i="4"/>
  <c r="O583" i="4"/>
  <c r="P583" i="4"/>
  <c r="Q583" i="4"/>
  <c r="R583" i="4"/>
  <c r="O584" i="4"/>
  <c r="P584" i="4"/>
  <c r="Q584" i="4"/>
  <c r="R584" i="4"/>
  <c r="O585" i="4"/>
  <c r="P585" i="4"/>
  <c r="Q585" i="4"/>
  <c r="R585" i="4"/>
  <c r="O586" i="4"/>
  <c r="P586" i="4"/>
  <c r="Q586" i="4"/>
  <c r="R586" i="4"/>
  <c r="O587" i="4"/>
  <c r="P587" i="4"/>
  <c r="Q587" i="4"/>
  <c r="R587" i="4"/>
  <c r="O588" i="4"/>
  <c r="P588" i="4"/>
  <c r="Q588" i="4"/>
  <c r="R588" i="4"/>
  <c r="O589" i="4"/>
  <c r="P589" i="4"/>
  <c r="Q589" i="4"/>
  <c r="R589" i="4"/>
  <c r="O590" i="4"/>
  <c r="P590" i="4"/>
  <c r="Q590" i="4"/>
  <c r="R590" i="4"/>
  <c r="O591" i="4"/>
  <c r="P591" i="4"/>
  <c r="Q591" i="4"/>
  <c r="R591" i="4"/>
  <c r="O592" i="4"/>
  <c r="P592" i="4"/>
  <c r="Q592" i="4"/>
  <c r="R592" i="4"/>
  <c r="O593" i="4"/>
  <c r="P593" i="4"/>
  <c r="Q593" i="4"/>
  <c r="R593" i="4"/>
  <c r="O594" i="4"/>
  <c r="P594" i="4"/>
  <c r="Q594" i="4"/>
  <c r="R594" i="4"/>
  <c r="O595" i="4"/>
  <c r="P595" i="4"/>
  <c r="Q595" i="4"/>
  <c r="R595" i="4"/>
  <c r="O596" i="4"/>
  <c r="P596" i="4"/>
  <c r="Q596" i="4"/>
  <c r="R596" i="4"/>
  <c r="O597" i="4"/>
  <c r="P597" i="4"/>
  <c r="Q597" i="4"/>
  <c r="R597" i="4"/>
  <c r="O598" i="4"/>
  <c r="P598" i="4"/>
  <c r="Q598" i="4"/>
  <c r="R598" i="4"/>
  <c r="O599" i="4"/>
  <c r="P599" i="4"/>
  <c r="Q599" i="4"/>
  <c r="R599" i="4"/>
  <c r="O600" i="4"/>
  <c r="P600" i="4"/>
  <c r="Q600" i="4"/>
  <c r="R600" i="4"/>
  <c r="O601" i="4"/>
  <c r="P601" i="4"/>
  <c r="Q601" i="4"/>
  <c r="R601" i="4"/>
  <c r="O602" i="4"/>
  <c r="P602" i="4"/>
  <c r="Q602" i="4"/>
  <c r="R602" i="4"/>
  <c r="O603" i="4"/>
  <c r="P603" i="4"/>
  <c r="Q603" i="4"/>
  <c r="R603" i="4"/>
  <c r="O604" i="4"/>
  <c r="P604" i="4"/>
  <c r="Q604" i="4"/>
  <c r="R604" i="4"/>
  <c r="O605" i="4"/>
  <c r="P605" i="4"/>
  <c r="Q605" i="4"/>
  <c r="R605" i="4"/>
  <c r="O606" i="4"/>
  <c r="P606" i="4"/>
  <c r="Q606" i="4"/>
  <c r="R606" i="4"/>
  <c r="O607" i="4"/>
  <c r="P607" i="4"/>
  <c r="Q607" i="4"/>
  <c r="R607" i="4"/>
  <c r="O608" i="4"/>
  <c r="P608" i="4"/>
  <c r="Q608" i="4"/>
  <c r="R608" i="4"/>
  <c r="O609" i="4"/>
  <c r="P609" i="4"/>
  <c r="Q609" i="4"/>
  <c r="R609" i="4"/>
  <c r="O610" i="4"/>
  <c r="P610" i="4"/>
  <c r="Q610" i="4"/>
  <c r="R610" i="4"/>
  <c r="O611" i="4"/>
  <c r="P611" i="4"/>
  <c r="Q611" i="4"/>
  <c r="R611" i="4"/>
  <c r="O612" i="4"/>
  <c r="P612" i="4"/>
  <c r="Q612" i="4"/>
  <c r="R612" i="4"/>
  <c r="O613" i="4"/>
  <c r="P613" i="4"/>
  <c r="Q613" i="4"/>
  <c r="R613" i="4"/>
  <c r="O614" i="4"/>
  <c r="P614" i="4"/>
  <c r="Q614" i="4"/>
  <c r="R614" i="4"/>
  <c r="O615" i="4"/>
  <c r="P615" i="4"/>
  <c r="Q615" i="4"/>
  <c r="R615" i="4"/>
  <c r="O616" i="4"/>
  <c r="P616" i="4"/>
  <c r="Q616" i="4"/>
  <c r="R616" i="4"/>
  <c r="O617" i="4"/>
  <c r="P617" i="4"/>
  <c r="Q617" i="4"/>
  <c r="R617" i="4"/>
  <c r="O618" i="4"/>
  <c r="P618" i="4"/>
  <c r="Q618" i="4"/>
  <c r="R618" i="4"/>
  <c r="O619" i="4"/>
  <c r="P619" i="4"/>
  <c r="Q619" i="4"/>
  <c r="R619" i="4"/>
  <c r="O620" i="4"/>
  <c r="P620" i="4"/>
  <c r="Q620" i="4"/>
  <c r="R620" i="4"/>
  <c r="O621" i="4"/>
  <c r="P621" i="4"/>
  <c r="Q621" i="4"/>
  <c r="R621" i="4"/>
  <c r="O622" i="4"/>
  <c r="P622" i="4"/>
  <c r="Q622" i="4"/>
  <c r="R622" i="4"/>
  <c r="O623" i="4"/>
  <c r="P623" i="4"/>
  <c r="Q623" i="4"/>
  <c r="R623" i="4"/>
  <c r="O624" i="4"/>
  <c r="P624" i="4"/>
  <c r="Q624" i="4"/>
  <c r="R624" i="4"/>
  <c r="O625" i="4"/>
  <c r="P625" i="4"/>
  <c r="Q625" i="4"/>
  <c r="R625" i="4"/>
  <c r="O626" i="4"/>
  <c r="P626" i="4"/>
  <c r="Q626" i="4"/>
  <c r="R626" i="4"/>
  <c r="O627" i="4"/>
  <c r="P627" i="4"/>
  <c r="Q627" i="4"/>
  <c r="R627" i="4"/>
  <c r="O628" i="4"/>
  <c r="P628" i="4"/>
  <c r="Q628" i="4"/>
  <c r="R628" i="4"/>
  <c r="O629" i="4"/>
  <c r="P629" i="4"/>
  <c r="Q629" i="4"/>
  <c r="R629" i="4"/>
  <c r="O630" i="4"/>
  <c r="P630" i="4"/>
  <c r="Q630" i="4"/>
  <c r="R630" i="4"/>
  <c r="O631" i="4"/>
  <c r="P631" i="4"/>
  <c r="Q631" i="4"/>
  <c r="R631" i="4"/>
  <c r="O632" i="4"/>
  <c r="P632" i="4"/>
  <c r="Q632" i="4"/>
  <c r="R632" i="4"/>
  <c r="O633" i="4"/>
  <c r="P633" i="4"/>
  <c r="Q633" i="4"/>
  <c r="R633" i="4"/>
  <c r="O634" i="4"/>
  <c r="P634" i="4"/>
  <c r="Q634" i="4"/>
  <c r="R634" i="4"/>
  <c r="O635" i="4"/>
  <c r="P635" i="4"/>
  <c r="Q635" i="4"/>
  <c r="R635" i="4"/>
  <c r="O636" i="4"/>
  <c r="P636" i="4"/>
  <c r="Q636" i="4"/>
  <c r="R636" i="4"/>
  <c r="O637" i="4"/>
  <c r="P637" i="4"/>
  <c r="Q637" i="4"/>
  <c r="R637" i="4"/>
  <c r="O638" i="4"/>
  <c r="P638" i="4"/>
  <c r="Q638" i="4"/>
  <c r="R638" i="4"/>
  <c r="O639" i="4"/>
  <c r="P639" i="4"/>
  <c r="Q639" i="4"/>
  <c r="R639" i="4"/>
  <c r="O640" i="4"/>
  <c r="P640" i="4"/>
  <c r="Q640" i="4"/>
  <c r="R640" i="4"/>
  <c r="O641" i="4"/>
  <c r="P641" i="4"/>
  <c r="Q641" i="4"/>
  <c r="R641" i="4"/>
  <c r="O642" i="4"/>
  <c r="P642" i="4"/>
  <c r="Q642" i="4"/>
  <c r="R642" i="4"/>
  <c r="O643" i="4"/>
  <c r="P643" i="4"/>
  <c r="Q643" i="4"/>
  <c r="R643" i="4"/>
  <c r="O644" i="4"/>
  <c r="P644" i="4"/>
  <c r="Q644" i="4"/>
  <c r="R644" i="4"/>
  <c r="O645" i="4"/>
  <c r="P645" i="4"/>
  <c r="Q645" i="4"/>
  <c r="R645" i="4"/>
  <c r="O646" i="4"/>
  <c r="P646" i="4"/>
  <c r="Q646" i="4"/>
  <c r="R646" i="4"/>
  <c r="O647" i="4"/>
  <c r="P647" i="4"/>
  <c r="Q647" i="4"/>
  <c r="R647" i="4"/>
  <c r="O648" i="4"/>
  <c r="P648" i="4"/>
  <c r="Q648" i="4"/>
  <c r="R648" i="4"/>
  <c r="O649" i="4"/>
  <c r="P649" i="4"/>
  <c r="Q649" i="4"/>
  <c r="R649" i="4"/>
  <c r="O650" i="4"/>
  <c r="P650" i="4"/>
  <c r="Q650" i="4"/>
  <c r="R650" i="4"/>
  <c r="O651" i="4"/>
  <c r="P651" i="4"/>
  <c r="Q651" i="4"/>
  <c r="R651" i="4"/>
  <c r="O652" i="4"/>
  <c r="P652" i="4"/>
  <c r="Q652" i="4"/>
  <c r="R652" i="4"/>
  <c r="O653" i="4"/>
  <c r="P653" i="4"/>
  <c r="Q653" i="4"/>
  <c r="R653" i="4"/>
  <c r="O654" i="4"/>
  <c r="P654" i="4"/>
  <c r="Q654" i="4"/>
  <c r="R654" i="4"/>
  <c r="O655" i="4"/>
  <c r="P655" i="4"/>
  <c r="Q655" i="4"/>
  <c r="R655" i="4"/>
  <c r="O656" i="4"/>
  <c r="P656" i="4"/>
  <c r="Q656" i="4"/>
  <c r="R656" i="4"/>
  <c r="O657" i="4"/>
  <c r="P657" i="4"/>
  <c r="Q657" i="4"/>
  <c r="R657" i="4"/>
  <c r="O658" i="4"/>
  <c r="P658" i="4"/>
  <c r="Q658" i="4"/>
  <c r="R658" i="4"/>
  <c r="O659" i="4"/>
  <c r="P659" i="4"/>
  <c r="Q659" i="4"/>
  <c r="R659" i="4"/>
  <c r="O660" i="4"/>
  <c r="P660" i="4"/>
  <c r="Q660" i="4"/>
  <c r="R660" i="4"/>
  <c r="O661" i="4"/>
  <c r="P661" i="4"/>
  <c r="Q661" i="4"/>
  <c r="R661" i="4"/>
  <c r="O662" i="4"/>
  <c r="P662" i="4"/>
  <c r="Q662" i="4"/>
  <c r="R662" i="4"/>
  <c r="O663" i="4"/>
  <c r="P663" i="4"/>
  <c r="Q663" i="4"/>
  <c r="R663" i="4"/>
  <c r="O664" i="4"/>
  <c r="P664" i="4"/>
  <c r="Q664" i="4"/>
  <c r="R664" i="4"/>
  <c r="O665" i="4"/>
  <c r="P665" i="4"/>
  <c r="Q665" i="4"/>
  <c r="R665" i="4"/>
  <c r="O666" i="4"/>
  <c r="P666" i="4"/>
  <c r="Q666" i="4"/>
  <c r="R666" i="4"/>
  <c r="O667" i="4"/>
  <c r="P667" i="4"/>
  <c r="Q667" i="4"/>
  <c r="R667" i="4"/>
  <c r="O668" i="4"/>
  <c r="P668" i="4"/>
  <c r="Q668" i="4"/>
  <c r="R668" i="4"/>
  <c r="O669" i="4"/>
  <c r="P669" i="4"/>
  <c r="Q669" i="4"/>
  <c r="R669" i="4"/>
  <c r="O670" i="4"/>
  <c r="P670" i="4"/>
  <c r="Q670" i="4"/>
  <c r="R670" i="4"/>
  <c r="O671" i="4"/>
  <c r="P671" i="4"/>
  <c r="Q671" i="4"/>
  <c r="R671" i="4"/>
  <c r="O672" i="4"/>
  <c r="P672" i="4"/>
  <c r="Q672" i="4"/>
  <c r="R672" i="4"/>
  <c r="O673" i="4"/>
  <c r="P673" i="4"/>
  <c r="Q673" i="4"/>
  <c r="R673" i="4"/>
  <c r="O674" i="4"/>
  <c r="P674" i="4"/>
  <c r="Q674" i="4"/>
  <c r="R674" i="4"/>
  <c r="O675" i="4"/>
  <c r="P675" i="4"/>
  <c r="Q675" i="4"/>
  <c r="R675" i="4"/>
  <c r="O676" i="4"/>
  <c r="P676" i="4"/>
  <c r="Q676" i="4"/>
  <c r="R676" i="4"/>
  <c r="O677" i="4"/>
  <c r="P677" i="4"/>
  <c r="Q677" i="4"/>
  <c r="R677" i="4"/>
  <c r="O678" i="4"/>
  <c r="P678" i="4"/>
  <c r="Q678" i="4"/>
  <c r="R678" i="4"/>
  <c r="O679" i="4"/>
  <c r="P679" i="4"/>
  <c r="Q679" i="4"/>
  <c r="R679" i="4"/>
  <c r="O680" i="4"/>
  <c r="P680" i="4"/>
  <c r="Q680" i="4"/>
  <c r="R680" i="4"/>
  <c r="O681" i="4"/>
  <c r="P681" i="4"/>
  <c r="Q681" i="4"/>
  <c r="R681" i="4"/>
  <c r="O682" i="4"/>
  <c r="P682" i="4"/>
  <c r="Q682" i="4"/>
  <c r="R682" i="4"/>
  <c r="O683" i="4"/>
  <c r="P683" i="4"/>
  <c r="Q683" i="4"/>
  <c r="R683" i="4"/>
  <c r="O684" i="4"/>
  <c r="P684" i="4"/>
  <c r="Q684" i="4"/>
  <c r="R684" i="4"/>
  <c r="O685" i="4"/>
  <c r="P685" i="4"/>
  <c r="Q685" i="4"/>
  <c r="R685" i="4"/>
  <c r="O686" i="4"/>
  <c r="P686" i="4"/>
  <c r="Q686" i="4"/>
  <c r="R686" i="4"/>
  <c r="O687" i="4"/>
  <c r="P687" i="4"/>
  <c r="Q687" i="4"/>
  <c r="R687" i="4"/>
  <c r="O688" i="4"/>
  <c r="P688" i="4"/>
  <c r="Q688" i="4"/>
  <c r="R688" i="4"/>
  <c r="O689" i="4"/>
  <c r="P689" i="4"/>
  <c r="Q689" i="4"/>
  <c r="R689" i="4"/>
  <c r="O690" i="4"/>
  <c r="P690" i="4"/>
  <c r="Q690" i="4"/>
  <c r="R690" i="4"/>
  <c r="O691" i="4"/>
  <c r="P691" i="4"/>
  <c r="Q691" i="4"/>
  <c r="R691" i="4"/>
  <c r="O692" i="4"/>
  <c r="P692" i="4"/>
  <c r="Q692" i="4"/>
  <c r="R692" i="4"/>
  <c r="O693" i="4"/>
  <c r="P693" i="4"/>
  <c r="Q693" i="4"/>
  <c r="R693" i="4"/>
  <c r="O694" i="4"/>
  <c r="P694" i="4"/>
  <c r="Q694" i="4"/>
  <c r="R694" i="4"/>
  <c r="O695" i="4"/>
  <c r="P695" i="4"/>
  <c r="Q695" i="4"/>
  <c r="R695" i="4"/>
  <c r="O696" i="4"/>
  <c r="P696" i="4"/>
  <c r="Q696" i="4"/>
  <c r="R696" i="4"/>
  <c r="O697" i="4"/>
  <c r="P697" i="4"/>
  <c r="Q697" i="4"/>
  <c r="R697" i="4"/>
  <c r="O698" i="4"/>
  <c r="P698" i="4"/>
  <c r="Q698" i="4"/>
  <c r="R698" i="4"/>
  <c r="O699" i="4"/>
  <c r="P699" i="4"/>
  <c r="Q699" i="4"/>
  <c r="R699" i="4"/>
  <c r="O700" i="4"/>
  <c r="P700" i="4"/>
  <c r="Q700" i="4"/>
  <c r="R700" i="4"/>
  <c r="O701" i="4"/>
  <c r="P701" i="4"/>
  <c r="Q701" i="4"/>
  <c r="R701" i="4"/>
  <c r="O702" i="4"/>
  <c r="P702" i="4"/>
  <c r="Q702" i="4"/>
  <c r="R702" i="4"/>
  <c r="O703" i="4"/>
  <c r="P703" i="4"/>
  <c r="Q703" i="4"/>
  <c r="R703" i="4"/>
  <c r="O704" i="4"/>
  <c r="P704" i="4"/>
  <c r="Q704" i="4"/>
  <c r="R704" i="4"/>
  <c r="O705" i="4"/>
  <c r="P705" i="4"/>
  <c r="Q705" i="4"/>
  <c r="R705" i="4"/>
  <c r="O706" i="4"/>
  <c r="P706" i="4"/>
  <c r="Q706" i="4"/>
  <c r="R706" i="4"/>
  <c r="O707" i="4"/>
  <c r="P707" i="4"/>
  <c r="Q707" i="4"/>
  <c r="R707" i="4"/>
  <c r="O708" i="4"/>
  <c r="P708" i="4"/>
  <c r="Q708" i="4"/>
  <c r="R708" i="4"/>
  <c r="O709" i="4"/>
  <c r="P709" i="4"/>
  <c r="Q709" i="4"/>
  <c r="R709" i="4"/>
  <c r="O710" i="4"/>
  <c r="P710" i="4"/>
  <c r="Q710" i="4"/>
  <c r="R710" i="4"/>
  <c r="O711" i="4"/>
  <c r="P711" i="4"/>
  <c r="Q711" i="4"/>
  <c r="R711" i="4"/>
  <c r="O712" i="4"/>
  <c r="P712" i="4"/>
  <c r="Q712" i="4"/>
  <c r="R712" i="4"/>
  <c r="O713" i="4"/>
  <c r="P713" i="4"/>
  <c r="Q713" i="4"/>
  <c r="R713" i="4"/>
  <c r="O714" i="4"/>
  <c r="P714" i="4"/>
  <c r="Q714" i="4"/>
  <c r="R714" i="4"/>
  <c r="O715" i="4"/>
  <c r="P715" i="4"/>
  <c r="Q715" i="4"/>
  <c r="R715" i="4"/>
  <c r="O716" i="4"/>
  <c r="P716" i="4"/>
  <c r="Q716" i="4"/>
  <c r="R716" i="4"/>
  <c r="O717" i="4"/>
  <c r="P717" i="4"/>
  <c r="Q717" i="4"/>
  <c r="R717" i="4"/>
  <c r="O718" i="4"/>
  <c r="P718" i="4"/>
  <c r="Q718" i="4"/>
  <c r="R718" i="4"/>
  <c r="O719" i="4"/>
  <c r="P719" i="4"/>
  <c r="Q719" i="4"/>
  <c r="R719" i="4"/>
  <c r="O720" i="4"/>
  <c r="P720" i="4"/>
  <c r="Q720" i="4"/>
  <c r="R720" i="4"/>
  <c r="O721" i="4"/>
  <c r="P721" i="4"/>
  <c r="Q721" i="4"/>
  <c r="R721" i="4"/>
  <c r="O722" i="4"/>
  <c r="P722" i="4"/>
  <c r="Q722" i="4"/>
  <c r="R722" i="4"/>
  <c r="O723" i="4"/>
  <c r="P723" i="4"/>
  <c r="Q723" i="4"/>
  <c r="R723" i="4"/>
  <c r="O724" i="4"/>
  <c r="P724" i="4"/>
  <c r="Q724" i="4"/>
  <c r="R724" i="4"/>
  <c r="O725" i="4"/>
  <c r="P725" i="4"/>
  <c r="Q725" i="4"/>
  <c r="R725" i="4"/>
  <c r="O726" i="4"/>
  <c r="P726" i="4"/>
  <c r="Q726" i="4"/>
  <c r="R726" i="4"/>
  <c r="O727" i="4"/>
  <c r="P727" i="4"/>
  <c r="Q727" i="4"/>
  <c r="R727" i="4"/>
  <c r="O728" i="4"/>
  <c r="P728" i="4"/>
  <c r="Q728" i="4"/>
  <c r="R728" i="4"/>
  <c r="O729" i="4"/>
  <c r="P729" i="4"/>
  <c r="Q729" i="4"/>
  <c r="R729" i="4"/>
  <c r="O730" i="4"/>
  <c r="P730" i="4"/>
  <c r="Q730" i="4"/>
  <c r="R730" i="4"/>
  <c r="O731" i="4"/>
  <c r="P731" i="4"/>
  <c r="Q731" i="4"/>
  <c r="R731" i="4"/>
  <c r="O732" i="4"/>
  <c r="P732" i="4"/>
  <c r="Q732" i="4"/>
  <c r="R732" i="4"/>
  <c r="O733" i="4"/>
  <c r="P733" i="4"/>
  <c r="Q733" i="4"/>
  <c r="R733" i="4"/>
  <c r="O734" i="4"/>
  <c r="P734" i="4"/>
  <c r="Q734" i="4"/>
  <c r="R734" i="4"/>
  <c r="O735" i="4"/>
  <c r="P735" i="4"/>
  <c r="Q735" i="4"/>
  <c r="R735" i="4"/>
  <c r="O736" i="4"/>
  <c r="P736" i="4"/>
  <c r="Q736" i="4"/>
  <c r="R736" i="4"/>
  <c r="O737" i="4"/>
  <c r="P737" i="4"/>
  <c r="Q737" i="4"/>
  <c r="R737" i="4"/>
  <c r="O738" i="4"/>
  <c r="P738" i="4"/>
  <c r="Q738" i="4"/>
  <c r="R738" i="4"/>
  <c r="O739" i="4"/>
  <c r="P739" i="4"/>
  <c r="Q739" i="4"/>
  <c r="R739" i="4"/>
  <c r="O740" i="4"/>
  <c r="P740" i="4"/>
  <c r="Q740" i="4"/>
  <c r="R740" i="4"/>
  <c r="O741" i="4"/>
  <c r="P741" i="4"/>
  <c r="Q741" i="4"/>
  <c r="R741" i="4"/>
  <c r="O742" i="4"/>
  <c r="P742" i="4"/>
  <c r="Q742" i="4"/>
  <c r="R742" i="4"/>
  <c r="O743" i="4"/>
  <c r="P743" i="4"/>
  <c r="Q743" i="4"/>
  <c r="R743" i="4"/>
  <c r="O744" i="4"/>
  <c r="P744" i="4"/>
  <c r="Q744" i="4"/>
  <c r="R744" i="4"/>
  <c r="O745" i="4"/>
  <c r="P745" i="4"/>
  <c r="Q745" i="4"/>
  <c r="R745" i="4"/>
  <c r="O746" i="4"/>
  <c r="P746" i="4"/>
  <c r="Q746" i="4"/>
  <c r="R746" i="4"/>
  <c r="O747" i="4"/>
  <c r="P747" i="4"/>
  <c r="Q747" i="4"/>
  <c r="R747" i="4"/>
  <c r="O748" i="4"/>
  <c r="P748" i="4"/>
  <c r="Q748" i="4"/>
  <c r="R748" i="4"/>
  <c r="O749" i="4"/>
  <c r="P749" i="4"/>
  <c r="Q749" i="4"/>
  <c r="R749" i="4"/>
  <c r="O750" i="4"/>
  <c r="P750" i="4"/>
  <c r="Q750" i="4"/>
  <c r="R750" i="4"/>
  <c r="O751" i="4"/>
  <c r="P751" i="4"/>
  <c r="Q751" i="4"/>
  <c r="R751" i="4"/>
  <c r="O752" i="4"/>
  <c r="P752" i="4"/>
  <c r="Q752" i="4"/>
  <c r="R752" i="4"/>
  <c r="O753" i="4"/>
  <c r="P753" i="4"/>
  <c r="Q753" i="4"/>
  <c r="R753" i="4"/>
  <c r="O754" i="4"/>
  <c r="P754" i="4"/>
  <c r="Q754" i="4"/>
  <c r="R754" i="4"/>
  <c r="O755" i="4"/>
  <c r="P755" i="4"/>
  <c r="Q755" i="4"/>
  <c r="R755" i="4"/>
  <c r="O756" i="4"/>
  <c r="P756" i="4"/>
  <c r="Q756" i="4"/>
  <c r="R756" i="4"/>
  <c r="O757" i="4"/>
  <c r="P757" i="4"/>
  <c r="Q757" i="4"/>
  <c r="R757" i="4"/>
  <c r="O758" i="4"/>
  <c r="P758" i="4"/>
  <c r="Q758" i="4"/>
  <c r="R758" i="4"/>
  <c r="O759" i="4"/>
  <c r="P759" i="4"/>
  <c r="Q759" i="4"/>
  <c r="R759" i="4"/>
  <c r="O760" i="4"/>
  <c r="P760" i="4"/>
  <c r="Q760" i="4"/>
  <c r="R760" i="4"/>
  <c r="O761" i="4"/>
  <c r="P761" i="4"/>
  <c r="Q761" i="4"/>
  <c r="R761" i="4"/>
  <c r="O762" i="4"/>
  <c r="P762" i="4"/>
  <c r="Q762" i="4"/>
  <c r="R762" i="4"/>
  <c r="O763" i="4"/>
  <c r="P763" i="4"/>
  <c r="Q763" i="4"/>
  <c r="R763" i="4"/>
  <c r="O764" i="4"/>
  <c r="P764" i="4"/>
  <c r="Q764" i="4"/>
  <c r="R764" i="4"/>
  <c r="O765" i="4"/>
  <c r="P765" i="4"/>
  <c r="Q765" i="4"/>
  <c r="R765" i="4"/>
  <c r="O766" i="4"/>
  <c r="P766" i="4"/>
  <c r="Q766" i="4"/>
  <c r="R766" i="4"/>
  <c r="O767" i="4"/>
  <c r="P767" i="4"/>
  <c r="Q767" i="4"/>
  <c r="R767" i="4"/>
  <c r="O768" i="4"/>
  <c r="P768" i="4"/>
  <c r="Q768" i="4"/>
  <c r="R768" i="4"/>
  <c r="O769" i="4"/>
  <c r="P769" i="4"/>
  <c r="Q769" i="4"/>
  <c r="R769" i="4"/>
  <c r="O770" i="4"/>
  <c r="P770" i="4"/>
  <c r="Q770" i="4"/>
  <c r="R770" i="4"/>
  <c r="O771" i="4"/>
  <c r="P771" i="4"/>
  <c r="Q771" i="4"/>
  <c r="R771" i="4"/>
  <c r="O772" i="4"/>
  <c r="P772" i="4"/>
  <c r="Q772" i="4"/>
  <c r="R772" i="4"/>
  <c r="O773" i="4"/>
  <c r="P773" i="4"/>
  <c r="Q773" i="4"/>
  <c r="R773" i="4"/>
  <c r="O774" i="4"/>
  <c r="P774" i="4"/>
  <c r="Q774" i="4"/>
  <c r="R774" i="4"/>
  <c r="O775" i="4"/>
  <c r="P775" i="4"/>
  <c r="Q775" i="4"/>
  <c r="R775" i="4"/>
  <c r="O776" i="4"/>
  <c r="P776" i="4"/>
  <c r="Q776" i="4"/>
  <c r="R776" i="4"/>
  <c r="O777" i="4"/>
  <c r="P777" i="4"/>
  <c r="Q777" i="4"/>
  <c r="R777" i="4"/>
  <c r="O778" i="4"/>
  <c r="P778" i="4"/>
  <c r="Q778" i="4"/>
  <c r="R778" i="4"/>
  <c r="O779" i="4"/>
  <c r="P779" i="4"/>
  <c r="Q779" i="4"/>
  <c r="R779" i="4"/>
  <c r="O780" i="4"/>
  <c r="P780" i="4"/>
  <c r="Q780" i="4"/>
  <c r="R780" i="4"/>
  <c r="O781" i="4"/>
  <c r="P781" i="4"/>
  <c r="Q781" i="4"/>
  <c r="R781" i="4"/>
  <c r="O782" i="4"/>
  <c r="P782" i="4"/>
  <c r="Q782" i="4"/>
  <c r="R782" i="4"/>
  <c r="O783" i="4"/>
  <c r="P783" i="4"/>
  <c r="Q783" i="4"/>
  <c r="R783" i="4"/>
  <c r="O784" i="4"/>
  <c r="P784" i="4"/>
  <c r="Q784" i="4"/>
  <c r="R784" i="4"/>
  <c r="O785" i="4"/>
  <c r="P785" i="4"/>
  <c r="Q785" i="4"/>
  <c r="R785" i="4"/>
  <c r="O786" i="4"/>
  <c r="P786" i="4"/>
  <c r="Q786" i="4"/>
  <c r="R786" i="4"/>
  <c r="O787" i="4"/>
  <c r="P787" i="4"/>
  <c r="Q787" i="4"/>
  <c r="R787" i="4"/>
  <c r="O788" i="4"/>
  <c r="P788" i="4"/>
  <c r="Q788" i="4"/>
  <c r="R788" i="4"/>
  <c r="O789" i="4"/>
  <c r="P789" i="4"/>
  <c r="Q789" i="4"/>
  <c r="R789" i="4"/>
  <c r="O790" i="4"/>
  <c r="P790" i="4"/>
  <c r="Q790" i="4"/>
  <c r="R790" i="4"/>
  <c r="O791" i="4"/>
  <c r="P791" i="4"/>
  <c r="Q791" i="4"/>
  <c r="R791" i="4"/>
  <c r="O792" i="4"/>
  <c r="P792" i="4"/>
  <c r="Q792" i="4"/>
  <c r="R792" i="4"/>
  <c r="O793" i="4"/>
  <c r="P793" i="4"/>
  <c r="Q793" i="4"/>
  <c r="R793" i="4"/>
  <c r="O794" i="4"/>
  <c r="P794" i="4"/>
  <c r="Q794" i="4"/>
  <c r="R794" i="4"/>
  <c r="O795" i="4"/>
  <c r="P795" i="4"/>
  <c r="Q795" i="4"/>
  <c r="R795" i="4"/>
  <c r="O796" i="4"/>
  <c r="P796" i="4"/>
  <c r="Q796" i="4"/>
  <c r="R796" i="4"/>
  <c r="O797" i="4"/>
  <c r="P797" i="4"/>
  <c r="Q797" i="4"/>
  <c r="R797" i="4"/>
  <c r="O798" i="4"/>
  <c r="P798" i="4"/>
  <c r="Q798" i="4"/>
  <c r="R798" i="4"/>
  <c r="O799" i="4"/>
  <c r="P799" i="4"/>
  <c r="Q799" i="4"/>
  <c r="R799" i="4"/>
  <c r="O800" i="4"/>
  <c r="P800" i="4"/>
  <c r="Q800" i="4"/>
  <c r="R800" i="4"/>
  <c r="O801" i="4"/>
  <c r="P801" i="4"/>
  <c r="Q801" i="4"/>
  <c r="R801" i="4"/>
  <c r="O802" i="4"/>
  <c r="P802" i="4"/>
  <c r="Q802" i="4"/>
  <c r="R802" i="4"/>
  <c r="O803" i="4"/>
  <c r="P803" i="4"/>
  <c r="Q803" i="4"/>
  <c r="R803" i="4"/>
  <c r="O804" i="4"/>
  <c r="P804" i="4"/>
  <c r="Q804" i="4"/>
  <c r="R804" i="4"/>
  <c r="O805" i="4"/>
  <c r="P805" i="4"/>
  <c r="Q805" i="4"/>
  <c r="R805" i="4"/>
  <c r="O806" i="4"/>
  <c r="P806" i="4"/>
  <c r="Q806" i="4"/>
  <c r="R806" i="4"/>
  <c r="O807" i="4"/>
  <c r="P807" i="4"/>
  <c r="Q807" i="4"/>
  <c r="R807" i="4"/>
  <c r="O808" i="4"/>
  <c r="P808" i="4"/>
  <c r="Q808" i="4"/>
  <c r="R808" i="4"/>
  <c r="O809" i="4"/>
  <c r="P809" i="4"/>
  <c r="Q809" i="4"/>
  <c r="R809" i="4"/>
  <c r="O810" i="4"/>
  <c r="P810" i="4"/>
  <c r="Q810" i="4"/>
  <c r="R810" i="4"/>
  <c r="O811" i="4"/>
  <c r="P811" i="4"/>
  <c r="Q811" i="4"/>
  <c r="R811" i="4"/>
  <c r="O812" i="4"/>
  <c r="P812" i="4"/>
  <c r="Q812" i="4"/>
  <c r="R812" i="4"/>
  <c r="O813" i="4"/>
  <c r="P813" i="4"/>
  <c r="Q813" i="4"/>
  <c r="R813" i="4"/>
  <c r="O814" i="4"/>
  <c r="P814" i="4"/>
  <c r="Q814" i="4"/>
  <c r="R814" i="4"/>
  <c r="O815" i="4"/>
  <c r="P815" i="4"/>
  <c r="Q815" i="4"/>
  <c r="R815" i="4"/>
  <c r="O816" i="4"/>
  <c r="P816" i="4"/>
  <c r="Q816" i="4"/>
  <c r="R816" i="4"/>
  <c r="O817" i="4"/>
  <c r="P817" i="4"/>
  <c r="Q817" i="4"/>
  <c r="R817" i="4"/>
  <c r="O818" i="4"/>
  <c r="P818" i="4"/>
  <c r="Q818" i="4"/>
  <c r="R818" i="4"/>
  <c r="O819" i="4"/>
  <c r="P819" i="4"/>
  <c r="Q819" i="4"/>
  <c r="R819" i="4"/>
  <c r="O820" i="4"/>
  <c r="P820" i="4"/>
  <c r="Q820" i="4"/>
  <c r="R820" i="4"/>
  <c r="O821" i="4"/>
  <c r="P821" i="4"/>
  <c r="Q821" i="4"/>
  <c r="R821" i="4"/>
  <c r="O822" i="4"/>
  <c r="P822" i="4"/>
  <c r="Q822" i="4"/>
  <c r="R822" i="4"/>
  <c r="O823" i="4"/>
  <c r="P823" i="4"/>
  <c r="Q823" i="4"/>
  <c r="R823" i="4"/>
  <c r="O824" i="4"/>
  <c r="P824" i="4"/>
  <c r="Q824" i="4"/>
  <c r="R824" i="4"/>
  <c r="O825" i="4"/>
  <c r="P825" i="4"/>
  <c r="Q825" i="4"/>
  <c r="R825" i="4"/>
  <c r="O826" i="4"/>
  <c r="P826" i="4"/>
  <c r="Q826" i="4"/>
  <c r="R826" i="4"/>
  <c r="O827" i="4"/>
  <c r="P827" i="4"/>
  <c r="Q827" i="4"/>
  <c r="R827" i="4"/>
  <c r="O828" i="4"/>
  <c r="P828" i="4"/>
  <c r="Q828" i="4"/>
  <c r="R828" i="4"/>
  <c r="O829" i="4"/>
  <c r="P829" i="4"/>
  <c r="Q829" i="4"/>
  <c r="R829" i="4"/>
  <c r="O830" i="4"/>
  <c r="P830" i="4"/>
  <c r="Q830" i="4"/>
  <c r="R830" i="4"/>
  <c r="O831" i="4"/>
  <c r="P831" i="4"/>
  <c r="Q831" i="4"/>
  <c r="R831" i="4"/>
  <c r="O832" i="4"/>
  <c r="P832" i="4"/>
  <c r="Q832" i="4"/>
  <c r="R832" i="4"/>
  <c r="O833" i="4"/>
  <c r="P833" i="4"/>
  <c r="Q833" i="4"/>
  <c r="R833" i="4"/>
  <c r="O834" i="4"/>
  <c r="P834" i="4"/>
  <c r="Q834" i="4"/>
  <c r="R834" i="4"/>
  <c r="O835" i="4"/>
  <c r="P835" i="4"/>
  <c r="Q835" i="4"/>
  <c r="R835" i="4"/>
  <c r="O836" i="4"/>
  <c r="P836" i="4"/>
  <c r="Q836" i="4"/>
  <c r="R836" i="4"/>
  <c r="O837" i="4"/>
  <c r="P837" i="4"/>
  <c r="Q837" i="4"/>
  <c r="R837" i="4"/>
  <c r="O838" i="4"/>
  <c r="P838" i="4"/>
  <c r="Q838" i="4"/>
  <c r="R838" i="4"/>
  <c r="O839" i="4"/>
  <c r="P839" i="4"/>
  <c r="Q839" i="4"/>
  <c r="R839" i="4"/>
  <c r="O840" i="4"/>
  <c r="P840" i="4"/>
  <c r="Q840" i="4"/>
  <c r="R840" i="4"/>
  <c r="O841" i="4"/>
  <c r="P841" i="4"/>
  <c r="Q841" i="4"/>
  <c r="R841" i="4"/>
  <c r="O842" i="4"/>
  <c r="P842" i="4"/>
  <c r="Q842" i="4"/>
  <c r="R842" i="4"/>
  <c r="O843" i="4"/>
  <c r="P843" i="4"/>
  <c r="Q843" i="4"/>
  <c r="R843" i="4"/>
  <c r="O844" i="4"/>
  <c r="P844" i="4"/>
  <c r="Q844" i="4"/>
  <c r="R844" i="4"/>
  <c r="O845" i="4"/>
  <c r="P845" i="4"/>
  <c r="Q845" i="4"/>
  <c r="R845" i="4"/>
  <c r="O846" i="4"/>
  <c r="P846" i="4"/>
  <c r="Q846" i="4"/>
  <c r="R846" i="4"/>
  <c r="O847" i="4"/>
  <c r="P847" i="4"/>
  <c r="Q847" i="4"/>
  <c r="R847" i="4"/>
  <c r="O848" i="4"/>
  <c r="P848" i="4"/>
  <c r="Q848" i="4"/>
  <c r="R848" i="4"/>
  <c r="O849" i="4"/>
  <c r="P849" i="4"/>
  <c r="Q849" i="4"/>
  <c r="R849" i="4"/>
  <c r="O850" i="4"/>
  <c r="P850" i="4"/>
  <c r="Q850" i="4"/>
  <c r="R850" i="4"/>
  <c r="O851" i="4"/>
  <c r="P851" i="4"/>
  <c r="Q851" i="4"/>
  <c r="R851" i="4"/>
  <c r="O852" i="4"/>
  <c r="P852" i="4"/>
  <c r="Q852" i="4"/>
  <c r="R852" i="4"/>
  <c r="O853" i="4"/>
  <c r="P853" i="4"/>
  <c r="Q853" i="4"/>
  <c r="R853" i="4"/>
  <c r="O854" i="4"/>
  <c r="P854" i="4"/>
  <c r="Q854" i="4"/>
  <c r="R854" i="4"/>
  <c r="O855" i="4"/>
  <c r="P855" i="4"/>
  <c r="Q855" i="4"/>
  <c r="R855" i="4"/>
  <c r="O856" i="4"/>
  <c r="P856" i="4"/>
  <c r="Q856" i="4"/>
  <c r="R856" i="4"/>
  <c r="O857" i="4"/>
  <c r="P857" i="4"/>
  <c r="Q857" i="4"/>
  <c r="R857" i="4"/>
  <c r="O858" i="4"/>
  <c r="P858" i="4"/>
  <c r="Q858" i="4"/>
  <c r="R858" i="4"/>
  <c r="O859" i="4"/>
  <c r="P859" i="4"/>
  <c r="Q859" i="4"/>
  <c r="R859" i="4"/>
  <c r="O860" i="4"/>
  <c r="P860" i="4"/>
  <c r="Q860" i="4"/>
  <c r="R860" i="4"/>
  <c r="O861" i="4"/>
  <c r="P861" i="4"/>
  <c r="Q861" i="4"/>
  <c r="R861" i="4"/>
  <c r="O862" i="4"/>
  <c r="P862" i="4"/>
  <c r="Q862" i="4"/>
  <c r="R862" i="4"/>
  <c r="O863" i="4"/>
  <c r="P863" i="4"/>
  <c r="Q863" i="4"/>
  <c r="R863" i="4"/>
  <c r="O864" i="4"/>
  <c r="P864" i="4"/>
  <c r="Q864" i="4"/>
  <c r="R864" i="4"/>
  <c r="O865" i="4"/>
  <c r="P865" i="4"/>
  <c r="Q865" i="4"/>
  <c r="R865" i="4"/>
  <c r="O866" i="4"/>
  <c r="P866" i="4"/>
  <c r="Q866" i="4"/>
  <c r="R866" i="4"/>
  <c r="O867" i="4"/>
  <c r="P867" i="4"/>
  <c r="Q867" i="4"/>
  <c r="R867" i="4"/>
  <c r="O868" i="4"/>
  <c r="P868" i="4"/>
  <c r="Q868" i="4"/>
  <c r="R868" i="4"/>
  <c r="O869" i="4"/>
  <c r="P869" i="4"/>
  <c r="Q869" i="4"/>
  <c r="R869" i="4"/>
  <c r="O870" i="4"/>
  <c r="P870" i="4"/>
  <c r="Q870" i="4"/>
  <c r="R870" i="4"/>
  <c r="O871" i="4"/>
  <c r="P871" i="4"/>
  <c r="Q871" i="4"/>
  <c r="R871" i="4"/>
  <c r="O872" i="4"/>
  <c r="P872" i="4"/>
  <c r="Q872" i="4"/>
  <c r="R872" i="4"/>
  <c r="O873" i="4"/>
  <c r="P873" i="4"/>
  <c r="Q873" i="4"/>
  <c r="R873" i="4"/>
  <c r="O874" i="4"/>
  <c r="P874" i="4"/>
  <c r="Q874" i="4"/>
  <c r="R874" i="4"/>
  <c r="O875" i="4"/>
  <c r="P875" i="4"/>
  <c r="Q875" i="4"/>
  <c r="R875" i="4"/>
  <c r="O876" i="4"/>
  <c r="P876" i="4"/>
  <c r="Q876" i="4"/>
  <c r="R876" i="4"/>
  <c r="O877" i="4"/>
  <c r="P877" i="4"/>
  <c r="Q877" i="4"/>
  <c r="R877" i="4"/>
  <c r="O878" i="4"/>
  <c r="P878" i="4"/>
  <c r="Q878" i="4"/>
  <c r="R878" i="4"/>
  <c r="O879" i="4"/>
  <c r="P879" i="4"/>
  <c r="Q879" i="4"/>
  <c r="R879" i="4"/>
  <c r="O880" i="4"/>
  <c r="P880" i="4"/>
  <c r="Q880" i="4"/>
  <c r="R880" i="4"/>
  <c r="O881" i="4"/>
  <c r="P881" i="4"/>
  <c r="Q881" i="4"/>
  <c r="R881" i="4"/>
  <c r="O882" i="4"/>
  <c r="P882" i="4"/>
  <c r="Q882" i="4"/>
  <c r="R882" i="4"/>
  <c r="O883" i="4"/>
  <c r="P883" i="4"/>
  <c r="Q883" i="4"/>
  <c r="R883" i="4"/>
  <c r="O884" i="4"/>
  <c r="P884" i="4"/>
  <c r="Q884" i="4"/>
  <c r="R884" i="4"/>
  <c r="O885" i="4"/>
  <c r="P885" i="4"/>
  <c r="Q885" i="4"/>
  <c r="R885" i="4"/>
  <c r="O886" i="4"/>
  <c r="P886" i="4"/>
  <c r="Q886" i="4"/>
  <c r="R886" i="4"/>
  <c r="O887" i="4"/>
  <c r="P887" i="4"/>
  <c r="Q887" i="4"/>
  <c r="R887" i="4"/>
  <c r="O888" i="4"/>
  <c r="P888" i="4"/>
  <c r="Q888" i="4"/>
  <c r="R888" i="4"/>
  <c r="O889" i="4"/>
  <c r="P889" i="4"/>
  <c r="Q889" i="4"/>
  <c r="R889" i="4"/>
  <c r="O890" i="4"/>
  <c r="P890" i="4"/>
  <c r="Q890" i="4"/>
  <c r="R890" i="4"/>
  <c r="O891" i="4"/>
  <c r="P891" i="4"/>
  <c r="Q891" i="4"/>
  <c r="R891" i="4"/>
  <c r="O892" i="4"/>
  <c r="P892" i="4"/>
  <c r="Q892" i="4"/>
  <c r="R892" i="4"/>
  <c r="O893" i="4"/>
  <c r="P893" i="4"/>
  <c r="Q893" i="4"/>
  <c r="R893" i="4"/>
  <c r="O894" i="4"/>
  <c r="P894" i="4"/>
  <c r="Q894" i="4"/>
  <c r="R894" i="4"/>
  <c r="O895" i="4"/>
  <c r="P895" i="4"/>
  <c r="Q895" i="4"/>
  <c r="R895" i="4"/>
  <c r="O896" i="4"/>
  <c r="P896" i="4"/>
  <c r="Q896" i="4"/>
  <c r="R896" i="4"/>
  <c r="O897" i="4"/>
  <c r="P897" i="4"/>
  <c r="Q897" i="4"/>
  <c r="R897" i="4"/>
  <c r="O898" i="4"/>
  <c r="P898" i="4"/>
  <c r="Q898" i="4"/>
  <c r="R898" i="4"/>
  <c r="O899" i="4"/>
  <c r="P899" i="4"/>
  <c r="Q899" i="4"/>
  <c r="R899" i="4"/>
  <c r="O900" i="4"/>
  <c r="P900" i="4"/>
  <c r="Q900" i="4"/>
  <c r="R900" i="4"/>
  <c r="O901" i="4"/>
  <c r="P901" i="4"/>
  <c r="Q901" i="4"/>
  <c r="R901" i="4"/>
  <c r="O902" i="4"/>
  <c r="P902" i="4"/>
  <c r="Q902" i="4"/>
  <c r="R902" i="4"/>
  <c r="O903" i="4"/>
  <c r="P903" i="4"/>
  <c r="Q903" i="4"/>
  <c r="R903" i="4"/>
  <c r="O904" i="4"/>
  <c r="P904" i="4"/>
  <c r="Q904" i="4"/>
  <c r="R904" i="4"/>
  <c r="O905" i="4"/>
  <c r="P905" i="4"/>
  <c r="Q905" i="4"/>
  <c r="R905" i="4"/>
  <c r="O906" i="4"/>
  <c r="P906" i="4"/>
  <c r="Q906" i="4"/>
  <c r="R906" i="4"/>
  <c r="O907" i="4"/>
  <c r="P907" i="4"/>
  <c r="Q907" i="4"/>
  <c r="R907" i="4"/>
  <c r="O908" i="4"/>
  <c r="P908" i="4"/>
  <c r="Q908" i="4"/>
  <c r="R908" i="4"/>
  <c r="O909" i="4"/>
  <c r="P909" i="4"/>
  <c r="Q909" i="4"/>
  <c r="R909" i="4"/>
  <c r="O910" i="4"/>
  <c r="P910" i="4"/>
  <c r="Q910" i="4"/>
  <c r="R910" i="4"/>
  <c r="O911" i="4"/>
  <c r="P911" i="4"/>
  <c r="Q911" i="4"/>
  <c r="R911" i="4"/>
  <c r="O912" i="4"/>
  <c r="P912" i="4"/>
  <c r="Q912" i="4"/>
  <c r="R912" i="4"/>
  <c r="O913" i="4"/>
  <c r="P913" i="4"/>
  <c r="Q913" i="4"/>
  <c r="R913" i="4"/>
  <c r="O914" i="4"/>
  <c r="P914" i="4"/>
  <c r="Q914" i="4"/>
  <c r="R914" i="4"/>
  <c r="O915" i="4"/>
  <c r="P915" i="4"/>
  <c r="Q915" i="4"/>
  <c r="R915" i="4"/>
  <c r="O916" i="4"/>
  <c r="P916" i="4"/>
  <c r="Q916" i="4"/>
  <c r="R916" i="4"/>
  <c r="O917" i="4"/>
  <c r="P917" i="4"/>
  <c r="Q917" i="4"/>
  <c r="R917" i="4"/>
  <c r="O918" i="4"/>
  <c r="P918" i="4"/>
  <c r="Q918" i="4"/>
  <c r="R918" i="4"/>
  <c r="O919" i="4"/>
  <c r="P919" i="4"/>
  <c r="Q919" i="4"/>
  <c r="R919" i="4"/>
  <c r="O920" i="4"/>
  <c r="P920" i="4"/>
  <c r="Q920" i="4"/>
  <c r="R920" i="4"/>
  <c r="O921" i="4"/>
  <c r="P921" i="4"/>
  <c r="Q921" i="4"/>
  <c r="R921" i="4"/>
  <c r="O922" i="4"/>
  <c r="P922" i="4"/>
  <c r="Q922" i="4"/>
  <c r="R922" i="4"/>
  <c r="O923" i="4"/>
  <c r="P923" i="4"/>
  <c r="Q923" i="4"/>
  <c r="R923" i="4"/>
  <c r="O924" i="4"/>
  <c r="P924" i="4"/>
  <c r="Q924" i="4"/>
  <c r="R924" i="4"/>
  <c r="O925" i="4"/>
  <c r="P925" i="4"/>
  <c r="Q925" i="4"/>
  <c r="R925" i="4"/>
  <c r="O926" i="4"/>
  <c r="P926" i="4"/>
  <c r="Q926" i="4"/>
  <c r="R926" i="4"/>
  <c r="O927" i="4"/>
  <c r="P927" i="4"/>
  <c r="Q927" i="4"/>
  <c r="R927" i="4"/>
  <c r="O928" i="4"/>
  <c r="P928" i="4"/>
  <c r="Q928" i="4"/>
  <c r="R928" i="4"/>
  <c r="O929" i="4"/>
  <c r="P929" i="4"/>
  <c r="Q929" i="4"/>
  <c r="R929" i="4"/>
  <c r="O930" i="4"/>
  <c r="P930" i="4"/>
  <c r="Q930" i="4"/>
  <c r="R930" i="4"/>
  <c r="O931" i="4"/>
  <c r="P931" i="4"/>
  <c r="Q931" i="4"/>
  <c r="R931" i="4"/>
  <c r="O932" i="4"/>
  <c r="P932" i="4"/>
  <c r="Q932" i="4"/>
  <c r="R932" i="4"/>
  <c r="O933" i="4"/>
  <c r="P933" i="4"/>
  <c r="Q933" i="4"/>
  <c r="R933" i="4"/>
  <c r="O934" i="4"/>
  <c r="P934" i="4"/>
  <c r="Q934" i="4"/>
  <c r="R934" i="4"/>
  <c r="O935" i="4"/>
  <c r="P935" i="4"/>
  <c r="Q935" i="4"/>
  <c r="R935" i="4"/>
  <c r="O936" i="4"/>
  <c r="P936" i="4"/>
  <c r="Q936" i="4"/>
  <c r="R936" i="4"/>
  <c r="O937" i="4"/>
  <c r="P937" i="4"/>
  <c r="Q937" i="4"/>
  <c r="R937" i="4"/>
  <c r="O938" i="4"/>
  <c r="P938" i="4"/>
  <c r="Q938" i="4"/>
  <c r="R938" i="4"/>
  <c r="O939" i="4"/>
  <c r="P939" i="4"/>
  <c r="Q939" i="4"/>
  <c r="R939" i="4"/>
  <c r="O940" i="4"/>
  <c r="P940" i="4"/>
  <c r="Q940" i="4"/>
  <c r="R940" i="4"/>
  <c r="O941" i="4"/>
  <c r="P941" i="4"/>
  <c r="Q941" i="4"/>
  <c r="R941" i="4"/>
  <c r="O942" i="4"/>
  <c r="P942" i="4"/>
  <c r="Q942" i="4"/>
  <c r="R942" i="4"/>
  <c r="O943" i="4"/>
  <c r="P943" i="4"/>
  <c r="Q943" i="4"/>
  <c r="R943" i="4"/>
  <c r="O944" i="4"/>
  <c r="P944" i="4"/>
  <c r="Q944" i="4"/>
  <c r="R944" i="4"/>
  <c r="O945" i="4"/>
  <c r="P945" i="4"/>
  <c r="Q945" i="4"/>
  <c r="R945" i="4"/>
  <c r="O946" i="4"/>
  <c r="P946" i="4"/>
  <c r="Q946" i="4"/>
  <c r="R946" i="4"/>
  <c r="O947" i="4"/>
  <c r="P947" i="4"/>
  <c r="Q947" i="4"/>
  <c r="R947" i="4"/>
  <c r="O948" i="4"/>
  <c r="P948" i="4"/>
  <c r="Q948" i="4"/>
  <c r="R948" i="4"/>
  <c r="O949" i="4"/>
  <c r="P949" i="4"/>
  <c r="Q949" i="4"/>
  <c r="R949" i="4"/>
  <c r="O950" i="4"/>
  <c r="P950" i="4"/>
  <c r="Q950" i="4"/>
  <c r="R950" i="4"/>
  <c r="O951" i="4"/>
  <c r="P951" i="4"/>
  <c r="Q951" i="4"/>
  <c r="R951" i="4"/>
  <c r="O952" i="4"/>
  <c r="P952" i="4"/>
  <c r="Q952" i="4"/>
  <c r="R952" i="4"/>
  <c r="O953" i="4"/>
  <c r="P953" i="4"/>
  <c r="Q953" i="4"/>
  <c r="R953" i="4"/>
  <c r="O954" i="4"/>
  <c r="P954" i="4"/>
  <c r="Q954" i="4"/>
  <c r="R954" i="4"/>
  <c r="O955" i="4"/>
  <c r="P955" i="4"/>
  <c r="Q955" i="4"/>
  <c r="R955" i="4"/>
  <c r="O956" i="4"/>
  <c r="P956" i="4"/>
  <c r="Q956" i="4"/>
  <c r="R956" i="4"/>
  <c r="O957" i="4"/>
  <c r="P957" i="4"/>
  <c r="Q957" i="4"/>
  <c r="R957" i="4"/>
  <c r="O958" i="4"/>
  <c r="P958" i="4"/>
  <c r="Q958" i="4"/>
  <c r="R958" i="4"/>
  <c r="O959" i="4"/>
  <c r="P959" i="4"/>
  <c r="Q959" i="4"/>
  <c r="R959" i="4"/>
  <c r="O960" i="4"/>
  <c r="P960" i="4"/>
  <c r="Q960" i="4"/>
  <c r="R960" i="4"/>
  <c r="O961" i="4"/>
  <c r="P961" i="4"/>
  <c r="Q961" i="4"/>
  <c r="R961" i="4"/>
  <c r="O962" i="4"/>
  <c r="P962" i="4"/>
  <c r="Q962" i="4"/>
  <c r="R962" i="4"/>
  <c r="O963" i="4"/>
  <c r="P963" i="4"/>
  <c r="Q963" i="4"/>
  <c r="R963" i="4"/>
  <c r="O964" i="4"/>
  <c r="P964" i="4"/>
  <c r="Q964" i="4"/>
  <c r="R964" i="4"/>
  <c r="O965" i="4"/>
  <c r="P965" i="4"/>
  <c r="Q965" i="4"/>
  <c r="R965" i="4"/>
  <c r="O966" i="4"/>
  <c r="P966" i="4"/>
  <c r="Q966" i="4"/>
  <c r="R966" i="4"/>
  <c r="O967" i="4"/>
  <c r="P967" i="4"/>
  <c r="Q967" i="4"/>
  <c r="R967" i="4"/>
  <c r="O968" i="4"/>
  <c r="P968" i="4"/>
  <c r="Q968" i="4"/>
  <c r="R968" i="4"/>
  <c r="O969" i="4"/>
  <c r="P969" i="4"/>
  <c r="Q969" i="4"/>
  <c r="R969" i="4"/>
  <c r="O970" i="4"/>
  <c r="P970" i="4"/>
  <c r="Q970" i="4"/>
  <c r="R970" i="4"/>
  <c r="O971" i="4"/>
  <c r="P971" i="4"/>
  <c r="Q971" i="4"/>
  <c r="R971" i="4"/>
  <c r="O972" i="4"/>
  <c r="P972" i="4"/>
  <c r="Q972" i="4"/>
  <c r="R972" i="4"/>
  <c r="O973" i="4"/>
  <c r="P973" i="4"/>
  <c r="Q973" i="4"/>
  <c r="R973" i="4"/>
  <c r="O974" i="4"/>
  <c r="P974" i="4"/>
  <c r="Q974" i="4"/>
  <c r="R974" i="4"/>
  <c r="O975" i="4"/>
  <c r="P975" i="4"/>
  <c r="Q975" i="4"/>
  <c r="R975" i="4"/>
  <c r="O976" i="4"/>
  <c r="P976" i="4"/>
  <c r="Q976" i="4"/>
  <c r="R976" i="4"/>
  <c r="O977" i="4"/>
  <c r="P977" i="4"/>
  <c r="Q977" i="4"/>
  <c r="R977" i="4"/>
  <c r="O978" i="4"/>
  <c r="P978" i="4"/>
  <c r="Q978" i="4"/>
  <c r="R978" i="4"/>
  <c r="O979" i="4"/>
  <c r="P979" i="4"/>
  <c r="Q979" i="4"/>
  <c r="R979" i="4"/>
  <c r="O980" i="4"/>
  <c r="P980" i="4"/>
  <c r="Q980" i="4"/>
  <c r="R980" i="4"/>
  <c r="O981" i="4"/>
  <c r="P981" i="4"/>
  <c r="Q981" i="4"/>
  <c r="R981" i="4"/>
  <c r="O982" i="4"/>
  <c r="P982" i="4"/>
  <c r="Q982" i="4"/>
  <c r="R982" i="4"/>
  <c r="O983" i="4"/>
  <c r="P983" i="4"/>
  <c r="Q983" i="4"/>
  <c r="R983" i="4"/>
  <c r="O984" i="4"/>
  <c r="P984" i="4"/>
  <c r="Q984" i="4"/>
  <c r="R984" i="4"/>
  <c r="O985" i="4"/>
  <c r="P985" i="4"/>
  <c r="Q985" i="4"/>
  <c r="R985" i="4"/>
  <c r="O986" i="4"/>
  <c r="P986" i="4"/>
  <c r="Q986" i="4"/>
  <c r="R986" i="4"/>
  <c r="O987" i="4"/>
  <c r="P987" i="4"/>
  <c r="Q987" i="4"/>
  <c r="R987" i="4"/>
  <c r="O988" i="4"/>
  <c r="P988" i="4"/>
  <c r="Q988" i="4"/>
  <c r="R988" i="4"/>
  <c r="O989" i="4"/>
  <c r="P989" i="4"/>
  <c r="Q989" i="4"/>
  <c r="R989" i="4"/>
  <c r="O990" i="4"/>
  <c r="P990" i="4"/>
  <c r="Q990" i="4"/>
  <c r="R990" i="4"/>
  <c r="O991" i="4"/>
  <c r="P991" i="4"/>
  <c r="Q991" i="4"/>
  <c r="R991" i="4"/>
  <c r="O992" i="4"/>
  <c r="P992" i="4"/>
  <c r="Q992" i="4"/>
  <c r="R992" i="4"/>
  <c r="O993" i="4"/>
  <c r="P993" i="4"/>
  <c r="Q993" i="4"/>
  <c r="R993" i="4"/>
  <c r="O994" i="4"/>
  <c r="P994" i="4"/>
  <c r="Q994" i="4"/>
  <c r="R994" i="4"/>
  <c r="O995" i="4"/>
  <c r="P995" i="4"/>
  <c r="Q995" i="4"/>
  <c r="R995" i="4"/>
  <c r="O996" i="4"/>
  <c r="P996" i="4"/>
  <c r="Q996" i="4"/>
  <c r="R996" i="4"/>
  <c r="O997" i="4"/>
  <c r="P997" i="4"/>
  <c r="Q997" i="4"/>
  <c r="R997" i="4"/>
  <c r="O998" i="4"/>
  <c r="P998" i="4"/>
  <c r="Q998" i="4"/>
  <c r="R998" i="4"/>
  <c r="O999" i="4"/>
  <c r="P999" i="4"/>
  <c r="Q999" i="4"/>
  <c r="R999" i="4"/>
  <c r="O1000" i="4"/>
  <c r="P1000" i="4"/>
  <c r="Q1000" i="4"/>
  <c r="R1000" i="4"/>
  <c r="O1001" i="4"/>
  <c r="P1001" i="4"/>
  <c r="Q1001" i="4"/>
  <c r="R1001" i="4"/>
  <c r="O1002" i="4"/>
  <c r="P1002" i="4"/>
  <c r="Q1002" i="4"/>
  <c r="R1002" i="4"/>
  <c r="O1003" i="4"/>
  <c r="P1003" i="4"/>
  <c r="Q1003" i="4"/>
  <c r="R1003" i="4"/>
  <c r="O1004" i="4"/>
  <c r="P1004" i="4"/>
  <c r="Q1004" i="4"/>
  <c r="R1004" i="4"/>
  <c r="O1005" i="4"/>
  <c r="P1005" i="4"/>
  <c r="Q1005" i="4"/>
  <c r="R1005" i="4"/>
  <c r="O1006" i="4"/>
  <c r="P1006" i="4"/>
  <c r="Q1006" i="4"/>
  <c r="R1006" i="4"/>
  <c r="O1007" i="4"/>
  <c r="P1007" i="4"/>
  <c r="Q1007" i="4"/>
  <c r="R1007" i="4"/>
  <c r="O1008" i="4"/>
  <c r="P1008" i="4"/>
  <c r="Q1008" i="4"/>
  <c r="R1008" i="4"/>
  <c r="O1009" i="4"/>
  <c r="P1009" i="4"/>
  <c r="Q1009" i="4"/>
  <c r="R1009" i="4"/>
  <c r="O1010" i="4"/>
  <c r="P1010" i="4"/>
  <c r="Q1010" i="4"/>
  <c r="R1010" i="4"/>
  <c r="O1011" i="4"/>
  <c r="P1011" i="4"/>
  <c r="Q1011" i="4"/>
  <c r="R1011" i="4"/>
  <c r="O1012" i="4"/>
  <c r="P1012" i="4"/>
  <c r="Q1012" i="4"/>
  <c r="R1012" i="4"/>
  <c r="O1013" i="4"/>
  <c r="P1013" i="4"/>
  <c r="Q1013" i="4"/>
  <c r="R1013" i="4"/>
  <c r="O1014" i="4"/>
  <c r="P1014" i="4"/>
  <c r="Q1014" i="4"/>
  <c r="R1014" i="4"/>
  <c r="O1015" i="4"/>
  <c r="P1015" i="4"/>
  <c r="Q1015" i="4"/>
  <c r="R1015" i="4"/>
  <c r="O1016" i="4"/>
  <c r="P1016" i="4"/>
  <c r="Q1016" i="4"/>
  <c r="R1016" i="4"/>
  <c r="O1017" i="4"/>
  <c r="P1017" i="4"/>
  <c r="Q1017" i="4"/>
  <c r="R1017" i="4"/>
  <c r="O1018" i="4"/>
  <c r="P1018" i="4"/>
  <c r="Q1018" i="4"/>
  <c r="R1018" i="4"/>
  <c r="O1019" i="4"/>
  <c r="P1019" i="4"/>
  <c r="Q1019" i="4"/>
  <c r="R1019" i="4"/>
  <c r="O1020" i="4"/>
  <c r="P1020" i="4"/>
  <c r="Q1020" i="4"/>
  <c r="R1020" i="4"/>
  <c r="O1021" i="4"/>
  <c r="P1021" i="4"/>
  <c r="Q1021" i="4"/>
  <c r="R1021" i="4"/>
  <c r="U27" i="4"/>
  <c r="U23" i="4"/>
  <c r="U25" i="4"/>
  <c r="U26" i="4"/>
  <c r="B40" i="4"/>
  <c r="B37" i="4"/>
  <c r="B39" i="4"/>
  <c r="B38" i="4"/>
  <c r="H2" i="4"/>
  <c r="H5" i="4"/>
  <c r="H7" i="4"/>
  <c r="I2" i="4"/>
  <c r="I3" i="4"/>
  <c r="I4" i="4"/>
  <c r="I5" i="4"/>
  <c r="I7" i="4"/>
  <c r="X22" i="4" a="1"/>
  <c r="X22" i="4"/>
  <c r="Z22" i="4"/>
  <c r="G22" i="4" a="1"/>
  <c r="G22" i="4"/>
  <c r="H22" i="4" a="1"/>
  <c r="H22" i="4"/>
  <c r="AB22" i="4"/>
  <c r="AC22" i="4"/>
  <c r="AB25" i="4"/>
  <c r="AA25" i="4"/>
  <c r="Z25" i="4"/>
  <c r="N22" i="4" a="1"/>
  <c r="N22" i="4"/>
  <c r="Q22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S67" i="4"/>
  <c r="S68" i="4"/>
  <c r="S69" i="4"/>
  <c r="S70" i="4"/>
  <c r="S71" i="4"/>
  <c r="S72" i="4"/>
  <c r="S73" i="4"/>
  <c r="S74" i="4"/>
  <c r="S75" i="4"/>
  <c r="S76" i="4"/>
  <c r="S77" i="4"/>
  <c r="S78" i="4"/>
  <c r="S79" i="4"/>
  <c r="S80" i="4"/>
  <c r="S81" i="4"/>
  <c r="S82" i="4"/>
  <c r="S83" i="4"/>
  <c r="S84" i="4"/>
  <c r="S85" i="4"/>
  <c r="S86" i="4"/>
  <c r="S87" i="4"/>
  <c r="S88" i="4"/>
  <c r="S89" i="4"/>
  <c r="S90" i="4"/>
  <c r="S91" i="4"/>
  <c r="S92" i="4"/>
  <c r="S93" i="4"/>
  <c r="S94" i="4"/>
  <c r="S95" i="4"/>
  <c r="S96" i="4"/>
  <c r="S97" i="4"/>
  <c r="S98" i="4"/>
  <c r="S99" i="4"/>
  <c r="S100" i="4"/>
  <c r="S101" i="4"/>
  <c r="S102" i="4"/>
  <c r="S103" i="4"/>
  <c r="S104" i="4"/>
  <c r="S105" i="4"/>
  <c r="S106" i="4"/>
  <c r="S107" i="4"/>
  <c r="S108" i="4"/>
  <c r="S109" i="4"/>
  <c r="S110" i="4"/>
  <c r="S111" i="4"/>
  <c r="S112" i="4"/>
  <c r="S113" i="4"/>
  <c r="S114" i="4"/>
  <c r="S115" i="4"/>
  <c r="S116" i="4"/>
  <c r="S117" i="4"/>
  <c r="S118" i="4"/>
  <c r="S119" i="4"/>
  <c r="S120" i="4"/>
  <c r="S121" i="4"/>
  <c r="S122" i="4"/>
  <c r="S123" i="4"/>
  <c r="S124" i="4"/>
  <c r="S125" i="4"/>
  <c r="S126" i="4"/>
  <c r="S127" i="4"/>
  <c r="S128" i="4"/>
  <c r="S129" i="4"/>
  <c r="S130" i="4"/>
  <c r="S131" i="4"/>
  <c r="S132" i="4"/>
  <c r="S133" i="4"/>
  <c r="S134" i="4"/>
  <c r="S135" i="4"/>
  <c r="S136" i="4"/>
  <c r="S137" i="4"/>
  <c r="S138" i="4"/>
  <c r="S139" i="4"/>
  <c r="S140" i="4"/>
  <c r="S141" i="4"/>
  <c r="S142" i="4"/>
  <c r="S143" i="4"/>
  <c r="S144" i="4"/>
  <c r="S145" i="4"/>
  <c r="S146" i="4"/>
  <c r="S147" i="4"/>
  <c r="S148" i="4"/>
  <c r="S149" i="4"/>
  <c r="S150" i="4"/>
  <c r="S151" i="4"/>
  <c r="S152" i="4"/>
  <c r="S153" i="4"/>
  <c r="S154" i="4"/>
  <c r="S155" i="4"/>
  <c r="S156" i="4"/>
  <c r="S157" i="4"/>
  <c r="S158" i="4"/>
  <c r="S159" i="4"/>
  <c r="S160" i="4"/>
  <c r="S161" i="4"/>
  <c r="S162" i="4"/>
  <c r="S163" i="4"/>
  <c r="S164" i="4"/>
  <c r="S165" i="4"/>
  <c r="S166" i="4"/>
  <c r="S167" i="4"/>
  <c r="S168" i="4"/>
  <c r="S169" i="4"/>
  <c r="S170" i="4"/>
  <c r="S171" i="4"/>
  <c r="S172" i="4"/>
  <c r="S173" i="4"/>
  <c r="S174" i="4"/>
  <c r="S175" i="4"/>
  <c r="S176" i="4"/>
  <c r="S177" i="4"/>
  <c r="S178" i="4"/>
  <c r="S179" i="4"/>
  <c r="S180" i="4"/>
  <c r="S181" i="4"/>
  <c r="S182" i="4"/>
  <c r="S183" i="4"/>
  <c r="S184" i="4"/>
  <c r="S185" i="4"/>
  <c r="S186" i="4"/>
  <c r="S187" i="4"/>
  <c r="S188" i="4"/>
  <c r="S189" i="4"/>
  <c r="S190" i="4"/>
  <c r="S191" i="4"/>
  <c r="S192" i="4"/>
  <c r="S193" i="4"/>
  <c r="S194" i="4"/>
  <c r="S195" i="4"/>
  <c r="S196" i="4"/>
  <c r="S197" i="4"/>
  <c r="S198" i="4"/>
  <c r="S199" i="4"/>
  <c r="S200" i="4"/>
  <c r="S201" i="4"/>
  <c r="S202" i="4"/>
  <c r="S203" i="4"/>
  <c r="S204" i="4"/>
  <c r="S205" i="4"/>
  <c r="S206" i="4"/>
  <c r="S207" i="4"/>
  <c r="S208" i="4"/>
  <c r="S209" i="4"/>
  <c r="S210" i="4"/>
  <c r="S211" i="4"/>
  <c r="S212" i="4"/>
  <c r="S213" i="4"/>
  <c r="S214" i="4"/>
  <c r="S215" i="4"/>
  <c r="S216" i="4"/>
  <c r="S217" i="4"/>
  <c r="S218" i="4"/>
  <c r="S219" i="4"/>
  <c r="S220" i="4"/>
  <c r="S221" i="4"/>
  <c r="S222" i="4"/>
  <c r="S223" i="4"/>
  <c r="S224" i="4"/>
  <c r="S225" i="4"/>
  <c r="S226" i="4"/>
  <c r="S227" i="4"/>
  <c r="S228" i="4"/>
  <c r="S229" i="4"/>
  <c r="S230" i="4"/>
  <c r="S231" i="4"/>
  <c r="S232" i="4"/>
  <c r="S233" i="4"/>
  <c r="S234" i="4"/>
  <c r="S235" i="4"/>
  <c r="S236" i="4"/>
  <c r="S237" i="4"/>
  <c r="S238" i="4"/>
  <c r="S239" i="4"/>
  <c r="S240" i="4"/>
  <c r="S241" i="4"/>
  <c r="S242" i="4"/>
  <c r="S243" i="4"/>
  <c r="S244" i="4"/>
  <c r="S245" i="4"/>
  <c r="S246" i="4"/>
  <c r="S247" i="4"/>
  <c r="S248" i="4"/>
  <c r="S249" i="4"/>
  <c r="S250" i="4"/>
  <c r="S251" i="4"/>
  <c r="S252" i="4"/>
  <c r="S253" i="4"/>
  <c r="S254" i="4"/>
  <c r="S255" i="4"/>
  <c r="S256" i="4"/>
  <c r="S257" i="4"/>
  <c r="S258" i="4"/>
  <c r="S259" i="4"/>
  <c r="S260" i="4"/>
  <c r="S261" i="4"/>
  <c r="S262" i="4"/>
  <c r="S263" i="4"/>
  <c r="S264" i="4"/>
  <c r="S265" i="4"/>
  <c r="S266" i="4"/>
  <c r="S267" i="4"/>
  <c r="S268" i="4"/>
  <c r="S269" i="4"/>
  <c r="S270" i="4"/>
  <c r="S271" i="4"/>
  <c r="S272" i="4"/>
  <c r="S273" i="4"/>
  <c r="S274" i="4"/>
  <c r="S275" i="4"/>
  <c r="S276" i="4"/>
  <c r="S277" i="4"/>
  <c r="S278" i="4"/>
  <c r="S279" i="4"/>
  <c r="S280" i="4"/>
  <c r="S281" i="4"/>
  <c r="S282" i="4"/>
  <c r="S283" i="4"/>
  <c r="S284" i="4"/>
  <c r="S285" i="4"/>
  <c r="S286" i="4"/>
  <c r="S287" i="4"/>
  <c r="S288" i="4"/>
  <c r="S289" i="4"/>
  <c r="S290" i="4"/>
  <c r="S291" i="4"/>
  <c r="S292" i="4"/>
  <c r="S293" i="4"/>
  <c r="S294" i="4"/>
  <c r="S295" i="4"/>
  <c r="S296" i="4"/>
  <c r="S297" i="4"/>
  <c r="S298" i="4"/>
  <c r="S299" i="4"/>
  <c r="S300" i="4"/>
  <c r="S301" i="4"/>
  <c r="S302" i="4"/>
  <c r="S303" i="4"/>
  <c r="S304" i="4"/>
  <c r="S305" i="4"/>
  <c r="S306" i="4"/>
  <c r="S307" i="4"/>
  <c r="S308" i="4"/>
  <c r="S309" i="4"/>
  <c r="S310" i="4"/>
  <c r="S311" i="4"/>
  <c r="S312" i="4"/>
  <c r="S313" i="4"/>
  <c r="S314" i="4"/>
  <c r="S315" i="4"/>
  <c r="S316" i="4"/>
  <c r="S317" i="4"/>
  <c r="S318" i="4"/>
  <c r="S319" i="4"/>
  <c r="S320" i="4"/>
  <c r="S321" i="4"/>
  <c r="S322" i="4"/>
  <c r="S323" i="4"/>
  <c r="S324" i="4"/>
  <c r="S325" i="4"/>
  <c r="S326" i="4"/>
  <c r="S327" i="4"/>
  <c r="S328" i="4"/>
  <c r="S329" i="4"/>
  <c r="S330" i="4"/>
  <c r="S331" i="4"/>
  <c r="S332" i="4"/>
  <c r="S333" i="4"/>
  <c r="S334" i="4"/>
  <c r="S335" i="4"/>
  <c r="S336" i="4"/>
  <c r="S337" i="4"/>
  <c r="S338" i="4"/>
  <c r="S339" i="4"/>
  <c r="S340" i="4"/>
  <c r="S341" i="4"/>
  <c r="S342" i="4"/>
  <c r="S343" i="4"/>
  <c r="S344" i="4"/>
  <c r="S345" i="4"/>
  <c r="S346" i="4"/>
  <c r="S347" i="4"/>
  <c r="S348" i="4"/>
  <c r="S349" i="4"/>
  <c r="S350" i="4"/>
  <c r="S351" i="4"/>
  <c r="S352" i="4"/>
  <c r="S353" i="4"/>
  <c r="S354" i="4"/>
  <c r="S355" i="4"/>
  <c r="S356" i="4"/>
  <c r="S357" i="4"/>
  <c r="S358" i="4"/>
  <c r="S359" i="4"/>
  <c r="S360" i="4"/>
  <c r="S361" i="4"/>
  <c r="S362" i="4"/>
  <c r="S363" i="4"/>
  <c r="S364" i="4"/>
  <c r="S365" i="4"/>
  <c r="S366" i="4"/>
  <c r="S367" i="4"/>
  <c r="S368" i="4"/>
  <c r="S369" i="4"/>
  <c r="S370" i="4"/>
  <c r="S371" i="4"/>
  <c r="S372" i="4"/>
  <c r="S373" i="4"/>
  <c r="S374" i="4"/>
  <c r="S375" i="4"/>
  <c r="S376" i="4"/>
  <c r="S377" i="4"/>
  <c r="S378" i="4"/>
  <c r="S379" i="4"/>
  <c r="S380" i="4"/>
  <c r="S381" i="4"/>
  <c r="S382" i="4"/>
  <c r="S383" i="4"/>
  <c r="S384" i="4"/>
  <c r="S385" i="4"/>
  <c r="S386" i="4"/>
  <c r="S387" i="4"/>
  <c r="S388" i="4"/>
  <c r="S389" i="4"/>
  <c r="S390" i="4"/>
  <c r="S391" i="4"/>
  <c r="S392" i="4"/>
  <c r="S393" i="4"/>
  <c r="S394" i="4"/>
  <c r="S395" i="4"/>
  <c r="S396" i="4"/>
  <c r="S397" i="4"/>
  <c r="S398" i="4"/>
  <c r="S399" i="4"/>
  <c r="S400" i="4"/>
  <c r="S401" i="4"/>
  <c r="S402" i="4"/>
  <c r="S403" i="4"/>
  <c r="S404" i="4"/>
  <c r="S405" i="4"/>
  <c r="S406" i="4"/>
  <c r="S407" i="4"/>
  <c r="S408" i="4"/>
  <c r="S409" i="4"/>
  <c r="S410" i="4"/>
  <c r="S411" i="4"/>
  <c r="S412" i="4"/>
  <c r="S413" i="4"/>
  <c r="S414" i="4"/>
  <c r="S415" i="4"/>
  <c r="S416" i="4"/>
  <c r="S417" i="4"/>
  <c r="S418" i="4"/>
  <c r="S419" i="4"/>
  <c r="S420" i="4"/>
  <c r="S421" i="4"/>
  <c r="S422" i="4"/>
  <c r="S423" i="4"/>
  <c r="S424" i="4"/>
  <c r="S425" i="4"/>
  <c r="S426" i="4"/>
  <c r="S427" i="4"/>
  <c r="S428" i="4"/>
  <c r="S429" i="4"/>
  <c r="S430" i="4"/>
  <c r="S431" i="4"/>
  <c r="S432" i="4"/>
  <c r="S433" i="4"/>
  <c r="S434" i="4"/>
  <c r="S435" i="4"/>
  <c r="S436" i="4"/>
  <c r="S437" i="4"/>
  <c r="S438" i="4"/>
  <c r="S439" i="4"/>
  <c r="S440" i="4"/>
  <c r="S441" i="4"/>
  <c r="S442" i="4"/>
  <c r="S443" i="4"/>
  <c r="S444" i="4"/>
  <c r="S445" i="4"/>
  <c r="S446" i="4"/>
  <c r="S447" i="4"/>
  <c r="S448" i="4"/>
  <c r="S449" i="4"/>
  <c r="S450" i="4"/>
  <c r="S451" i="4"/>
  <c r="S452" i="4"/>
  <c r="S453" i="4"/>
  <c r="S454" i="4"/>
  <c r="S455" i="4"/>
  <c r="S456" i="4"/>
  <c r="S457" i="4"/>
  <c r="S458" i="4"/>
  <c r="S459" i="4"/>
  <c r="S460" i="4"/>
  <c r="S461" i="4"/>
  <c r="S462" i="4"/>
  <c r="S463" i="4"/>
  <c r="S464" i="4"/>
  <c r="S465" i="4"/>
  <c r="S466" i="4"/>
  <c r="S467" i="4"/>
  <c r="S468" i="4"/>
  <c r="S469" i="4"/>
  <c r="S470" i="4"/>
  <c r="S471" i="4"/>
  <c r="S472" i="4"/>
  <c r="S473" i="4"/>
  <c r="S474" i="4"/>
  <c r="S475" i="4"/>
  <c r="S476" i="4"/>
  <c r="S477" i="4"/>
  <c r="S478" i="4"/>
  <c r="S479" i="4"/>
  <c r="S480" i="4"/>
  <c r="S481" i="4"/>
  <c r="S482" i="4"/>
  <c r="S483" i="4"/>
  <c r="S484" i="4"/>
  <c r="S485" i="4"/>
  <c r="S486" i="4"/>
  <c r="S487" i="4"/>
  <c r="S488" i="4"/>
  <c r="S489" i="4"/>
  <c r="S490" i="4"/>
  <c r="S491" i="4"/>
  <c r="S492" i="4"/>
  <c r="S493" i="4"/>
  <c r="S494" i="4"/>
  <c r="S495" i="4"/>
  <c r="S496" i="4"/>
  <c r="S497" i="4"/>
  <c r="S498" i="4"/>
  <c r="S499" i="4"/>
  <c r="S500" i="4"/>
  <c r="S501" i="4"/>
  <c r="S502" i="4"/>
  <c r="S503" i="4"/>
  <c r="S504" i="4"/>
  <c r="S505" i="4"/>
  <c r="S506" i="4"/>
  <c r="S507" i="4"/>
  <c r="S508" i="4"/>
  <c r="S509" i="4"/>
  <c r="S510" i="4"/>
  <c r="S511" i="4"/>
  <c r="S512" i="4"/>
  <c r="S513" i="4"/>
  <c r="S514" i="4"/>
  <c r="S515" i="4"/>
  <c r="S516" i="4"/>
  <c r="S517" i="4"/>
  <c r="S518" i="4"/>
  <c r="S519" i="4"/>
  <c r="S520" i="4"/>
  <c r="S521" i="4"/>
  <c r="S522" i="4"/>
  <c r="S523" i="4"/>
  <c r="S524" i="4"/>
  <c r="S525" i="4"/>
  <c r="S526" i="4"/>
  <c r="S527" i="4"/>
  <c r="S528" i="4"/>
  <c r="S529" i="4"/>
  <c r="S530" i="4"/>
  <c r="S531" i="4"/>
  <c r="S532" i="4"/>
  <c r="S533" i="4"/>
  <c r="S534" i="4"/>
  <c r="S535" i="4"/>
  <c r="S536" i="4"/>
  <c r="S537" i="4"/>
  <c r="S538" i="4"/>
  <c r="S539" i="4"/>
  <c r="S540" i="4"/>
  <c r="S541" i="4"/>
  <c r="S542" i="4"/>
  <c r="S543" i="4"/>
  <c r="S544" i="4"/>
  <c r="S545" i="4"/>
  <c r="S546" i="4"/>
  <c r="S547" i="4"/>
  <c r="S548" i="4"/>
  <c r="S549" i="4"/>
  <c r="S550" i="4"/>
  <c r="S551" i="4"/>
  <c r="S552" i="4"/>
  <c r="S553" i="4"/>
  <c r="S554" i="4"/>
  <c r="S555" i="4"/>
  <c r="S556" i="4"/>
  <c r="S557" i="4"/>
  <c r="S558" i="4"/>
  <c r="S559" i="4"/>
  <c r="S560" i="4"/>
  <c r="S561" i="4"/>
  <c r="S562" i="4"/>
  <c r="S563" i="4"/>
  <c r="S564" i="4"/>
  <c r="S565" i="4"/>
  <c r="S566" i="4"/>
  <c r="S567" i="4"/>
  <c r="S568" i="4"/>
  <c r="S569" i="4"/>
  <c r="S570" i="4"/>
  <c r="S571" i="4"/>
  <c r="S572" i="4"/>
  <c r="S573" i="4"/>
  <c r="S574" i="4"/>
  <c r="S575" i="4"/>
  <c r="S576" i="4"/>
  <c r="S577" i="4"/>
  <c r="S578" i="4"/>
  <c r="S579" i="4"/>
  <c r="S580" i="4"/>
  <c r="S581" i="4"/>
  <c r="S582" i="4"/>
  <c r="S583" i="4"/>
  <c r="S584" i="4"/>
  <c r="S585" i="4"/>
  <c r="S586" i="4"/>
  <c r="S587" i="4"/>
  <c r="S588" i="4"/>
  <c r="S589" i="4"/>
  <c r="S590" i="4"/>
  <c r="S591" i="4"/>
  <c r="S592" i="4"/>
  <c r="S593" i="4"/>
  <c r="S594" i="4"/>
  <c r="S595" i="4"/>
  <c r="S596" i="4"/>
  <c r="S597" i="4"/>
  <c r="S598" i="4"/>
  <c r="S599" i="4"/>
  <c r="S600" i="4"/>
  <c r="S601" i="4"/>
  <c r="S602" i="4"/>
  <c r="S603" i="4"/>
  <c r="S604" i="4"/>
  <c r="S605" i="4"/>
  <c r="S606" i="4"/>
  <c r="S607" i="4"/>
  <c r="S608" i="4"/>
  <c r="S609" i="4"/>
  <c r="S610" i="4"/>
  <c r="S611" i="4"/>
  <c r="S612" i="4"/>
  <c r="S613" i="4"/>
  <c r="S614" i="4"/>
  <c r="S615" i="4"/>
  <c r="S616" i="4"/>
  <c r="S617" i="4"/>
  <c r="S618" i="4"/>
  <c r="S619" i="4"/>
  <c r="S620" i="4"/>
  <c r="S621" i="4"/>
  <c r="S622" i="4"/>
  <c r="S623" i="4"/>
  <c r="S624" i="4"/>
  <c r="S625" i="4"/>
  <c r="S626" i="4"/>
  <c r="S627" i="4"/>
  <c r="S628" i="4"/>
  <c r="S629" i="4"/>
  <c r="S630" i="4"/>
  <c r="S631" i="4"/>
  <c r="S632" i="4"/>
  <c r="S633" i="4"/>
  <c r="S634" i="4"/>
  <c r="S635" i="4"/>
  <c r="S636" i="4"/>
  <c r="S637" i="4"/>
  <c r="S638" i="4"/>
  <c r="S639" i="4"/>
  <c r="S640" i="4"/>
  <c r="S641" i="4"/>
  <c r="S642" i="4"/>
  <c r="S643" i="4"/>
  <c r="S644" i="4"/>
  <c r="S645" i="4"/>
  <c r="S646" i="4"/>
  <c r="S647" i="4"/>
  <c r="S648" i="4"/>
  <c r="S649" i="4"/>
  <c r="S650" i="4"/>
  <c r="S651" i="4"/>
  <c r="S652" i="4"/>
  <c r="S653" i="4"/>
  <c r="S654" i="4"/>
  <c r="S655" i="4"/>
  <c r="S656" i="4"/>
  <c r="S657" i="4"/>
  <c r="S658" i="4"/>
  <c r="S659" i="4"/>
  <c r="S660" i="4"/>
  <c r="S661" i="4"/>
  <c r="S662" i="4"/>
  <c r="S663" i="4"/>
  <c r="S664" i="4"/>
  <c r="S665" i="4"/>
  <c r="S666" i="4"/>
  <c r="S667" i="4"/>
  <c r="S668" i="4"/>
  <c r="S669" i="4"/>
  <c r="S670" i="4"/>
  <c r="S671" i="4"/>
  <c r="S672" i="4"/>
  <c r="S673" i="4"/>
  <c r="S674" i="4"/>
  <c r="S675" i="4"/>
  <c r="S676" i="4"/>
  <c r="S677" i="4"/>
  <c r="S678" i="4"/>
  <c r="S679" i="4"/>
  <c r="S680" i="4"/>
  <c r="S681" i="4"/>
  <c r="S682" i="4"/>
  <c r="S683" i="4"/>
  <c r="S684" i="4"/>
  <c r="S685" i="4"/>
  <c r="S686" i="4"/>
  <c r="S687" i="4"/>
  <c r="S688" i="4"/>
  <c r="S689" i="4"/>
  <c r="S690" i="4"/>
  <c r="S691" i="4"/>
  <c r="S692" i="4"/>
  <c r="S693" i="4"/>
  <c r="S694" i="4"/>
  <c r="S695" i="4"/>
  <c r="S696" i="4"/>
  <c r="S697" i="4"/>
  <c r="S698" i="4"/>
  <c r="S699" i="4"/>
  <c r="S700" i="4"/>
  <c r="S701" i="4"/>
  <c r="S702" i="4"/>
  <c r="S703" i="4"/>
  <c r="S704" i="4"/>
  <c r="S705" i="4"/>
  <c r="S706" i="4"/>
  <c r="S707" i="4"/>
  <c r="S708" i="4"/>
  <c r="S709" i="4"/>
  <c r="S710" i="4"/>
  <c r="S711" i="4"/>
  <c r="S712" i="4"/>
  <c r="S713" i="4"/>
  <c r="S714" i="4"/>
  <c r="S715" i="4"/>
  <c r="S716" i="4"/>
  <c r="S717" i="4"/>
  <c r="S718" i="4"/>
  <c r="S719" i="4"/>
  <c r="S720" i="4"/>
  <c r="S721" i="4"/>
  <c r="S722" i="4"/>
  <c r="S723" i="4"/>
  <c r="S724" i="4"/>
  <c r="S725" i="4"/>
  <c r="S726" i="4"/>
  <c r="S727" i="4"/>
  <c r="S728" i="4"/>
  <c r="S729" i="4"/>
  <c r="S730" i="4"/>
  <c r="S731" i="4"/>
  <c r="S732" i="4"/>
  <c r="S733" i="4"/>
  <c r="S734" i="4"/>
  <c r="S735" i="4"/>
  <c r="S736" i="4"/>
  <c r="S737" i="4"/>
  <c r="S738" i="4"/>
  <c r="S739" i="4"/>
  <c r="S740" i="4"/>
  <c r="S741" i="4"/>
  <c r="S742" i="4"/>
  <c r="S743" i="4"/>
  <c r="S744" i="4"/>
  <c r="S745" i="4"/>
  <c r="S746" i="4"/>
  <c r="S747" i="4"/>
  <c r="S748" i="4"/>
  <c r="S749" i="4"/>
  <c r="S750" i="4"/>
  <c r="S751" i="4"/>
  <c r="S752" i="4"/>
  <c r="S753" i="4"/>
  <c r="S754" i="4"/>
  <c r="S755" i="4"/>
  <c r="S756" i="4"/>
  <c r="S757" i="4"/>
  <c r="S758" i="4"/>
  <c r="S759" i="4"/>
  <c r="S760" i="4"/>
  <c r="S761" i="4"/>
  <c r="S762" i="4"/>
  <c r="S763" i="4"/>
  <c r="S764" i="4"/>
  <c r="S765" i="4"/>
  <c r="S766" i="4"/>
  <c r="S767" i="4"/>
  <c r="S768" i="4"/>
  <c r="S769" i="4"/>
  <c r="S770" i="4"/>
  <c r="S771" i="4"/>
  <c r="S772" i="4"/>
  <c r="S773" i="4"/>
  <c r="S774" i="4"/>
  <c r="S775" i="4"/>
  <c r="S776" i="4"/>
  <c r="S777" i="4"/>
  <c r="S778" i="4"/>
  <c r="S779" i="4"/>
  <c r="S780" i="4"/>
  <c r="S781" i="4"/>
  <c r="S782" i="4"/>
  <c r="S783" i="4"/>
  <c r="S784" i="4"/>
  <c r="S785" i="4"/>
  <c r="S786" i="4"/>
  <c r="S787" i="4"/>
  <c r="S788" i="4"/>
  <c r="S789" i="4"/>
  <c r="S790" i="4"/>
  <c r="S791" i="4"/>
  <c r="S792" i="4"/>
  <c r="S793" i="4"/>
  <c r="S794" i="4"/>
  <c r="S795" i="4"/>
  <c r="S796" i="4"/>
  <c r="S797" i="4"/>
  <c r="S798" i="4"/>
  <c r="S799" i="4"/>
  <c r="S800" i="4"/>
  <c r="S801" i="4"/>
  <c r="S802" i="4"/>
  <c r="S803" i="4"/>
  <c r="S804" i="4"/>
  <c r="S805" i="4"/>
  <c r="S806" i="4"/>
  <c r="S807" i="4"/>
  <c r="S808" i="4"/>
  <c r="S809" i="4"/>
  <c r="S810" i="4"/>
  <c r="S811" i="4"/>
  <c r="S812" i="4"/>
  <c r="S813" i="4"/>
  <c r="S814" i="4"/>
  <c r="S815" i="4"/>
  <c r="S816" i="4"/>
  <c r="S817" i="4"/>
  <c r="S818" i="4"/>
  <c r="S819" i="4"/>
  <c r="S820" i="4"/>
  <c r="S821" i="4"/>
  <c r="S822" i="4"/>
  <c r="S823" i="4"/>
  <c r="S824" i="4"/>
  <c r="S825" i="4"/>
  <c r="S826" i="4"/>
  <c r="S827" i="4"/>
  <c r="S828" i="4"/>
  <c r="S829" i="4"/>
  <c r="S830" i="4"/>
  <c r="S831" i="4"/>
  <c r="S832" i="4"/>
  <c r="S833" i="4"/>
  <c r="S834" i="4"/>
  <c r="S835" i="4"/>
  <c r="S836" i="4"/>
  <c r="S837" i="4"/>
  <c r="S838" i="4"/>
  <c r="S839" i="4"/>
  <c r="S840" i="4"/>
  <c r="S841" i="4"/>
  <c r="S842" i="4"/>
  <c r="S843" i="4"/>
  <c r="S844" i="4"/>
  <c r="S845" i="4"/>
  <c r="S846" i="4"/>
  <c r="S847" i="4"/>
  <c r="S848" i="4"/>
  <c r="S849" i="4"/>
  <c r="S850" i="4"/>
  <c r="S851" i="4"/>
  <c r="S852" i="4"/>
  <c r="S853" i="4"/>
  <c r="S854" i="4"/>
  <c r="S855" i="4"/>
  <c r="S856" i="4"/>
  <c r="S857" i="4"/>
  <c r="S858" i="4"/>
  <c r="S859" i="4"/>
  <c r="S860" i="4"/>
  <c r="S861" i="4"/>
  <c r="S862" i="4"/>
  <c r="S863" i="4"/>
  <c r="S864" i="4"/>
  <c r="S865" i="4"/>
  <c r="S866" i="4"/>
  <c r="S867" i="4"/>
  <c r="S868" i="4"/>
  <c r="S869" i="4"/>
  <c r="S870" i="4"/>
  <c r="S871" i="4"/>
  <c r="S872" i="4"/>
  <c r="S873" i="4"/>
  <c r="S874" i="4"/>
  <c r="S875" i="4"/>
  <c r="S876" i="4"/>
  <c r="S877" i="4"/>
  <c r="S878" i="4"/>
  <c r="S879" i="4"/>
  <c r="S880" i="4"/>
  <c r="S881" i="4"/>
  <c r="S882" i="4"/>
  <c r="S883" i="4"/>
  <c r="S884" i="4"/>
  <c r="S885" i="4"/>
  <c r="S886" i="4"/>
  <c r="S887" i="4"/>
  <c r="S888" i="4"/>
  <c r="S889" i="4"/>
  <c r="S890" i="4"/>
  <c r="S891" i="4"/>
  <c r="S892" i="4"/>
  <c r="S893" i="4"/>
  <c r="S894" i="4"/>
  <c r="S895" i="4"/>
  <c r="S896" i="4"/>
  <c r="S897" i="4"/>
  <c r="S898" i="4"/>
  <c r="S899" i="4"/>
  <c r="S900" i="4"/>
  <c r="S901" i="4"/>
  <c r="S902" i="4"/>
  <c r="S903" i="4"/>
  <c r="S904" i="4"/>
  <c r="S905" i="4"/>
  <c r="S906" i="4"/>
  <c r="S907" i="4"/>
  <c r="S908" i="4"/>
  <c r="S909" i="4"/>
  <c r="S910" i="4"/>
  <c r="S911" i="4"/>
  <c r="S912" i="4"/>
  <c r="S913" i="4"/>
  <c r="S914" i="4"/>
  <c r="S915" i="4"/>
  <c r="S916" i="4"/>
  <c r="S917" i="4"/>
  <c r="S918" i="4"/>
  <c r="S919" i="4"/>
  <c r="S920" i="4"/>
  <c r="S921" i="4"/>
  <c r="S922" i="4"/>
  <c r="S923" i="4"/>
  <c r="S924" i="4"/>
  <c r="S925" i="4"/>
  <c r="S926" i="4"/>
  <c r="S927" i="4"/>
  <c r="S928" i="4"/>
  <c r="S929" i="4"/>
  <c r="S930" i="4"/>
  <c r="S931" i="4"/>
  <c r="S932" i="4"/>
  <c r="S933" i="4"/>
  <c r="S934" i="4"/>
  <c r="S935" i="4"/>
  <c r="S936" i="4"/>
  <c r="S937" i="4"/>
  <c r="S938" i="4"/>
  <c r="S939" i="4"/>
  <c r="S940" i="4"/>
  <c r="S941" i="4"/>
  <c r="S942" i="4"/>
  <c r="S943" i="4"/>
  <c r="S944" i="4"/>
  <c r="S945" i="4"/>
  <c r="S946" i="4"/>
  <c r="S947" i="4"/>
  <c r="S948" i="4"/>
  <c r="S949" i="4"/>
  <c r="S950" i="4"/>
  <c r="S951" i="4"/>
  <c r="S952" i="4"/>
  <c r="S953" i="4"/>
  <c r="S954" i="4"/>
  <c r="S955" i="4"/>
  <c r="S956" i="4"/>
  <c r="S957" i="4"/>
  <c r="S958" i="4"/>
  <c r="S959" i="4"/>
  <c r="S960" i="4"/>
  <c r="S961" i="4"/>
  <c r="S962" i="4"/>
  <c r="S963" i="4"/>
  <c r="S964" i="4"/>
  <c r="S965" i="4"/>
  <c r="S966" i="4"/>
  <c r="S967" i="4"/>
  <c r="S968" i="4"/>
  <c r="S969" i="4"/>
  <c r="S970" i="4"/>
  <c r="S971" i="4"/>
  <c r="S972" i="4"/>
  <c r="S973" i="4"/>
  <c r="S974" i="4"/>
  <c r="S975" i="4"/>
  <c r="S976" i="4"/>
  <c r="S977" i="4"/>
  <c r="S978" i="4"/>
  <c r="S979" i="4"/>
  <c r="S980" i="4"/>
  <c r="S981" i="4"/>
  <c r="S982" i="4"/>
  <c r="S983" i="4"/>
  <c r="S984" i="4"/>
  <c r="S985" i="4"/>
  <c r="S986" i="4"/>
  <c r="S987" i="4"/>
  <c r="S988" i="4"/>
  <c r="S989" i="4"/>
  <c r="S990" i="4"/>
  <c r="S991" i="4"/>
  <c r="S992" i="4"/>
  <c r="S993" i="4"/>
  <c r="S994" i="4"/>
  <c r="S995" i="4"/>
  <c r="S996" i="4"/>
  <c r="S997" i="4"/>
  <c r="S998" i="4"/>
  <c r="S999" i="4"/>
  <c r="S1000" i="4"/>
  <c r="S1001" i="4"/>
  <c r="S1002" i="4"/>
  <c r="S1003" i="4"/>
  <c r="S1004" i="4"/>
  <c r="S1005" i="4"/>
  <c r="S1006" i="4"/>
  <c r="S1007" i="4"/>
  <c r="S1008" i="4"/>
  <c r="S1009" i="4"/>
  <c r="S1010" i="4"/>
  <c r="S1011" i="4"/>
  <c r="S1012" i="4"/>
  <c r="S1013" i="4"/>
  <c r="S1014" i="4"/>
  <c r="S1015" i="4"/>
  <c r="S1016" i="4"/>
  <c r="S1017" i="4"/>
  <c r="S1018" i="4"/>
  <c r="S1019" i="4"/>
  <c r="S1020" i="4"/>
  <c r="S1021" i="4"/>
  <c r="AA22" i="4"/>
  <c r="U24" i="4"/>
  <c r="J5" i="4"/>
  <c r="K5" i="4"/>
  <c r="L5" i="4"/>
  <c r="L7" i="4"/>
  <c r="W22" i="4" a="1"/>
  <c r="W22" i="4"/>
  <c r="D5" i="5" a="1"/>
  <c r="D5" i="5"/>
  <c r="A5" i="5" a="1"/>
  <c r="A5" i="5"/>
  <c r="B5" i="5" a="1"/>
  <c r="B5" i="5"/>
  <c r="T26" i="4"/>
  <c r="L23" i="4"/>
  <c r="L25" i="4"/>
  <c r="L24" i="4"/>
  <c r="L26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17" i="4"/>
  <c r="I618" i="4"/>
  <c r="I619" i="4"/>
  <c r="I620" i="4"/>
  <c r="I621" i="4"/>
  <c r="I622" i="4"/>
  <c r="I623" i="4"/>
  <c r="I624" i="4"/>
  <c r="I625" i="4"/>
  <c r="I626" i="4"/>
  <c r="I627" i="4"/>
  <c r="I628" i="4"/>
  <c r="I629" i="4"/>
  <c r="I630" i="4"/>
  <c r="I631" i="4"/>
  <c r="I632" i="4"/>
  <c r="I633" i="4"/>
  <c r="I634" i="4"/>
  <c r="I635" i="4"/>
  <c r="I636" i="4"/>
  <c r="I637" i="4"/>
  <c r="I638" i="4"/>
  <c r="I639" i="4"/>
  <c r="I640" i="4"/>
  <c r="I641" i="4"/>
  <c r="I642" i="4"/>
  <c r="I643" i="4"/>
  <c r="I644" i="4"/>
  <c r="I645" i="4"/>
  <c r="I646" i="4"/>
  <c r="I647" i="4"/>
  <c r="I648" i="4"/>
  <c r="I649" i="4"/>
  <c r="I650" i="4"/>
  <c r="I651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I804" i="4"/>
  <c r="I805" i="4"/>
  <c r="I806" i="4"/>
  <c r="I807" i="4"/>
  <c r="I808" i="4"/>
  <c r="I809" i="4"/>
  <c r="I810" i="4"/>
  <c r="I811" i="4"/>
  <c r="I812" i="4"/>
  <c r="I813" i="4"/>
  <c r="I814" i="4"/>
  <c r="I815" i="4"/>
  <c r="I816" i="4"/>
  <c r="I817" i="4"/>
  <c r="I818" i="4"/>
  <c r="I819" i="4"/>
  <c r="I820" i="4"/>
  <c r="I821" i="4"/>
  <c r="I822" i="4"/>
  <c r="I823" i="4"/>
  <c r="I824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I845" i="4"/>
  <c r="I846" i="4"/>
  <c r="I847" i="4"/>
  <c r="I848" i="4"/>
  <c r="I849" i="4"/>
  <c r="I850" i="4"/>
  <c r="I851" i="4"/>
  <c r="I852" i="4"/>
  <c r="I853" i="4"/>
  <c r="I854" i="4"/>
  <c r="I855" i="4"/>
  <c r="I856" i="4"/>
  <c r="I857" i="4"/>
  <c r="I858" i="4"/>
  <c r="I859" i="4"/>
  <c r="I860" i="4"/>
  <c r="I861" i="4"/>
  <c r="I862" i="4"/>
  <c r="I863" i="4"/>
  <c r="I864" i="4"/>
  <c r="I865" i="4"/>
  <c r="I866" i="4"/>
  <c r="I867" i="4"/>
  <c r="I868" i="4"/>
  <c r="I869" i="4"/>
  <c r="I870" i="4"/>
  <c r="I871" i="4"/>
  <c r="I872" i="4"/>
  <c r="I873" i="4"/>
  <c r="I874" i="4"/>
  <c r="J874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1" i="4"/>
  <c r="J642" i="4"/>
  <c r="J643" i="4"/>
  <c r="J644" i="4"/>
  <c r="J645" i="4"/>
  <c r="J646" i="4"/>
  <c r="J647" i="4"/>
  <c r="J648" i="4"/>
  <c r="J649" i="4"/>
  <c r="J650" i="4"/>
  <c r="J651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5" i="4"/>
  <c r="J686" i="4"/>
  <c r="J687" i="4"/>
  <c r="J688" i="4"/>
  <c r="J689" i="4"/>
  <c r="J690" i="4"/>
  <c r="J691" i="4"/>
  <c r="J692" i="4"/>
  <c r="J693" i="4"/>
  <c r="J694" i="4"/>
  <c r="J695" i="4"/>
  <c r="J696" i="4"/>
  <c r="J697" i="4"/>
  <c r="J698" i="4"/>
  <c r="J699" i="4"/>
  <c r="J700" i="4"/>
  <c r="J701" i="4"/>
  <c r="J702" i="4"/>
  <c r="J703" i="4"/>
  <c r="J704" i="4"/>
  <c r="J705" i="4"/>
  <c r="J706" i="4"/>
  <c r="J707" i="4"/>
  <c r="J708" i="4"/>
  <c r="J709" i="4"/>
  <c r="J710" i="4"/>
  <c r="J711" i="4"/>
  <c r="J712" i="4"/>
  <c r="J713" i="4"/>
  <c r="J714" i="4"/>
  <c r="J715" i="4"/>
  <c r="J716" i="4"/>
  <c r="J717" i="4"/>
  <c r="J718" i="4"/>
  <c r="J719" i="4"/>
  <c r="J720" i="4"/>
  <c r="J721" i="4"/>
  <c r="J722" i="4"/>
  <c r="J723" i="4"/>
  <c r="J724" i="4"/>
  <c r="J725" i="4"/>
  <c r="J726" i="4"/>
  <c r="J727" i="4"/>
  <c r="J728" i="4"/>
  <c r="J729" i="4"/>
  <c r="J730" i="4"/>
  <c r="J731" i="4"/>
  <c r="J732" i="4"/>
  <c r="J733" i="4"/>
  <c r="J734" i="4"/>
  <c r="J735" i="4"/>
  <c r="J736" i="4"/>
  <c r="J737" i="4"/>
  <c r="J738" i="4"/>
  <c r="J739" i="4"/>
  <c r="J740" i="4"/>
  <c r="J741" i="4"/>
  <c r="J742" i="4"/>
  <c r="J743" i="4"/>
  <c r="J744" i="4"/>
  <c r="J745" i="4"/>
  <c r="J746" i="4"/>
  <c r="J747" i="4"/>
  <c r="J748" i="4"/>
  <c r="J749" i="4"/>
  <c r="J750" i="4"/>
  <c r="J751" i="4"/>
  <c r="J752" i="4"/>
  <c r="J753" i="4"/>
  <c r="J754" i="4"/>
  <c r="J755" i="4"/>
  <c r="J756" i="4"/>
  <c r="J757" i="4"/>
  <c r="J758" i="4"/>
  <c r="J759" i="4"/>
  <c r="J760" i="4"/>
  <c r="J761" i="4"/>
  <c r="J762" i="4"/>
  <c r="J763" i="4"/>
  <c r="J764" i="4"/>
  <c r="J765" i="4"/>
  <c r="J766" i="4"/>
  <c r="J767" i="4"/>
  <c r="J768" i="4"/>
  <c r="J769" i="4"/>
  <c r="J770" i="4"/>
  <c r="J771" i="4"/>
  <c r="J772" i="4"/>
  <c r="J773" i="4"/>
  <c r="J774" i="4"/>
  <c r="J775" i="4"/>
  <c r="J776" i="4"/>
  <c r="J777" i="4"/>
  <c r="J778" i="4"/>
  <c r="J779" i="4"/>
  <c r="J780" i="4"/>
  <c r="J781" i="4"/>
  <c r="J782" i="4"/>
  <c r="J783" i="4"/>
  <c r="J784" i="4"/>
  <c r="J785" i="4"/>
  <c r="J786" i="4"/>
  <c r="J787" i="4"/>
  <c r="J788" i="4"/>
  <c r="J789" i="4"/>
  <c r="J790" i="4"/>
  <c r="J791" i="4"/>
  <c r="J792" i="4"/>
  <c r="J793" i="4"/>
  <c r="J794" i="4"/>
  <c r="J795" i="4"/>
  <c r="J796" i="4"/>
  <c r="J797" i="4"/>
  <c r="J798" i="4"/>
  <c r="J799" i="4"/>
  <c r="J800" i="4"/>
  <c r="J801" i="4"/>
  <c r="J802" i="4"/>
  <c r="J803" i="4"/>
  <c r="J804" i="4"/>
  <c r="J805" i="4"/>
  <c r="J806" i="4"/>
  <c r="J807" i="4"/>
  <c r="J808" i="4"/>
  <c r="J809" i="4"/>
  <c r="J810" i="4"/>
  <c r="J811" i="4"/>
  <c r="J812" i="4"/>
  <c r="J813" i="4"/>
  <c r="J814" i="4"/>
  <c r="J815" i="4"/>
  <c r="J816" i="4"/>
  <c r="J817" i="4"/>
  <c r="J818" i="4"/>
  <c r="J819" i="4"/>
  <c r="J820" i="4"/>
  <c r="J821" i="4"/>
  <c r="J822" i="4"/>
  <c r="J823" i="4"/>
  <c r="J824" i="4"/>
  <c r="J825" i="4"/>
  <c r="J826" i="4"/>
  <c r="J827" i="4"/>
  <c r="J828" i="4"/>
  <c r="J829" i="4"/>
  <c r="J830" i="4"/>
  <c r="J831" i="4"/>
  <c r="J832" i="4"/>
  <c r="J833" i="4"/>
  <c r="J834" i="4"/>
  <c r="J835" i="4"/>
  <c r="J836" i="4"/>
  <c r="J837" i="4"/>
  <c r="J838" i="4"/>
  <c r="J839" i="4"/>
  <c r="J840" i="4"/>
  <c r="J841" i="4"/>
  <c r="J842" i="4"/>
  <c r="J843" i="4"/>
  <c r="J844" i="4"/>
  <c r="J845" i="4"/>
  <c r="J846" i="4"/>
  <c r="J847" i="4"/>
  <c r="J848" i="4"/>
  <c r="J849" i="4"/>
  <c r="J850" i="4"/>
  <c r="J851" i="4"/>
  <c r="J852" i="4"/>
  <c r="J853" i="4"/>
  <c r="J854" i="4"/>
  <c r="J855" i="4"/>
  <c r="J856" i="4"/>
  <c r="J857" i="4"/>
  <c r="J858" i="4"/>
  <c r="J859" i="4"/>
  <c r="J860" i="4"/>
  <c r="J861" i="4"/>
  <c r="J862" i="4"/>
  <c r="J863" i="4"/>
  <c r="J864" i="4"/>
  <c r="J865" i="4"/>
  <c r="J866" i="4"/>
  <c r="J867" i="4"/>
  <c r="J868" i="4"/>
  <c r="J869" i="4"/>
  <c r="J870" i="4"/>
  <c r="J871" i="4"/>
  <c r="J872" i="4"/>
  <c r="J873" i="4"/>
  <c r="I875" i="4"/>
  <c r="J875" i="4"/>
  <c r="I876" i="4"/>
  <c r="J876" i="4"/>
  <c r="I877" i="4"/>
  <c r="J877" i="4"/>
  <c r="I878" i="4"/>
  <c r="J878" i="4"/>
  <c r="I879" i="4"/>
  <c r="J879" i="4"/>
  <c r="I880" i="4"/>
  <c r="J880" i="4"/>
  <c r="I881" i="4"/>
  <c r="J881" i="4"/>
  <c r="I882" i="4"/>
  <c r="J882" i="4"/>
  <c r="I883" i="4"/>
  <c r="J883" i="4"/>
  <c r="I884" i="4"/>
  <c r="J884" i="4"/>
  <c r="I885" i="4"/>
  <c r="J885" i="4"/>
  <c r="I886" i="4"/>
  <c r="J886" i="4"/>
  <c r="I887" i="4"/>
  <c r="J887" i="4"/>
  <c r="I888" i="4"/>
  <c r="J888" i="4"/>
  <c r="I889" i="4"/>
  <c r="J889" i="4"/>
  <c r="I890" i="4"/>
  <c r="J890" i="4"/>
  <c r="I891" i="4"/>
  <c r="J891" i="4"/>
  <c r="I892" i="4"/>
  <c r="J892" i="4"/>
  <c r="I893" i="4"/>
  <c r="J893" i="4"/>
  <c r="I894" i="4"/>
  <c r="J894" i="4"/>
  <c r="I895" i="4"/>
  <c r="J895" i="4"/>
  <c r="I896" i="4"/>
  <c r="J896" i="4"/>
  <c r="I897" i="4"/>
  <c r="J897" i="4"/>
  <c r="I898" i="4"/>
  <c r="J898" i="4"/>
  <c r="I899" i="4"/>
  <c r="J899" i="4"/>
  <c r="I900" i="4"/>
  <c r="J900" i="4"/>
  <c r="I901" i="4"/>
  <c r="J901" i="4"/>
  <c r="I902" i="4"/>
  <c r="J902" i="4"/>
  <c r="I903" i="4"/>
  <c r="J903" i="4"/>
  <c r="I904" i="4"/>
  <c r="J904" i="4"/>
  <c r="I905" i="4"/>
  <c r="J905" i="4"/>
  <c r="I906" i="4"/>
  <c r="J906" i="4"/>
  <c r="I907" i="4"/>
  <c r="J907" i="4"/>
  <c r="I908" i="4"/>
  <c r="J908" i="4"/>
  <c r="I909" i="4"/>
  <c r="J909" i="4"/>
  <c r="I910" i="4"/>
  <c r="J910" i="4"/>
  <c r="I911" i="4"/>
  <c r="J911" i="4"/>
  <c r="I912" i="4"/>
  <c r="J912" i="4"/>
  <c r="I913" i="4"/>
  <c r="J913" i="4"/>
  <c r="I914" i="4"/>
  <c r="J914" i="4"/>
  <c r="I915" i="4"/>
  <c r="J915" i="4"/>
  <c r="I916" i="4"/>
  <c r="J916" i="4"/>
  <c r="I917" i="4"/>
  <c r="J917" i="4"/>
  <c r="I918" i="4"/>
  <c r="J918" i="4"/>
  <c r="I919" i="4"/>
  <c r="J919" i="4"/>
  <c r="I920" i="4"/>
  <c r="J920" i="4"/>
  <c r="I921" i="4"/>
  <c r="J921" i="4"/>
  <c r="I922" i="4"/>
  <c r="J922" i="4"/>
  <c r="I923" i="4"/>
  <c r="J923" i="4"/>
  <c r="I924" i="4"/>
  <c r="J924" i="4"/>
  <c r="I925" i="4"/>
  <c r="J925" i="4"/>
  <c r="I926" i="4"/>
  <c r="J926" i="4"/>
  <c r="I927" i="4"/>
  <c r="J927" i="4"/>
  <c r="I928" i="4"/>
  <c r="J928" i="4"/>
  <c r="I929" i="4"/>
  <c r="J929" i="4"/>
  <c r="I930" i="4"/>
  <c r="J930" i="4"/>
  <c r="I931" i="4"/>
  <c r="J931" i="4"/>
  <c r="I932" i="4"/>
  <c r="J932" i="4"/>
  <c r="I933" i="4"/>
  <c r="J933" i="4"/>
  <c r="I934" i="4"/>
  <c r="J934" i="4"/>
  <c r="I935" i="4"/>
  <c r="J935" i="4"/>
  <c r="I936" i="4"/>
  <c r="J936" i="4"/>
  <c r="I937" i="4"/>
  <c r="J937" i="4"/>
  <c r="I938" i="4"/>
  <c r="J938" i="4"/>
  <c r="I939" i="4"/>
  <c r="J939" i="4"/>
  <c r="I940" i="4"/>
  <c r="J940" i="4"/>
  <c r="I941" i="4"/>
  <c r="J941" i="4"/>
  <c r="I942" i="4"/>
  <c r="J942" i="4"/>
  <c r="I943" i="4"/>
  <c r="J943" i="4"/>
  <c r="I944" i="4"/>
  <c r="J944" i="4"/>
  <c r="I945" i="4"/>
  <c r="J945" i="4"/>
  <c r="I946" i="4"/>
  <c r="J946" i="4"/>
  <c r="I947" i="4"/>
  <c r="J947" i="4"/>
  <c r="I948" i="4"/>
  <c r="J948" i="4"/>
  <c r="I949" i="4"/>
  <c r="J949" i="4"/>
  <c r="I950" i="4"/>
  <c r="J950" i="4"/>
  <c r="I951" i="4"/>
  <c r="J951" i="4"/>
  <c r="I952" i="4"/>
  <c r="J952" i="4"/>
  <c r="I953" i="4"/>
  <c r="J953" i="4"/>
  <c r="I954" i="4"/>
  <c r="J954" i="4"/>
  <c r="I955" i="4"/>
  <c r="J955" i="4"/>
  <c r="I956" i="4"/>
  <c r="J956" i="4"/>
  <c r="I957" i="4"/>
  <c r="J957" i="4"/>
  <c r="I958" i="4"/>
  <c r="J958" i="4"/>
  <c r="I959" i="4"/>
  <c r="J959" i="4"/>
  <c r="I960" i="4"/>
  <c r="J960" i="4"/>
  <c r="I961" i="4"/>
  <c r="J961" i="4"/>
  <c r="I962" i="4"/>
  <c r="J962" i="4"/>
  <c r="I963" i="4"/>
  <c r="J963" i="4"/>
  <c r="I964" i="4"/>
  <c r="J964" i="4"/>
  <c r="I965" i="4"/>
  <c r="J965" i="4"/>
  <c r="I966" i="4"/>
  <c r="J966" i="4"/>
  <c r="I967" i="4"/>
  <c r="J967" i="4"/>
  <c r="I968" i="4"/>
  <c r="J968" i="4"/>
  <c r="I969" i="4"/>
  <c r="J969" i="4"/>
  <c r="I970" i="4"/>
  <c r="J970" i="4"/>
  <c r="I971" i="4"/>
  <c r="J971" i="4"/>
  <c r="I972" i="4"/>
  <c r="J972" i="4"/>
  <c r="I973" i="4"/>
  <c r="J973" i="4"/>
  <c r="I974" i="4"/>
  <c r="J974" i="4"/>
  <c r="I975" i="4"/>
  <c r="J975" i="4"/>
  <c r="I976" i="4"/>
  <c r="J976" i="4"/>
  <c r="I977" i="4"/>
  <c r="J977" i="4"/>
  <c r="I978" i="4"/>
  <c r="J978" i="4"/>
  <c r="I979" i="4"/>
  <c r="J979" i="4"/>
  <c r="I980" i="4"/>
  <c r="J980" i="4"/>
  <c r="I981" i="4"/>
  <c r="J981" i="4"/>
  <c r="I982" i="4"/>
  <c r="J982" i="4"/>
  <c r="I983" i="4"/>
  <c r="J983" i="4"/>
  <c r="I984" i="4"/>
  <c r="J984" i="4"/>
  <c r="I985" i="4"/>
  <c r="J985" i="4"/>
  <c r="I986" i="4"/>
  <c r="J986" i="4"/>
  <c r="I987" i="4"/>
  <c r="J987" i="4"/>
  <c r="I988" i="4"/>
  <c r="J988" i="4"/>
  <c r="I989" i="4"/>
  <c r="J989" i="4"/>
  <c r="I990" i="4"/>
  <c r="J990" i="4"/>
  <c r="I991" i="4"/>
  <c r="J991" i="4"/>
  <c r="I992" i="4"/>
  <c r="J992" i="4"/>
  <c r="I993" i="4"/>
  <c r="J993" i="4"/>
  <c r="I994" i="4"/>
  <c r="J994" i="4"/>
  <c r="I995" i="4"/>
  <c r="J995" i="4"/>
  <c r="I996" i="4"/>
  <c r="J996" i="4"/>
  <c r="I997" i="4"/>
  <c r="J997" i="4"/>
  <c r="I998" i="4"/>
  <c r="J998" i="4"/>
  <c r="I999" i="4"/>
  <c r="J999" i="4"/>
  <c r="I1000" i="4"/>
  <c r="J1000" i="4"/>
  <c r="I1001" i="4"/>
  <c r="J1001" i="4"/>
  <c r="I1002" i="4"/>
  <c r="J1002" i="4"/>
  <c r="I1003" i="4"/>
  <c r="J1003" i="4"/>
  <c r="I1004" i="4"/>
  <c r="J1004" i="4"/>
  <c r="I1005" i="4"/>
  <c r="J1005" i="4"/>
  <c r="I1006" i="4"/>
  <c r="J1006" i="4"/>
  <c r="I1007" i="4"/>
  <c r="J1007" i="4"/>
  <c r="I1008" i="4"/>
  <c r="J1008" i="4"/>
  <c r="I1009" i="4"/>
  <c r="J1009" i="4"/>
  <c r="I1010" i="4"/>
  <c r="J1010" i="4"/>
  <c r="I1011" i="4"/>
  <c r="J1011" i="4"/>
  <c r="I1012" i="4"/>
  <c r="J1012" i="4"/>
  <c r="I1013" i="4"/>
  <c r="J1013" i="4"/>
  <c r="I1014" i="4"/>
  <c r="J1014" i="4"/>
  <c r="I1015" i="4"/>
  <c r="J1015" i="4"/>
  <c r="I1016" i="4"/>
  <c r="J1016" i="4"/>
  <c r="I1017" i="4"/>
  <c r="J1017" i="4"/>
  <c r="I1018" i="4"/>
  <c r="J1018" i="4"/>
  <c r="I1019" i="4"/>
  <c r="J1019" i="4"/>
  <c r="I1020" i="4"/>
  <c r="J1020" i="4"/>
  <c r="I1021" i="4"/>
  <c r="J1021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27" i="4"/>
  <c r="J28" i="4"/>
  <c r="J29" i="4"/>
  <c r="J30" i="4"/>
  <c r="J31" i="4"/>
  <c r="J32" i="4"/>
  <c r="J33" i="4"/>
  <c r="J34" i="4"/>
  <c r="J23" i="4"/>
  <c r="J24" i="4"/>
  <c r="J25" i="4"/>
  <c r="J26" i="4"/>
  <c r="J22" i="4"/>
  <c r="K26" i="4"/>
  <c r="J7" i="4"/>
  <c r="K7" i="4"/>
  <c r="H3" i="4"/>
  <c r="J3" i="4"/>
  <c r="K3" i="4"/>
  <c r="L3" i="4"/>
  <c r="H4" i="4"/>
  <c r="J4" i="4"/>
  <c r="K4" i="4"/>
  <c r="L4" i="4"/>
  <c r="J2" i="4"/>
  <c r="D32" i="4"/>
  <c r="K2" i="4"/>
  <c r="L2" i="4"/>
  <c r="AM4" i="1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U97" i="3"/>
  <c r="U98" i="3"/>
  <c r="U99" i="3"/>
  <c r="U100" i="3"/>
  <c r="U101" i="3"/>
  <c r="U102" i="3"/>
  <c r="U4" i="3"/>
  <c r="U3" i="3"/>
  <c r="AR5" i="1"/>
  <c r="AQ5" i="1"/>
  <c r="AP5" i="1"/>
  <c r="AO5" i="1"/>
  <c r="AN5" i="1"/>
  <c r="AM5" i="1"/>
  <c r="W4" i="1"/>
  <c r="W5" i="1"/>
  <c r="W6" i="1"/>
  <c r="W7" i="1"/>
  <c r="Z4" i="1"/>
  <c r="AB4" i="1"/>
  <c r="AD4" i="1"/>
  <c r="AF4" i="1"/>
  <c r="AH4" i="1"/>
  <c r="AJ4" i="1"/>
  <c r="Z5" i="1"/>
  <c r="AB5" i="1"/>
  <c r="AD5" i="1"/>
  <c r="AF5" i="1"/>
  <c r="AH5" i="1"/>
  <c r="AJ5" i="1"/>
  <c r="Z6" i="1"/>
  <c r="AB6" i="1"/>
  <c r="AD6" i="1"/>
  <c r="AF6" i="1"/>
  <c r="AH6" i="1"/>
  <c r="AJ6" i="1"/>
  <c r="Z7" i="1"/>
  <c r="AB7" i="1"/>
  <c r="AD7" i="1"/>
  <c r="AF7" i="1"/>
  <c r="AH7" i="1"/>
  <c r="AJ7" i="1"/>
  <c r="W8" i="1"/>
  <c r="Z8" i="1"/>
  <c r="AB8" i="1"/>
  <c r="AD8" i="1"/>
  <c r="AF8" i="1"/>
  <c r="AH8" i="1"/>
  <c r="AJ8" i="1"/>
  <c r="W9" i="1"/>
  <c r="Z9" i="1"/>
  <c r="AB9" i="1"/>
  <c r="AD9" i="1"/>
  <c r="AF9" i="1"/>
  <c r="AH9" i="1"/>
  <c r="AJ9" i="1"/>
  <c r="W10" i="1"/>
  <c r="Z10" i="1"/>
  <c r="AB10" i="1"/>
  <c r="AD10" i="1"/>
  <c r="AF10" i="1"/>
  <c r="AH10" i="1"/>
  <c r="AJ10" i="1"/>
  <c r="W11" i="1"/>
  <c r="Z11" i="1"/>
  <c r="AB11" i="1"/>
  <c r="AD11" i="1"/>
  <c r="AF11" i="1"/>
  <c r="AH11" i="1"/>
  <c r="AJ11" i="1"/>
  <c r="W12" i="1"/>
  <c r="Z12" i="1"/>
  <c r="AB12" i="1"/>
  <c r="AD12" i="1"/>
  <c r="AF12" i="1"/>
  <c r="AH12" i="1"/>
  <c r="AJ12" i="1"/>
  <c r="W13" i="1"/>
  <c r="Z13" i="1"/>
  <c r="AB13" i="1"/>
  <c r="AD13" i="1"/>
  <c r="AF13" i="1"/>
  <c r="AH13" i="1"/>
  <c r="AJ13" i="1"/>
  <c r="W14" i="1"/>
  <c r="Z14" i="1"/>
  <c r="AB14" i="1"/>
  <c r="AD14" i="1"/>
  <c r="AF14" i="1"/>
  <c r="AH14" i="1"/>
  <c r="AJ14" i="1"/>
  <c r="W15" i="1"/>
  <c r="Z15" i="1"/>
  <c r="AB15" i="1"/>
  <c r="AD15" i="1"/>
  <c r="AF15" i="1"/>
  <c r="AH15" i="1"/>
  <c r="AJ15" i="1"/>
  <c r="W16" i="1"/>
  <c r="Z16" i="1"/>
  <c r="AB16" i="1"/>
  <c r="AD16" i="1"/>
  <c r="AF16" i="1"/>
  <c r="AH16" i="1"/>
  <c r="AJ16" i="1"/>
  <c r="W17" i="1"/>
  <c r="Z17" i="1"/>
  <c r="AB17" i="1"/>
  <c r="AD17" i="1"/>
  <c r="AF17" i="1"/>
  <c r="AH17" i="1"/>
  <c r="AJ17" i="1"/>
  <c r="W18" i="1"/>
  <c r="Z18" i="1"/>
  <c r="AB18" i="1"/>
  <c r="AD18" i="1"/>
  <c r="AF18" i="1"/>
  <c r="AH18" i="1"/>
  <c r="AJ18" i="1"/>
  <c r="W19" i="1"/>
  <c r="Z19" i="1"/>
  <c r="AB19" i="1"/>
  <c r="AD19" i="1"/>
  <c r="AF19" i="1"/>
  <c r="AH19" i="1"/>
  <c r="AJ19" i="1"/>
  <c r="W20" i="1"/>
  <c r="Z20" i="1"/>
  <c r="AB20" i="1"/>
  <c r="AD20" i="1"/>
  <c r="AF20" i="1"/>
  <c r="AH20" i="1"/>
  <c r="AJ20" i="1"/>
  <c r="W21" i="1"/>
  <c r="Z21" i="1"/>
  <c r="AB21" i="1"/>
  <c r="AD21" i="1"/>
  <c r="AF21" i="1"/>
  <c r="AH21" i="1"/>
  <c r="AJ21" i="1"/>
  <c r="W22" i="1"/>
  <c r="Z22" i="1"/>
  <c r="AB22" i="1"/>
  <c r="AD22" i="1"/>
  <c r="AF22" i="1"/>
  <c r="AH22" i="1"/>
  <c r="AJ22" i="1"/>
  <c r="W23" i="1"/>
  <c r="Z23" i="1"/>
  <c r="AB23" i="1"/>
  <c r="AD23" i="1"/>
  <c r="AF23" i="1"/>
  <c r="AH23" i="1"/>
  <c r="AJ23" i="1"/>
  <c r="W24" i="1"/>
  <c r="Z24" i="1"/>
  <c r="AB24" i="1"/>
  <c r="AD24" i="1"/>
  <c r="AF24" i="1"/>
  <c r="AH24" i="1"/>
  <c r="AJ24" i="1"/>
  <c r="W25" i="1"/>
  <c r="Z25" i="1"/>
  <c r="AB25" i="1"/>
  <c r="AD25" i="1"/>
  <c r="AF25" i="1"/>
  <c r="AH25" i="1"/>
  <c r="AJ25" i="1"/>
  <c r="W26" i="1"/>
  <c r="Z26" i="1"/>
  <c r="AB26" i="1"/>
  <c r="AD26" i="1"/>
  <c r="AF26" i="1"/>
  <c r="AH26" i="1"/>
  <c r="AJ26" i="1"/>
  <c r="W27" i="1"/>
  <c r="Z27" i="1"/>
  <c r="AB27" i="1"/>
  <c r="AD27" i="1"/>
  <c r="AF27" i="1"/>
  <c r="AH27" i="1"/>
  <c r="AJ27" i="1"/>
  <c r="W28" i="1"/>
  <c r="Z28" i="1"/>
  <c r="AB28" i="1"/>
  <c r="AD28" i="1"/>
  <c r="AF28" i="1"/>
  <c r="AH28" i="1"/>
  <c r="AJ28" i="1"/>
  <c r="W29" i="1"/>
  <c r="Z29" i="1"/>
  <c r="AB29" i="1"/>
  <c r="AD29" i="1"/>
  <c r="AF29" i="1"/>
  <c r="AH29" i="1"/>
  <c r="AJ29" i="1"/>
  <c r="W30" i="1"/>
  <c r="Z30" i="1"/>
  <c r="AB30" i="1"/>
  <c r="AD30" i="1"/>
  <c r="AF30" i="1"/>
  <c r="AH30" i="1"/>
  <c r="AJ30" i="1"/>
  <c r="W31" i="1"/>
  <c r="Z31" i="1"/>
  <c r="AB31" i="1"/>
  <c r="AD31" i="1"/>
  <c r="AF31" i="1"/>
  <c r="AH31" i="1"/>
  <c r="AJ31" i="1"/>
  <c r="W32" i="1"/>
  <c r="Z32" i="1"/>
  <c r="AB32" i="1"/>
  <c r="AD32" i="1"/>
  <c r="AF32" i="1"/>
  <c r="AH32" i="1"/>
  <c r="AJ32" i="1"/>
  <c r="W33" i="1"/>
  <c r="Z33" i="1"/>
  <c r="AB33" i="1"/>
  <c r="AD33" i="1"/>
  <c r="AF33" i="1"/>
  <c r="AH33" i="1"/>
  <c r="AJ33" i="1"/>
  <c r="W34" i="1"/>
  <c r="Z34" i="1"/>
  <c r="AB34" i="1"/>
  <c r="AD34" i="1"/>
  <c r="AF34" i="1"/>
  <c r="AH34" i="1"/>
  <c r="AJ34" i="1"/>
  <c r="W35" i="1"/>
  <c r="Z35" i="1"/>
  <c r="AB35" i="1"/>
  <c r="AD35" i="1"/>
  <c r="AF35" i="1"/>
  <c r="AH35" i="1"/>
  <c r="AJ35" i="1"/>
  <c r="W36" i="1"/>
  <c r="Z36" i="1"/>
  <c r="AB36" i="1"/>
  <c r="AD36" i="1"/>
  <c r="AF36" i="1"/>
  <c r="AH36" i="1"/>
  <c r="AJ36" i="1"/>
  <c r="W37" i="1"/>
  <c r="Z37" i="1"/>
  <c r="AB37" i="1"/>
  <c r="AD37" i="1"/>
  <c r="AF37" i="1"/>
  <c r="AH37" i="1"/>
  <c r="AJ37" i="1"/>
  <c r="W38" i="1"/>
  <c r="Z38" i="1"/>
  <c r="AB38" i="1"/>
  <c r="AD38" i="1"/>
  <c r="AF38" i="1"/>
  <c r="AH38" i="1"/>
  <c r="AJ38" i="1"/>
  <c r="W39" i="1"/>
  <c r="Z39" i="1"/>
  <c r="AB39" i="1"/>
  <c r="AD39" i="1"/>
  <c r="AF39" i="1"/>
  <c r="AH39" i="1"/>
  <c r="AJ39" i="1"/>
  <c r="W40" i="1"/>
  <c r="Z40" i="1"/>
  <c r="AB40" i="1"/>
  <c r="AD40" i="1"/>
  <c r="AF40" i="1"/>
  <c r="AH40" i="1"/>
  <c r="AJ40" i="1"/>
  <c r="W41" i="1"/>
  <c r="Z41" i="1"/>
  <c r="AB41" i="1"/>
  <c r="AD41" i="1"/>
  <c r="AF41" i="1"/>
  <c r="AH41" i="1"/>
  <c r="AJ41" i="1"/>
  <c r="W42" i="1"/>
  <c r="Z42" i="1"/>
  <c r="AB42" i="1"/>
  <c r="AD42" i="1"/>
  <c r="AF42" i="1"/>
  <c r="AH42" i="1"/>
  <c r="AJ42" i="1"/>
  <c r="W43" i="1"/>
  <c r="Z43" i="1"/>
  <c r="AB43" i="1"/>
  <c r="AD43" i="1"/>
  <c r="AF43" i="1"/>
  <c r="AH43" i="1"/>
  <c r="AJ43" i="1"/>
  <c r="W44" i="1"/>
  <c r="Z44" i="1"/>
  <c r="AB44" i="1"/>
  <c r="AD44" i="1"/>
  <c r="AF44" i="1"/>
  <c r="AH44" i="1"/>
  <c r="AJ44" i="1"/>
  <c r="W45" i="1"/>
  <c r="Z45" i="1"/>
  <c r="AB45" i="1"/>
  <c r="AD45" i="1"/>
  <c r="AF45" i="1"/>
  <c r="AH45" i="1"/>
  <c r="AJ45" i="1"/>
  <c r="W46" i="1"/>
  <c r="Z46" i="1"/>
  <c r="AB46" i="1"/>
  <c r="AD46" i="1"/>
  <c r="AF46" i="1"/>
  <c r="AH46" i="1"/>
  <c r="AJ46" i="1"/>
  <c r="W47" i="1"/>
  <c r="Z47" i="1"/>
  <c r="AB47" i="1"/>
  <c r="AD47" i="1"/>
  <c r="AF47" i="1"/>
  <c r="AH47" i="1"/>
  <c r="AJ47" i="1"/>
  <c r="W48" i="1"/>
  <c r="Z48" i="1"/>
  <c r="AB48" i="1"/>
  <c r="AD48" i="1"/>
  <c r="AF48" i="1"/>
  <c r="AH48" i="1"/>
  <c r="AJ48" i="1"/>
  <c r="W49" i="1"/>
  <c r="Z49" i="1"/>
  <c r="AB49" i="1"/>
  <c r="AD49" i="1"/>
  <c r="AF49" i="1"/>
  <c r="AH49" i="1"/>
  <c r="AJ49" i="1"/>
  <c r="W50" i="1"/>
  <c r="Z50" i="1"/>
  <c r="AB50" i="1"/>
  <c r="AD50" i="1"/>
  <c r="AF50" i="1"/>
  <c r="AH50" i="1"/>
  <c r="AJ50" i="1"/>
  <c r="W51" i="1"/>
  <c r="Z51" i="1"/>
  <c r="AB51" i="1"/>
  <c r="AD51" i="1"/>
  <c r="AF51" i="1"/>
  <c r="AH51" i="1"/>
  <c r="AJ51" i="1"/>
  <c r="W52" i="1"/>
  <c r="Z52" i="1"/>
  <c r="AB52" i="1"/>
  <c r="AD52" i="1"/>
  <c r="AF52" i="1"/>
  <c r="AH52" i="1"/>
  <c r="AJ52" i="1"/>
  <c r="W53" i="1"/>
  <c r="Z53" i="1"/>
  <c r="AB53" i="1"/>
  <c r="AD53" i="1"/>
  <c r="AF53" i="1"/>
  <c r="AH53" i="1"/>
  <c r="AJ53" i="1"/>
  <c r="W54" i="1"/>
  <c r="Z54" i="1"/>
  <c r="AB54" i="1"/>
  <c r="AD54" i="1"/>
  <c r="AF54" i="1"/>
  <c r="AH54" i="1"/>
  <c r="AJ54" i="1"/>
  <c r="W55" i="1"/>
  <c r="Z55" i="1"/>
  <c r="AB55" i="1"/>
  <c r="AD55" i="1"/>
  <c r="AF55" i="1"/>
  <c r="AH55" i="1"/>
  <c r="AJ55" i="1"/>
  <c r="W56" i="1"/>
  <c r="Z56" i="1"/>
  <c r="AB56" i="1"/>
  <c r="AD56" i="1"/>
  <c r="AF56" i="1"/>
  <c r="AH56" i="1"/>
  <c r="AJ56" i="1"/>
  <c r="W57" i="1"/>
  <c r="Z57" i="1"/>
  <c r="AB57" i="1"/>
  <c r="AD57" i="1"/>
  <c r="AF57" i="1"/>
  <c r="AH57" i="1"/>
  <c r="AJ57" i="1"/>
  <c r="W58" i="1"/>
  <c r="Z58" i="1"/>
  <c r="AB58" i="1"/>
  <c r="AD58" i="1"/>
  <c r="AF58" i="1"/>
  <c r="AH58" i="1"/>
  <c r="AJ58" i="1"/>
  <c r="W59" i="1"/>
  <c r="Z59" i="1"/>
  <c r="AB59" i="1"/>
  <c r="AD59" i="1"/>
  <c r="AF59" i="1"/>
  <c r="AH59" i="1"/>
  <c r="AJ59" i="1"/>
  <c r="W60" i="1"/>
  <c r="Z60" i="1"/>
  <c r="AB60" i="1"/>
  <c r="AD60" i="1"/>
  <c r="AF60" i="1"/>
  <c r="AH60" i="1"/>
  <c r="AJ60" i="1"/>
  <c r="W61" i="1"/>
  <c r="Z61" i="1"/>
  <c r="AB61" i="1"/>
  <c r="AD61" i="1"/>
  <c r="AF61" i="1"/>
  <c r="AH61" i="1"/>
  <c r="AJ61" i="1"/>
  <c r="W62" i="1"/>
  <c r="Z62" i="1"/>
  <c r="AB62" i="1"/>
  <c r="AD62" i="1"/>
  <c r="AF62" i="1"/>
  <c r="AH62" i="1"/>
  <c r="AJ62" i="1"/>
  <c r="W63" i="1"/>
  <c r="Z63" i="1"/>
  <c r="AB63" i="1"/>
  <c r="AD63" i="1"/>
  <c r="AF63" i="1"/>
  <c r="AH63" i="1"/>
  <c r="AJ63" i="1"/>
  <c r="W64" i="1"/>
  <c r="Z64" i="1"/>
  <c r="AB64" i="1"/>
  <c r="AD64" i="1"/>
  <c r="AF64" i="1"/>
  <c r="AH64" i="1"/>
  <c r="AJ64" i="1"/>
  <c r="W65" i="1"/>
  <c r="Z65" i="1"/>
  <c r="AB65" i="1"/>
  <c r="AD65" i="1"/>
  <c r="AF65" i="1"/>
  <c r="AH65" i="1"/>
  <c r="AJ65" i="1"/>
  <c r="W66" i="1"/>
  <c r="Z66" i="1"/>
  <c r="AB66" i="1"/>
  <c r="AD66" i="1"/>
  <c r="AF66" i="1"/>
  <c r="AH66" i="1"/>
  <c r="AJ66" i="1"/>
  <c r="W67" i="1"/>
  <c r="Z67" i="1"/>
  <c r="AB67" i="1"/>
  <c r="AD67" i="1"/>
  <c r="AF67" i="1"/>
  <c r="AH67" i="1"/>
  <c r="AJ67" i="1"/>
  <c r="W68" i="1"/>
  <c r="Z68" i="1"/>
  <c r="AB68" i="1"/>
  <c r="AD68" i="1"/>
  <c r="AF68" i="1"/>
  <c r="AH68" i="1"/>
  <c r="AJ68" i="1"/>
  <c r="W69" i="1"/>
  <c r="Z69" i="1"/>
  <c r="AB69" i="1"/>
  <c r="AD69" i="1"/>
  <c r="AF69" i="1"/>
  <c r="AH69" i="1"/>
  <c r="AJ69" i="1"/>
  <c r="W70" i="1"/>
  <c r="Z70" i="1"/>
  <c r="AB70" i="1"/>
  <c r="AD70" i="1"/>
  <c r="AF70" i="1"/>
  <c r="AH70" i="1"/>
  <c r="AJ70" i="1"/>
  <c r="W71" i="1"/>
  <c r="Z71" i="1"/>
  <c r="AB71" i="1"/>
  <c r="AD71" i="1"/>
  <c r="AF71" i="1"/>
  <c r="AH71" i="1"/>
  <c r="AJ71" i="1"/>
  <c r="W72" i="1"/>
  <c r="Z72" i="1"/>
  <c r="AB72" i="1"/>
  <c r="AD72" i="1"/>
  <c r="AF72" i="1"/>
  <c r="AH72" i="1"/>
  <c r="AJ72" i="1"/>
  <c r="W73" i="1"/>
  <c r="Z73" i="1"/>
  <c r="AB73" i="1"/>
  <c r="AD73" i="1"/>
  <c r="AF73" i="1"/>
  <c r="AH73" i="1"/>
  <c r="AJ73" i="1"/>
  <c r="W74" i="1"/>
  <c r="Z74" i="1"/>
  <c r="AB74" i="1"/>
  <c r="AD74" i="1"/>
  <c r="AF74" i="1"/>
  <c r="AH74" i="1"/>
  <c r="AJ74" i="1"/>
  <c r="W75" i="1"/>
  <c r="Z75" i="1"/>
  <c r="AB75" i="1"/>
  <c r="AD75" i="1"/>
  <c r="AF75" i="1"/>
  <c r="AH75" i="1"/>
  <c r="AJ75" i="1"/>
  <c r="W76" i="1"/>
  <c r="Z76" i="1"/>
  <c r="AB76" i="1"/>
  <c r="AD76" i="1"/>
  <c r="AF76" i="1"/>
  <c r="AH76" i="1"/>
  <c r="AJ76" i="1"/>
  <c r="W77" i="1"/>
  <c r="Z77" i="1"/>
  <c r="AB77" i="1"/>
  <c r="AD77" i="1"/>
  <c r="AF77" i="1"/>
  <c r="AH77" i="1"/>
  <c r="AJ77" i="1"/>
  <c r="W78" i="1"/>
  <c r="Z78" i="1"/>
  <c r="AB78" i="1"/>
  <c r="AD78" i="1"/>
  <c r="AF78" i="1"/>
  <c r="AH78" i="1"/>
  <c r="AJ78" i="1"/>
  <c r="W79" i="1"/>
  <c r="Z79" i="1"/>
  <c r="AB79" i="1"/>
  <c r="AD79" i="1"/>
  <c r="AF79" i="1"/>
  <c r="AH79" i="1"/>
  <c r="AJ79" i="1"/>
  <c r="W80" i="1"/>
  <c r="Z80" i="1"/>
  <c r="AB80" i="1"/>
  <c r="AD80" i="1"/>
  <c r="AF80" i="1"/>
  <c r="AH80" i="1"/>
  <c r="AJ80" i="1"/>
  <c r="W81" i="1"/>
  <c r="Z81" i="1"/>
  <c r="AB81" i="1"/>
  <c r="AD81" i="1"/>
  <c r="AF81" i="1"/>
  <c r="AH81" i="1"/>
  <c r="AJ81" i="1"/>
  <c r="W82" i="1"/>
  <c r="Z82" i="1"/>
  <c r="AB82" i="1"/>
  <c r="AD82" i="1"/>
  <c r="AF82" i="1"/>
  <c r="AH82" i="1"/>
  <c r="AJ82" i="1"/>
  <c r="W83" i="1"/>
  <c r="Z83" i="1"/>
  <c r="AB83" i="1"/>
  <c r="AD83" i="1"/>
  <c r="AF83" i="1"/>
  <c r="AH83" i="1"/>
  <c r="AJ83" i="1"/>
  <c r="W84" i="1"/>
  <c r="Z84" i="1"/>
  <c r="AB84" i="1"/>
  <c r="AD84" i="1"/>
  <c r="AF84" i="1"/>
  <c r="AH84" i="1"/>
  <c r="AJ84" i="1"/>
  <c r="W85" i="1"/>
  <c r="Z85" i="1"/>
  <c r="AB85" i="1"/>
  <c r="AD85" i="1"/>
  <c r="AF85" i="1"/>
  <c r="AH85" i="1"/>
  <c r="AJ85" i="1"/>
  <c r="W86" i="1"/>
  <c r="Z86" i="1"/>
  <c r="AB86" i="1"/>
  <c r="AD86" i="1"/>
  <c r="AF86" i="1"/>
  <c r="AH86" i="1"/>
  <c r="AJ86" i="1"/>
  <c r="W87" i="1"/>
  <c r="Z87" i="1"/>
  <c r="AB87" i="1"/>
  <c r="AD87" i="1"/>
  <c r="AF87" i="1"/>
  <c r="AH87" i="1"/>
  <c r="AJ87" i="1"/>
  <c r="W88" i="1"/>
  <c r="Z88" i="1"/>
  <c r="AB88" i="1"/>
  <c r="AD88" i="1"/>
  <c r="AF88" i="1"/>
  <c r="AH88" i="1"/>
  <c r="AJ88" i="1"/>
  <c r="W89" i="1"/>
  <c r="Z89" i="1"/>
  <c r="AB89" i="1"/>
  <c r="AD89" i="1"/>
  <c r="AF89" i="1"/>
  <c r="AH89" i="1"/>
  <c r="AJ89" i="1"/>
  <c r="W90" i="1"/>
  <c r="Z90" i="1"/>
  <c r="AB90" i="1"/>
  <c r="AD90" i="1"/>
  <c r="AF90" i="1"/>
  <c r="AH90" i="1"/>
  <c r="AJ90" i="1"/>
  <c r="W91" i="1"/>
  <c r="Z91" i="1"/>
  <c r="AB91" i="1"/>
  <c r="AD91" i="1"/>
  <c r="AF91" i="1"/>
  <c r="AH91" i="1"/>
  <c r="AJ91" i="1"/>
  <c r="W92" i="1"/>
  <c r="Z92" i="1"/>
  <c r="AB92" i="1"/>
  <c r="AD92" i="1"/>
  <c r="AF92" i="1"/>
  <c r="AH92" i="1"/>
  <c r="AJ92" i="1"/>
  <c r="W93" i="1"/>
  <c r="Z93" i="1"/>
  <c r="AB93" i="1"/>
  <c r="AD93" i="1"/>
  <c r="AF93" i="1"/>
  <c r="AH93" i="1"/>
  <c r="AJ93" i="1"/>
  <c r="W94" i="1"/>
  <c r="Z94" i="1"/>
  <c r="AB94" i="1"/>
  <c r="AD94" i="1"/>
  <c r="AF94" i="1"/>
  <c r="AH94" i="1"/>
  <c r="AJ94" i="1"/>
  <c r="W95" i="1"/>
  <c r="Z95" i="1"/>
  <c r="AB95" i="1"/>
  <c r="AD95" i="1"/>
  <c r="AF95" i="1"/>
  <c r="AH95" i="1"/>
  <c r="AJ95" i="1"/>
  <c r="W96" i="1"/>
  <c r="Z96" i="1"/>
  <c r="AB96" i="1"/>
  <c r="AD96" i="1"/>
  <c r="AF96" i="1"/>
  <c r="AH96" i="1"/>
  <c r="AJ96" i="1"/>
  <c r="W97" i="1"/>
  <c r="Z97" i="1"/>
  <c r="AB97" i="1"/>
  <c r="AD97" i="1"/>
  <c r="AF97" i="1"/>
  <c r="AH97" i="1"/>
  <c r="AJ97" i="1"/>
  <c r="W98" i="1"/>
  <c r="Z98" i="1"/>
  <c r="AB98" i="1"/>
  <c r="AD98" i="1"/>
  <c r="AF98" i="1"/>
  <c r="AH98" i="1"/>
  <c r="AJ98" i="1"/>
  <c r="W99" i="1"/>
  <c r="Z99" i="1"/>
  <c r="AB99" i="1"/>
  <c r="AD99" i="1"/>
  <c r="AF99" i="1"/>
  <c r="AH99" i="1"/>
  <c r="AJ99" i="1"/>
  <c r="W100" i="1"/>
  <c r="Z100" i="1"/>
  <c r="AB100" i="1"/>
  <c r="AD100" i="1"/>
  <c r="AF100" i="1"/>
  <c r="AH100" i="1"/>
  <c r="AJ100" i="1"/>
  <c r="W101" i="1"/>
  <c r="Z101" i="1"/>
  <c r="AB101" i="1"/>
  <c r="AD101" i="1"/>
  <c r="AF101" i="1"/>
  <c r="AH101" i="1"/>
  <c r="AJ101" i="1"/>
  <c r="W102" i="1"/>
  <c r="Z102" i="1"/>
  <c r="AB102" i="1"/>
  <c r="AD102" i="1"/>
  <c r="AF102" i="1"/>
  <c r="AH102" i="1"/>
  <c r="AJ102" i="1"/>
  <c r="W103" i="1"/>
  <c r="Z103" i="1"/>
  <c r="AB103" i="1"/>
  <c r="AD103" i="1"/>
  <c r="AF103" i="1"/>
  <c r="AH103" i="1"/>
  <c r="AJ103" i="1"/>
  <c r="W104" i="1"/>
  <c r="Z104" i="1"/>
  <c r="AB104" i="1"/>
  <c r="AD104" i="1"/>
  <c r="AF104" i="1"/>
  <c r="AH104" i="1"/>
  <c r="AJ104" i="1"/>
  <c r="W105" i="1"/>
  <c r="Z105" i="1"/>
  <c r="AB105" i="1"/>
  <c r="AD105" i="1"/>
  <c r="AF105" i="1"/>
  <c r="AH105" i="1"/>
  <c r="AJ105" i="1"/>
  <c r="W106" i="1"/>
  <c r="Z106" i="1"/>
  <c r="AB106" i="1"/>
  <c r="AD106" i="1"/>
  <c r="AF106" i="1"/>
  <c r="AH106" i="1"/>
  <c r="AJ106" i="1"/>
  <c r="W107" i="1"/>
  <c r="Z107" i="1"/>
  <c r="AB107" i="1"/>
  <c r="AD107" i="1"/>
  <c r="AF107" i="1"/>
  <c r="AH107" i="1"/>
  <c r="AJ107" i="1"/>
  <c r="W108" i="1"/>
  <c r="Z108" i="1"/>
  <c r="AB108" i="1"/>
  <c r="AD108" i="1"/>
  <c r="AF108" i="1"/>
  <c r="AH108" i="1"/>
  <c r="AJ108" i="1"/>
  <c r="W109" i="1"/>
  <c r="Z109" i="1"/>
  <c r="AB109" i="1"/>
  <c r="AD109" i="1"/>
  <c r="AF109" i="1"/>
  <c r="AH109" i="1"/>
  <c r="AJ109" i="1"/>
  <c r="W110" i="1"/>
  <c r="Z110" i="1"/>
  <c r="AB110" i="1"/>
  <c r="AD110" i="1"/>
  <c r="AF110" i="1"/>
  <c r="AH110" i="1"/>
  <c r="AJ110" i="1"/>
  <c r="W111" i="1"/>
  <c r="Z111" i="1"/>
  <c r="AB111" i="1"/>
  <c r="AD111" i="1"/>
  <c r="AF111" i="1"/>
  <c r="AH111" i="1"/>
  <c r="AJ111" i="1"/>
  <c r="W112" i="1"/>
  <c r="Z112" i="1"/>
  <c r="AB112" i="1"/>
  <c r="AD112" i="1"/>
  <c r="AF112" i="1"/>
  <c r="AH112" i="1"/>
  <c r="AJ112" i="1"/>
  <c r="W113" i="1"/>
  <c r="Z113" i="1"/>
  <c r="AB113" i="1"/>
  <c r="AD113" i="1"/>
  <c r="AF113" i="1"/>
  <c r="AH113" i="1"/>
  <c r="AJ113" i="1"/>
  <c r="W114" i="1"/>
  <c r="Z114" i="1"/>
  <c r="AB114" i="1"/>
  <c r="AD114" i="1"/>
  <c r="AF114" i="1"/>
  <c r="AH114" i="1"/>
  <c r="AJ114" i="1"/>
  <c r="W115" i="1"/>
  <c r="Z115" i="1"/>
  <c r="AB115" i="1"/>
  <c r="AD115" i="1"/>
  <c r="AF115" i="1"/>
  <c r="AH115" i="1"/>
  <c r="AJ115" i="1"/>
  <c r="W116" i="1"/>
  <c r="Z116" i="1"/>
  <c r="AB116" i="1"/>
  <c r="AD116" i="1"/>
  <c r="AF116" i="1"/>
  <c r="AH116" i="1"/>
  <c r="AJ116" i="1"/>
  <c r="W117" i="1"/>
  <c r="Z117" i="1"/>
  <c r="AB117" i="1"/>
  <c r="AD117" i="1"/>
  <c r="AF117" i="1"/>
  <c r="AH117" i="1"/>
  <c r="AJ117" i="1"/>
  <c r="W118" i="1"/>
  <c r="Z118" i="1"/>
  <c r="AB118" i="1"/>
  <c r="AD118" i="1"/>
  <c r="AF118" i="1"/>
  <c r="AH118" i="1"/>
  <c r="AJ118" i="1"/>
  <c r="W119" i="1"/>
  <c r="Z119" i="1"/>
  <c r="AB119" i="1"/>
  <c r="AD119" i="1"/>
  <c r="AF119" i="1"/>
  <c r="AH119" i="1"/>
  <c r="AJ119" i="1"/>
  <c r="W120" i="1"/>
  <c r="Z120" i="1"/>
  <c r="AB120" i="1"/>
  <c r="AD120" i="1"/>
  <c r="AF120" i="1"/>
  <c r="AH120" i="1"/>
  <c r="AJ120" i="1"/>
  <c r="W121" i="1"/>
  <c r="Z121" i="1"/>
  <c r="AB121" i="1"/>
  <c r="AD121" i="1"/>
  <c r="AF121" i="1"/>
  <c r="AH121" i="1"/>
  <c r="AJ121" i="1"/>
  <c r="W122" i="1"/>
  <c r="Z122" i="1"/>
  <c r="AB122" i="1"/>
  <c r="AD122" i="1"/>
  <c r="AF122" i="1"/>
  <c r="AH122" i="1"/>
  <c r="AJ122" i="1"/>
  <c r="W123" i="1"/>
  <c r="Z123" i="1"/>
  <c r="AB123" i="1"/>
  <c r="AD123" i="1"/>
  <c r="AF123" i="1"/>
  <c r="AH123" i="1"/>
  <c r="AJ123" i="1"/>
  <c r="W124" i="1"/>
  <c r="Z124" i="1"/>
  <c r="AB124" i="1"/>
  <c r="AD124" i="1"/>
  <c r="AF124" i="1"/>
  <c r="AH124" i="1"/>
  <c r="AJ124" i="1"/>
  <c r="W125" i="1"/>
  <c r="Z125" i="1"/>
  <c r="AB125" i="1"/>
  <c r="AD125" i="1"/>
  <c r="AF125" i="1"/>
  <c r="AH125" i="1"/>
  <c r="AJ125" i="1"/>
  <c r="W126" i="1"/>
  <c r="Z126" i="1"/>
  <c r="AB126" i="1"/>
  <c r="AD126" i="1"/>
  <c r="AF126" i="1"/>
  <c r="AH126" i="1"/>
  <c r="AJ126" i="1"/>
  <c r="W127" i="1"/>
  <c r="Z127" i="1"/>
  <c r="AB127" i="1"/>
  <c r="AD127" i="1"/>
  <c r="AF127" i="1"/>
  <c r="AH127" i="1"/>
  <c r="AJ127" i="1"/>
  <c r="W128" i="1"/>
  <c r="Z128" i="1"/>
  <c r="AB128" i="1"/>
  <c r="AD128" i="1"/>
  <c r="AF128" i="1"/>
  <c r="AH128" i="1"/>
  <c r="AJ128" i="1"/>
  <c r="W129" i="1"/>
  <c r="Z129" i="1"/>
  <c r="AB129" i="1"/>
  <c r="AD129" i="1"/>
  <c r="AF129" i="1"/>
  <c r="AH129" i="1"/>
  <c r="AJ129" i="1"/>
  <c r="W130" i="1"/>
  <c r="Z130" i="1"/>
  <c r="AB130" i="1"/>
  <c r="AD130" i="1"/>
  <c r="AF130" i="1"/>
  <c r="AH130" i="1"/>
  <c r="AJ130" i="1"/>
  <c r="W131" i="1"/>
  <c r="Z131" i="1"/>
  <c r="AB131" i="1"/>
  <c r="AD131" i="1"/>
  <c r="AF131" i="1"/>
  <c r="AH131" i="1"/>
  <c r="AJ131" i="1"/>
  <c r="W132" i="1"/>
  <c r="Z132" i="1"/>
  <c r="AB132" i="1"/>
  <c r="AD132" i="1"/>
  <c r="AF132" i="1"/>
  <c r="AH132" i="1"/>
  <c r="AJ132" i="1"/>
  <c r="W133" i="1"/>
  <c r="Z133" i="1"/>
  <c r="AB133" i="1"/>
  <c r="AD133" i="1"/>
  <c r="AF133" i="1"/>
  <c r="AH133" i="1"/>
  <c r="AJ133" i="1"/>
  <c r="W134" i="1"/>
  <c r="Z134" i="1"/>
  <c r="AB134" i="1"/>
  <c r="AD134" i="1"/>
  <c r="AF134" i="1"/>
  <c r="AH134" i="1"/>
  <c r="AJ134" i="1"/>
  <c r="W135" i="1"/>
  <c r="Z135" i="1"/>
  <c r="AB135" i="1"/>
  <c r="AD135" i="1"/>
  <c r="AF135" i="1"/>
  <c r="AH135" i="1"/>
  <c r="AJ135" i="1"/>
  <c r="W136" i="1"/>
  <c r="Z136" i="1"/>
  <c r="AB136" i="1"/>
  <c r="AD136" i="1"/>
  <c r="AF136" i="1"/>
  <c r="AH136" i="1"/>
  <c r="AJ136" i="1"/>
  <c r="W137" i="1"/>
  <c r="Z137" i="1"/>
  <c r="AB137" i="1"/>
  <c r="AD137" i="1"/>
  <c r="AF137" i="1"/>
  <c r="AH137" i="1"/>
  <c r="AJ137" i="1"/>
  <c r="W138" i="1"/>
  <c r="Z138" i="1"/>
  <c r="AB138" i="1"/>
  <c r="AD138" i="1"/>
  <c r="AF138" i="1"/>
  <c r="AH138" i="1"/>
  <c r="AJ138" i="1"/>
  <c r="W139" i="1"/>
  <c r="Z139" i="1"/>
  <c r="AB139" i="1"/>
  <c r="AD139" i="1"/>
  <c r="AF139" i="1"/>
  <c r="AH139" i="1"/>
  <c r="AJ139" i="1"/>
  <c r="W140" i="1"/>
  <c r="Z140" i="1"/>
  <c r="AB140" i="1"/>
  <c r="AD140" i="1"/>
  <c r="AF140" i="1"/>
  <c r="AH140" i="1"/>
  <c r="AJ140" i="1"/>
  <c r="W141" i="1"/>
  <c r="Z141" i="1"/>
  <c r="AB141" i="1"/>
  <c r="AD141" i="1"/>
  <c r="AF141" i="1"/>
  <c r="AH141" i="1"/>
  <c r="AJ141" i="1"/>
  <c r="W142" i="1"/>
  <c r="Z142" i="1"/>
  <c r="AB142" i="1"/>
  <c r="AD142" i="1"/>
  <c r="AF142" i="1"/>
  <c r="AH142" i="1"/>
  <c r="AJ142" i="1"/>
  <c r="W143" i="1"/>
  <c r="Z143" i="1"/>
  <c r="AB143" i="1"/>
  <c r="AD143" i="1"/>
  <c r="AF143" i="1"/>
  <c r="AH143" i="1"/>
  <c r="AJ143" i="1"/>
  <c r="W144" i="1"/>
  <c r="Z144" i="1"/>
  <c r="AB144" i="1"/>
  <c r="AD144" i="1"/>
  <c r="AF144" i="1"/>
  <c r="AH144" i="1"/>
  <c r="AJ144" i="1"/>
  <c r="W145" i="1"/>
  <c r="Z145" i="1"/>
  <c r="AB145" i="1"/>
  <c r="AD145" i="1"/>
  <c r="AF145" i="1"/>
  <c r="AH145" i="1"/>
  <c r="AJ145" i="1"/>
  <c r="W146" i="1"/>
  <c r="Z146" i="1"/>
  <c r="AB146" i="1"/>
  <c r="AD146" i="1"/>
  <c r="AF146" i="1"/>
  <c r="AH146" i="1"/>
  <c r="AJ146" i="1"/>
  <c r="W147" i="1"/>
  <c r="Z147" i="1"/>
  <c r="AB147" i="1"/>
  <c r="AD147" i="1"/>
  <c r="AF147" i="1"/>
  <c r="AH147" i="1"/>
  <c r="AJ147" i="1"/>
  <c r="W148" i="1"/>
  <c r="Z148" i="1"/>
  <c r="AB148" i="1"/>
  <c r="AD148" i="1"/>
  <c r="AF148" i="1"/>
  <c r="AH148" i="1"/>
  <c r="AJ148" i="1"/>
  <c r="W149" i="1"/>
  <c r="Z149" i="1"/>
  <c r="AB149" i="1"/>
  <c r="AD149" i="1"/>
  <c r="AF149" i="1"/>
  <c r="AH149" i="1"/>
  <c r="AJ149" i="1"/>
  <c r="W150" i="1"/>
  <c r="Z150" i="1"/>
  <c r="AB150" i="1"/>
  <c r="AD150" i="1"/>
  <c r="AF150" i="1"/>
  <c r="AH150" i="1"/>
  <c r="AJ150" i="1"/>
  <c r="W151" i="1"/>
  <c r="Z151" i="1"/>
  <c r="AB151" i="1"/>
  <c r="AD151" i="1"/>
  <c r="AF151" i="1"/>
  <c r="AH151" i="1"/>
  <c r="AJ151" i="1"/>
  <c r="W152" i="1"/>
  <c r="Z152" i="1"/>
  <c r="AB152" i="1"/>
  <c r="AD152" i="1"/>
  <c r="AF152" i="1"/>
  <c r="AH152" i="1"/>
  <c r="AJ152" i="1"/>
  <c r="W153" i="1"/>
  <c r="Z153" i="1"/>
  <c r="AB153" i="1"/>
  <c r="AD153" i="1"/>
  <c r="AF153" i="1"/>
  <c r="AH153" i="1"/>
  <c r="AJ153" i="1"/>
  <c r="W154" i="1"/>
  <c r="Z154" i="1"/>
  <c r="AB154" i="1"/>
  <c r="AD154" i="1"/>
  <c r="AF154" i="1"/>
  <c r="AH154" i="1"/>
  <c r="AJ154" i="1"/>
  <c r="W155" i="1"/>
  <c r="Z155" i="1"/>
  <c r="AB155" i="1"/>
  <c r="AD155" i="1"/>
  <c r="AF155" i="1"/>
  <c r="AH155" i="1"/>
  <c r="AJ155" i="1"/>
  <c r="W156" i="1"/>
  <c r="Z156" i="1"/>
  <c r="AB156" i="1"/>
  <c r="AD156" i="1"/>
  <c r="AF156" i="1"/>
  <c r="AH156" i="1"/>
  <c r="AJ156" i="1"/>
  <c r="W157" i="1"/>
  <c r="Z157" i="1"/>
  <c r="AB157" i="1"/>
  <c r="AD157" i="1"/>
  <c r="AF157" i="1"/>
  <c r="AH157" i="1"/>
  <c r="AJ157" i="1"/>
  <c r="W158" i="1"/>
  <c r="Z158" i="1"/>
  <c r="AB158" i="1"/>
  <c r="AD158" i="1"/>
  <c r="AF158" i="1"/>
  <c r="AH158" i="1"/>
  <c r="AJ158" i="1"/>
  <c r="W159" i="1"/>
  <c r="Z159" i="1"/>
  <c r="AB159" i="1"/>
  <c r="AD159" i="1"/>
  <c r="AF159" i="1"/>
  <c r="AH159" i="1"/>
  <c r="AJ159" i="1"/>
  <c r="W160" i="1"/>
  <c r="Z160" i="1"/>
  <c r="AB160" i="1"/>
  <c r="AD160" i="1"/>
  <c r="AF160" i="1"/>
  <c r="AH160" i="1"/>
  <c r="AJ160" i="1"/>
  <c r="W161" i="1"/>
  <c r="Z161" i="1"/>
  <c r="AB161" i="1"/>
  <c r="AD161" i="1"/>
  <c r="AF161" i="1"/>
  <c r="AH161" i="1"/>
  <c r="AJ161" i="1"/>
  <c r="W162" i="1"/>
  <c r="Z162" i="1"/>
  <c r="AB162" i="1"/>
  <c r="AD162" i="1"/>
  <c r="AF162" i="1"/>
  <c r="AH162" i="1"/>
  <c r="AJ162" i="1"/>
  <c r="W163" i="1"/>
  <c r="Z163" i="1"/>
  <c r="AB163" i="1"/>
  <c r="AD163" i="1"/>
  <c r="AF163" i="1"/>
  <c r="AH163" i="1"/>
  <c r="AJ163" i="1"/>
  <c r="W164" i="1"/>
  <c r="Z164" i="1"/>
  <c r="AB164" i="1"/>
  <c r="AD164" i="1"/>
  <c r="AF164" i="1"/>
  <c r="AH164" i="1"/>
  <c r="AJ164" i="1"/>
  <c r="W165" i="1"/>
  <c r="Z165" i="1"/>
  <c r="AB165" i="1"/>
  <c r="AD165" i="1"/>
  <c r="AF165" i="1"/>
  <c r="AH165" i="1"/>
  <c r="AJ165" i="1"/>
  <c r="W166" i="1"/>
  <c r="Z166" i="1"/>
  <c r="AB166" i="1"/>
  <c r="AD166" i="1"/>
  <c r="AF166" i="1"/>
  <c r="AH166" i="1"/>
  <c r="AJ166" i="1"/>
  <c r="W167" i="1"/>
  <c r="Z167" i="1"/>
  <c r="AB167" i="1"/>
  <c r="AD167" i="1"/>
  <c r="AF167" i="1"/>
  <c r="AH167" i="1"/>
  <c r="AJ167" i="1"/>
  <c r="W168" i="1"/>
  <c r="Z168" i="1"/>
  <c r="AB168" i="1"/>
  <c r="AD168" i="1"/>
  <c r="AF168" i="1"/>
  <c r="AH168" i="1"/>
  <c r="AJ168" i="1"/>
  <c r="W169" i="1"/>
  <c r="Z169" i="1"/>
  <c r="AB169" i="1"/>
  <c r="AD169" i="1"/>
  <c r="AF169" i="1"/>
  <c r="AH169" i="1"/>
  <c r="AJ169" i="1"/>
  <c r="W170" i="1"/>
  <c r="Z170" i="1"/>
  <c r="AB170" i="1"/>
  <c r="AD170" i="1"/>
  <c r="AF170" i="1"/>
  <c r="AH170" i="1"/>
  <c r="AJ170" i="1"/>
  <c r="W171" i="1"/>
  <c r="Z171" i="1"/>
  <c r="AB171" i="1"/>
  <c r="AD171" i="1"/>
  <c r="AF171" i="1"/>
  <c r="AH171" i="1"/>
  <c r="AJ171" i="1"/>
  <c r="W172" i="1"/>
  <c r="Z172" i="1"/>
  <c r="AB172" i="1"/>
  <c r="AD172" i="1"/>
  <c r="AF172" i="1"/>
  <c r="AH172" i="1"/>
  <c r="AJ172" i="1"/>
  <c r="W173" i="1"/>
  <c r="Z173" i="1"/>
  <c r="AB173" i="1"/>
  <c r="AD173" i="1"/>
  <c r="AF173" i="1"/>
  <c r="AH173" i="1"/>
  <c r="AJ173" i="1"/>
  <c r="W174" i="1"/>
  <c r="Z174" i="1"/>
  <c r="AB174" i="1"/>
  <c r="AD174" i="1"/>
  <c r="AF174" i="1"/>
  <c r="AH174" i="1"/>
  <c r="AJ174" i="1"/>
  <c r="W175" i="1"/>
  <c r="Z175" i="1"/>
  <c r="AB175" i="1"/>
  <c r="AD175" i="1"/>
  <c r="AF175" i="1"/>
  <c r="AH175" i="1"/>
  <c r="AJ175" i="1"/>
  <c r="W176" i="1"/>
  <c r="Z176" i="1"/>
  <c r="AB176" i="1"/>
  <c r="AD176" i="1"/>
  <c r="AF176" i="1"/>
  <c r="AH176" i="1"/>
  <c r="AJ176" i="1"/>
  <c r="W177" i="1"/>
  <c r="Z177" i="1"/>
  <c r="AB177" i="1"/>
  <c r="AD177" i="1"/>
  <c r="AF177" i="1"/>
  <c r="AH177" i="1"/>
  <c r="AJ177" i="1"/>
  <c r="W178" i="1"/>
  <c r="Z178" i="1"/>
  <c r="AB178" i="1"/>
  <c r="AD178" i="1"/>
  <c r="AF178" i="1"/>
  <c r="AH178" i="1"/>
  <c r="AJ178" i="1"/>
  <c r="W179" i="1"/>
  <c r="Z179" i="1"/>
  <c r="AB179" i="1"/>
  <c r="AD179" i="1"/>
  <c r="AF179" i="1"/>
  <c r="AH179" i="1"/>
  <c r="AJ179" i="1"/>
  <c r="W180" i="1"/>
  <c r="Z180" i="1"/>
  <c r="AB180" i="1"/>
  <c r="AD180" i="1"/>
  <c r="AF180" i="1"/>
  <c r="AH180" i="1"/>
  <c r="AJ180" i="1"/>
  <c r="W181" i="1"/>
  <c r="Z181" i="1"/>
  <c r="AB181" i="1"/>
  <c r="AD181" i="1"/>
  <c r="AF181" i="1"/>
  <c r="AH181" i="1"/>
  <c r="AJ181" i="1"/>
  <c r="W182" i="1"/>
  <c r="Z182" i="1"/>
  <c r="AB182" i="1"/>
  <c r="AD182" i="1"/>
  <c r="AF182" i="1"/>
  <c r="AH182" i="1"/>
  <c r="AJ182" i="1"/>
  <c r="W183" i="1"/>
  <c r="Z183" i="1"/>
  <c r="AB183" i="1"/>
  <c r="AD183" i="1"/>
  <c r="AF183" i="1"/>
  <c r="AH183" i="1"/>
  <c r="AJ183" i="1"/>
  <c r="W184" i="1"/>
  <c r="Z184" i="1"/>
  <c r="AB184" i="1"/>
  <c r="AD184" i="1"/>
  <c r="AF184" i="1"/>
  <c r="AH184" i="1"/>
  <c r="AJ184" i="1"/>
  <c r="W185" i="1"/>
  <c r="Z185" i="1"/>
  <c r="AB185" i="1"/>
  <c r="AD185" i="1"/>
  <c r="AF185" i="1"/>
  <c r="AH185" i="1"/>
  <c r="AJ185" i="1"/>
  <c r="W186" i="1"/>
  <c r="Z186" i="1"/>
  <c r="AB186" i="1"/>
  <c r="AD186" i="1"/>
  <c r="AF186" i="1"/>
  <c r="AH186" i="1"/>
  <c r="AJ186" i="1"/>
  <c r="W187" i="1"/>
  <c r="Z187" i="1"/>
  <c r="AB187" i="1"/>
  <c r="AD187" i="1"/>
  <c r="AF187" i="1"/>
  <c r="AH187" i="1"/>
  <c r="AJ187" i="1"/>
  <c r="W188" i="1"/>
  <c r="Z188" i="1"/>
  <c r="AB188" i="1"/>
  <c r="AD188" i="1"/>
  <c r="AF188" i="1"/>
  <c r="AH188" i="1"/>
  <c r="AJ188" i="1"/>
  <c r="W189" i="1"/>
  <c r="Z189" i="1"/>
  <c r="AB189" i="1"/>
  <c r="AD189" i="1"/>
  <c r="AF189" i="1"/>
  <c r="AH189" i="1"/>
  <c r="AJ189" i="1"/>
  <c r="W190" i="1"/>
  <c r="Z190" i="1"/>
  <c r="AB190" i="1"/>
  <c r="AD190" i="1"/>
  <c r="AF190" i="1"/>
  <c r="AH190" i="1"/>
  <c r="AJ190" i="1"/>
  <c r="W191" i="1"/>
  <c r="Z191" i="1"/>
  <c r="AB191" i="1"/>
  <c r="AD191" i="1"/>
  <c r="AF191" i="1"/>
  <c r="AH191" i="1"/>
  <c r="AJ191" i="1"/>
  <c r="W192" i="1"/>
  <c r="Z192" i="1"/>
  <c r="AB192" i="1"/>
  <c r="AD192" i="1"/>
  <c r="AF192" i="1"/>
  <c r="AH192" i="1"/>
  <c r="AJ192" i="1"/>
  <c r="W193" i="1"/>
  <c r="Z193" i="1"/>
  <c r="AB193" i="1"/>
  <c r="AD193" i="1"/>
  <c r="AF193" i="1"/>
  <c r="AH193" i="1"/>
  <c r="AJ193" i="1"/>
  <c r="W194" i="1"/>
  <c r="Z194" i="1"/>
  <c r="AB194" i="1"/>
  <c r="AD194" i="1"/>
  <c r="AF194" i="1"/>
  <c r="AH194" i="1"/>
  <c r="AJ194" i="1"/>
  <c r="W195" i="1"/>
  <c r="Z195" i="1"/>
  <c r="AB195" i="1"/>
  <c r="AD195" i="1"/>
  <c r="AF195" i="1"/>
  <c r="AH195" i="1"/>
  <c r="AJ195" i="1"/>
  <c r="W196" i="1"/>
  <c r="Z196" i="1"/>
  <c r="AB196" i="1"/>
  <c r="AD196" i="1"/>
  <c r="AF196" i="1"/>
  <c r="AH196" i="1"/>
  <c r="AJ196" i="1"/>
  <c r="W197" i="1"/>
  <c r="Z197" i="1"/>
  <c r="AB197" i="1"/>
  <c r="AD197" i="1"/>
  <c r="AF197" i="1"/>
  <c r="AH197" i="1"/>
  <c r="AJ197" i="1"/>
  <c r="W198" i="1"/>
  <c r="Z198" i="1"/>
  <c r="AB198" i="1"/>
  <c r="AD198" i="1"/>
  <c r="AF198" i="1"/>
  <c r="AH198" i="1"/>
  <c r="AJ198" i="1"/>
  <c r="W199" i="1"/>
  <c r="Z199" i="1"/>
  <c r="AB199" i="1"/>
  <c r="AD199" i="1"/>
  <c r="AF199" i="1"/>
  <c r="AH199" i="1"/>
  <c r="AJ199" i="1"/>
  <c r="W200" i="1"/>
  <c r="Z200" i="1"/>
  <c r="AB200" i="1"/>
  <c r="AD200" i="1"/>
  <c r="AF200" i="1"/>
  <c r="AH200" i="1"/>
  <c r="AJ200" i="1"/>
  <c r="W201" i="1"/>
  <c r="Z201" i="1"/>
  <c r="AB201" i="1"/>
  <c r="AD201" i="1"/>
  <c r="AF201" i="1"/>
  <c r="AH201" i="1"/>
  <c r="AJ201" i="1"/>
  <c r="W202" i="1"/>
  <c r="Z202" i="1"/>
  <c r="AB202" i="1"/>
  <c r="AD202" i="1"/>
  <c r="AF202" i="1"/>
  <c r="AH202" i="1"/>
  <c r="AJ202" i="1"/>
  <c r="W203" i="1"/>
  <c r="Z203" i="1"/>
  <c r="AB203" i="1"/>
  <c r="AD203" i="1"/>
  <c r="AF203" i="1"/>
  <c r="AH203" i="1"/>
  <c r="AJ203" i="1"/>
  <c r="W204" i="1"/>
  <c r="Z204" i="1"/>
  <c r="AB204" i="1"/>
  <c r="AD204" i="1"/>
  <c r="AF204" i="1"/>
  <c r="AH204" i="1"/>
  <c r="AJ204" i="1"/>
  <c r="W205" i="1"/>
  <c r="Z205" i="1"/>
  <c r="AB205" i="1"/>
  <c r="AD205" i="1"/>
  <c r="AF205" i="1"/>
  <c r="AH205" i="1"/>
  <c r="AJ205" i="1"/>
  <c r="W206" i="1"/>
  <c r="Z206" i="1"/>
  <c r="AB206" i="1"/>
  <c r="AD206" i="1"/>
  <c r="AF206" i="1"/>
  <c r="AH206" i="1"/>
  <c r="AJ206" i="1"/>
  <c r="W207" i="1"/>
  <c r="Z207" i="1"/>
  <c r="AB207" i="1"/>
  <c r="AD207" i="1"/>
  <c r="AF207" i="1"/>
  <c r="AH207" i="1"/>
  <c r="AJ207" i="1"/>
  <c r="W208" i="1"/>
  <c r="Z208" i="1"/>
  <c r="AB208" i="1"/>
  <c r="AD208" i="1"/>
  <c r="AF208" i="1"/>
  <c r="AH208" i="1"/>
  <c r="AJ208" i="1"/>
  <c r="W209" i="1"/>
  <c r="Z209" i="1"/>
  <c r="AB209" i="1"/>
  <c r="AD209" i="1"/>
  <c r="AF209" i="1"/>
  <c r="AH209" i="1"/>
  <c r="AJ209" i="1"/>
  <c r="W210" i="1"/>
  <c r="Z210" i="1"/>
  <c r="AB210" i="1"/>
  <c r="AD210" i="1"/>
  <c r="AF210" i="1"/>
  <c r="AH210" i="1"/>
  <c r="AJ210" i="1"/>
  <c r="W211" i="1"/>
  <c r="Z211" i="1"/>
  <c r="AB211" i="1"/>
  <c r="AD211" i="1"/>
  <c r="AF211" i="1"/>
  <c r="AH211" i="1"/>
  <c r="AJ211" i="1"/>
  <c r="W212" i="1"/>
  <c r="Z212" i="1"/>
  <c r="AB212" i="1"/>
  <c r="AD212" i="1"/>
  <c r="AF212" i="1"/>
  <c r="AH212" i="1"/>
  <c r="AJ212" i="1"/>
  <c r="W213" i="1"/>
  <c r="Z213" i="1"/>
  <c r="AB213" i="1"/>
  <c r="AD213" i="1"/>
  <c r="AF213" i="1"/>
  <c r="AH213" i="1"/>
  <c r="AJ213" i="1"/>
  <c r="W214" i="1"/>
  <c r="Z214" i="1"/>
  <c r="AB214" i="1"/>
  <c r="AD214" i="1"/>
  <c r="AF214" i="1"/>
  <c r="AH214" i="1"/>
  <c r="AJ214" i="1"/>
  <c r="W215" i="1"/>
  <c r="Z215" i="1"/>
  <c r="AB215" i="1"/>
  <c r="AD215" i="1"/>
  <c r="AF215" i="1"/>
  <c r="AH215" i="1"/>
  <c r="AJ215" i="1"/>
  <c r="W216" i="1"/>
  <c r="Z216" i="1"/>
  <c r="AB216" i="1"/>
  <c r="AD216" i="1"/>
  <c r="AF216" i="1"/>
  <c r="AH216" i="1"/>
  <c r="AJ216" i="1"/>
  <c r="W217" i="1"/>
  <c r="Z217" i="1"/>
  <c r="AB217" i="1"/>
  <c r="AD217" i="1"/>
  <c r="AF217" i="1"/>
  <c r="AH217" i="1"/>
  <c r="AJ217" i="1"/>
  <c r="W218" i="1"/>
  <c r="Z218" i="1"/>
  <c r="AB218" i="1"/>
  <c r="AD218" i="1"/>
  <c r="AF218" i="1"/>
  <c r="AH218" i="1"/>
  <c r="AJ218" i="1"/>
  <c r="AR6" i="1"/>
  <c r="AR4" i="1"/>
  <c r="AR7" i="1"/>
  <c r="AQ6" i="1"/>
  <c r="AQ4" i="1"/>
  <c r="AQ7" i="1"/>
  <c r="AP6" i="1"/>
  <c r="AP4" i="1"/>
  <c r="AP7" i="1"/>
  <c r="AO6" i="1"/>
  <c r="AO4" i="1"/>
  <c r="AO7" i="1"/>
  <c r="AN6" i="1"/>
  <c r="AN4" i="1"/>
  <c r="AN7" i="1"/>
  <c r="AM6" i="1"/>
  <c r="AM7" i="1"/>
  <c r="AR3" i="1"/>
  <c r="AQ3" i="1"/>
  <c r="AP3" i="1"/>
  <c r="AO3" i="1"/>
  <c r="AN3" i="1"/>
  <c r="AM3" i="1"/>
  <c r="O119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Q54" i="1"/>
  <c r="Q53" i="1"/>
  <c r="Q3" i="1"/>
  <c r="R3" i="1"/>
  <c r="Q4" i="1"/>
  <c r="R4" i="1"/>
  <c r="Q5" i="1"/>
  <c r="R5" i="1"/>
  <c r="Q6" i="1"/>
  <c r="R6" i="1"/>
  <c r="Q7" i="1"/>
  <c r="R7" i="1"/>
  <c r="Q8" i="1"/>
  <c r="R8" i="1"/>
  <c r="Q9" i="1"/>
  <c r="R9" i="1"/>
  <c r="Q10" i="1"/>
  <c r="R10" i="1"/>
  <c r="Q11" i="1"/>
  <c r="R11" i="1"/>
  <c r="Q12" i="1"/>
  <c r="R12" i="1"/>
  <c r="Q13" i="1"/>
  <c r="R13" i="1"/>
  <c r="Q14" i="1"/>
  <c r="R14" i="1"/>
  <c r="Q15" i="1"/>
  <c r="R15" i="1"/>
  <c r="Q16" i="1"/>
  <c r="R16" i="1"/>
  <c r="Q17" i="1"/>
  <c r="R17" i="1"/>
  <c r="Q18" i="1"/>
  <c r="R18" i="1"/>
  <c r="Q19" i="1"/>
  <c r="R19" i="1"/>
  <c r="Q20" i="1"/>
  <c r="R20" i="1"/>
  <c r="Q21" i="1"/>
  <c r="R21" i="1"/>
  <c r="Q22" i="1"/>
  <c r="R22" i="1"/>
  <c r="Q23" i="1"/>
  <c r="R23" i="1"/>
  <c r="Q24" i="1"/>
  <c r="R24" i="1"/>
  <c r="Q25" i="1"/>
  <c r="R25" i="1"/>
  <c r="Q26" i="1"/>
  <c r="R26" i="1"/>
  <c r="Q27" i="1"/>
  <c r="R27" i="1"/>
  <c r="Q28" i="1"/>
  <c r="R28" i="1"/>
  <c r="Q29" i="1"/>
  <c r="R29" i="1"/>
  <c r="Q30" i="1"/>
  <c r="R30" i="1"/>
  <c r="Q31" i="1"/>
  <c r="R31" i="1"/>
  <c r="Q32" i="1"/>
  <c r="R32" i="1"/>
  <c r="Q33" i="1"/>
  <c r="R33" i="1"/>
  <c r="Q34" i="1"/>
  <c r="R34" i="1"/>
  <c r="Q35" i="1"/>
  <c r="R35" i="1"/>
  <c r="Q36" i="1"/>
  <c r="R36" i="1"/>
  <c r="Q37" i="1"/>
  <c r="R37" i="1"/>
  <c r="Q38" i="1"/>
  <c r="R38" i="1"/>
  <c r="Q39" i="1"/>
  <c r="R39" i="1"/>
  <c r="Q40" i="1"/>
  <c r="R40" i="1"/>
  <c r="Q41" i="1"/>
  <c r="R41" i="1"/>
  <c r="Q42" i="1"/>
  <c r="R42" i="1"/>
  <c r="Q43" i="1"/>
  <c r="R43" i="1"/>
  <c r="Q44" i="1"/>
  <c r="R44" i="1"/>
  <c r="Q45" i="1"/>
  <c r="R45" i="1"/>
  <c r="Q46" i="1"/>
  <c r="R46" i="1"/>
  <c r="Q47" i="1"/>
  <c r="R47" i="1"/>
  <c r="Q48" i="1"/>
  <c r="R48" i="1"/>
  <c r="Q49" i="1"/>
  <c r="R49" i="1"/>
  <c r="Q50" i="1"/>
  <c r="R50" i="1"/>
  <c r="Q51" i="1"/>
  <c r="R51" i="1"/>
  <c r="Q52" i="1"/>
  <c r="R52" i="1"/>
  <c r="R53" i="1"/>
  <c r="R54" i="1"/>
  <c r="Q55" i="1"/>
  <c r="R55" i="1"/>
  <c r="Q56" i="1"/>
  <c r="R56" i="1"/>
  <c r="Q57" i="1"/>
  <c r="R57" i="1"/>
  <c r="Q58" i="1"/>
  <c r="R58" i="1"/>
  <c r="Q59" i="1"/>
  <c r="R59" i="1"/>
  <c r="Q60" i="1"/>
  <c r="R60" i="1"/>
  <c r="Q61" i="1"/>
  <c r="R61" i="1"/>
  <c r="Q62" i="1"/>
  <c r="R62" i="1"/>
  <c r="Q63" i="1"/>
  <c r="R63" i="1"/>
  <c r="Q64" i="1"/>
  <c r="R64" i="1"/>
  <c r="Q65" i="1"/>
  <c r="R65" i="1"/>
  <c r="Q66" i="1"/>
  <c r="R66" i="1"/>
  <c r="Q67" i="1"/>
  <c r="R67" i="1"/>
  <c r="Q68" i="1"/>
  <c r="R68" i="1"/>
  <c r="Q69" i="1"/>
  <c r="R69" i="1"/>
  <c r="Q70" i="1"/>
  <c r="R70" i="1"/>
  <c r="Q71" i="1"/>
  <c r="R71" i="1"/>
  <c r="Q72" i="1"/>
  <c r="R72" i="1"/>
  <c r="Q73" i="1"/>
  <c r="R73" i="1"/>
  <c r="Q74" i="1"/>
  <c r="R74" i="1"/>
  <c r="Q75" i="1"/>
  <c r="R75" i="1"/>
  <c r="Q76" i="1"/>
  <c r="R76" i="1"/>
  <c r="Q77" i="1"/>
  <c r="R77" i="1"/>
  <c r="Q78" i="1"/>
  <c r="R78" i="1"/>
  <c r="Q79" i="1"/>
  <c r="R79" i="1"/>
  <c r="Q80" i="1"/>
  <c r="R80" i="1"/>
  <c r="O54" i="1"/>
  <c r="O53" i="1"/>
  <c r="O3" i="1"/>
  <c r="P3" i="1"/>
  <c r="O4" i="1"/>
  <c r="P4" i="1"/>
  <c r="O5" i="1"/>
  <c r="P5" i="1"/>
  <c r="O6" i="1"/>
  <c r="P6" i="1"/>
  <c r="O7" i="1"/>
  <c r="P7" i="1"/>
  <c r="O8" i="1"/>
  <c r="P8" i="1"/>
  <c r="O9" i="1"/>
  <c r="P9" i="1"/>
  <c r="O10" i="1"/>
  <c r="P10" i="1"/>
  <c r="O11" i="1"/>
  <c r="P11" i="1"/>
  <c r="O12" i="1"/>
  <c r="P12" i="1"/>
  <c r="O13" i="1"/>
  <c r="P13" i="1"/>
  <c r="O14" i="1"/>
  <c r="P14" i="1"/>
  <c r="O15" i="1"/>
  <c r="P15" i="1"/>
  <c r="O16" i="1"/>
  <c r="P16" i="1"/>
  <c r="O17" i="1"/>
  <c r="P17" i="1"/>
  <c r="O18" i="1"/>
  <c r="P18" i="1"/>
  <c r="O19" i="1"/>
  <c r="P19" i="1"/>
  <c r="O20" i="1"/>
  <c r="P20" i="1"/>
  <c r="O21" i="1"/>
  <c r="P21" i="1"/>
  <c r="O22" i="1"/>
  <c r="P22" i="1"/>
  <c r="O23" i="1"/>
  <c r="P23" i="1"/>
  <c r="O24" i="1"/>
  <c r="P24" i="1"/>
  <c r="O25" i="1"/>
  <c r="P25" i="1"/>
  <c r="O26" i="1"/>
  <c r="P26" i="1"/>
  <c r="O27" i="1"/>
  <c r="P27" i="1"/>
  <c r="O28" i="1"/>
  <c r="P28" i="1"/>
  <c r="O29" i="1"/>
  <c r="P29" i="1"/>
  <c r="O30" i="1"/>
  <c r="P30" i="1"/>
  <c r="O31" i="1"/>
  <c r="P31" i="1"/>
  <c r="O32" i="1"/>
  <c r="P32" i="1"/>
  <c r="O33" i="1"/>
  <c r="P33" i="1"/>
  <c r="O34" i="1"/>
  <c r="P34" i="1"/>
  <c r="O35" i="1"/>
  <c r="P35" i="1"/>
  <c r="O36" i="1"/>
  <c r="P36" i="1"/>
  <c r="O37" i="1"/>
  <c r="P37" i="1"/>
  <c r="O38" i="1"/>
  <c r="P38" i="1"/>
  <c r="O39" i="1"/>
  <c r="P39" i="1"/>
  <c r="O40" i="1"/>
  <c r="P40" i="1"/>
  <c r="O41" i="1"/>
  <c r="P41" i="1"/>
  <c r="O42" i="1"/>
  <c r="P42" i="1"/>
  <c r="O43" i="1"/>
  <c r="P43" i="1"/>
  <c r="O44" i="1"/>
  <c r="P44" i="1"/>
  <c r="O45" i="1"/>
  <c r="P45" i="1"/>
  <c r="O46" i="1"/>
  <c r="P46" i="1"/>
  <c r="O47" i="1"/>
  <c r="P47" i="1"/>
  <c r="O48" i="1"/>
  <c r="P48" i="1"/>
  <c r="O49" i="1"/>
  <c r="P49" i="1"/>
  <c r="O50" i="1"/>
  <c r="P50" i="1"/>
  <c r="O51" i="1"/>
  <c r="P51" i="1"/>
  <c r="O52" i="1"/>
  <c r="P52" i="1"/>
  <c r="P53" i="1"/>
  <c r="P54" i="1"/>
  <c r="O55" i="1"/>
  <c r="P55" i="1"/>
  <c r="O56" i="1"/>
  <c r="P56" i="1"/>
  <c r="O57" i="1"/>
  <c r="P57" i="1"/>
  <c r="O58" i="1"/>
  <c r="P58" i="1"/>
  <c r="O59" i="1"/>
  <c r="P59" i="1"/>
  <c r="O60" i="1"/>
  <c r="P60" i="1"/>
  <c r="O61" i="1"/>
  <c r="P61" i="1"/>
  <c r="O62" i="1"/>
  <c r="P62" i="1"/>
  <c r="O63" i="1"/>
  <c r="P63" i="1"/>
  <c r="O64" i="1"/>
  <c r="P64" i="1"/>
  <c r="O65" i="1"/>
  <c r="P65" i="1"/>
  <c r="O66" i="1"/>
  <c r="P66" i="1"/>
  <c r="O67" i="1"/>
  <c r="P67" i="1"/>
  <c r="O68" i="1"/>
  <c r="P68" i="1"/>
  <c r="O69" i="1"/>
  <c r="P69" i="1"/>
  <c r="O70" i="1"/>
  <c r="P70" i="1"/>
  <c r="O71" i="1"/>
  <c r="P71" i="1"/>
  <c r="O72" i="1"/>
  <c r="P72" i="1"/>
  <c r="O73" i="1"/>
  <c r="P73" i="1"/>
  <c r="O74" i="1"/>
  <c r="P74" i="1"/>
  <c r="O75" i="1"/>
  <c r="P75" i="1"/>
  <c r="O76" i="1"/>
  <c r="P76" i="1"/>
  <c r="O77" i="1"/>
  <c r="P77" i="1"/>
  <c r="O78" i="1"/>
  <c r="P78" i="1"/>
  <c r="O79" i="1"/>
  <c r="P79" i="1"/>
  <c r="O80" i="1"/>
  <c r="P80" i="1"/>
  <c r="M80" i="1"/>
  <c r="N80" i="1"/>
  <c r="M79" i="1"/>
  <c r="N79" i="1"/>
  <c r="M78" i="1"/>
  <c r="N78" i="1"/>
  <c r="M77" i="1"/>
  <c r="N77" i="1"/>
  <c r="M76" i="1"/>
  <c r="N76" i="1"/>
  <c r="M75" i="1"/>
  <c r="N75" i="1"/>
  <c r="M74" i="1"/>
  <c r="N74" i="1"/>
  <c r="M73" i="1"/>
  <c r="N73" i="1"/>
  <c r="M72" i="1"/>
  <c r="N72" i="1"/>
  <c r="M71" i="1"/>
  <c r="N71" i="1"/>
  <c r="M70" i="1"/>
  <c r="N70" i="1"/>
  <c r="M69" i="1"/>
  <c r="N69" i="1"/>
  <c r="M68" i="1"/>
  <c r="N68" i="1"/>
  <c r="M67" i="1"/>
  <c r="N67" i="1"/>
  <c r="M66" i="1"/>
  <c r="N66" i="1"/>
  <c r="M65" i="1"/>
  <c r="N65" i="1"/>
  <c r="M64" i="1"/>
  <c r="N64" i="1"/>
  <c r="M63" i="1"/>
  <c r="N63" i="1"/>
  <c r="M62" i="1"/>
  <c r="N62" i="1"/>
  <c r="M61" i="1"/>
  <c r="N61" i="1"/>
  <c r="M60" i="1"/>
  <c r="N60" i="1"/>
  <c r="M59" i="1"/>
  <c r="N59" i="1"/>
  <c r="M58" i="1"/>
  <c r="N58" i="1"/>
  <c r="M57" i="1"/>
  <c r="N57" i="1"/>
  <c r="M56" i="1"/>
  <c r="N56" i="1"/>
  <c r="M55" i="1"/>
  <c r="N55" i="1"/>
  <c r="M54" i="1"/>
  <c r="N54" i="1"/>
  <c r="M46" i="1"/>
  <c r="N46" i="1"/>
  <c r="M47" i="1"/>
  <c r="N47" i="1"/>
  <c r="M48" i="1"/>
  <c r="N48" i="1"/>
  <c r="M49" i="1"/>
  <c r="N49" i="1"/>
  <c r="M50" i="1"/>
  <c r="N50" i="1"/>
  <c r="M51" i="1"/>
  <c r="N51" i="1"/>
  <c r="M52" i="1"/>
  <c r="N52" i="1"/>
  <c r="M53" i="1"/>
  <c r="N53" i="1"/>
  <c r="M44" i="1"/>
  <c r="N44" i="1"/>
  <c r="M45" i="1"/>
  <c r="N45" i="1"/>
  <c r="M43" i="1"/>
  <c r="N43" i="1"/>
  <c r="AD7" i="3"/>
  <c r="V3" i="3"/>
  <c r="V102" i="3"/>
  <c r="V101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V90" i="3"/>
  <c r="V91" i="3"/>
  <c r="V92" i="3"/>
  <c r="V93" i="3"/>
  <c r="V94" i="3"/>
  <c r="V95" i="3"/>
  <c r="V96" i="3"/>
  <c r="V97" i="3"/>
  <c r="V98" i="3"/>
  <c r="V99" i="3"/>
  <c r="V100" i="3"/>
  <c r="V4" i="3"/>
  <c r="X3" i="3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5" i="3"/>
  <c r="X36" i="3"/>
  <c r="X37" i="3"/>
  <c r="X38" i="3"/>
  <c r="X39" i="3"/>
  <c r="X40" i="3"/>
  <c r="X41" i="3"/>
  <c r="X42" i="3"/>
  <c r="X43" i="3"/>
  <c r="X44" i="3"/>
  <c r="X45" i="3"/>
  <c r="X46" i="3"/>
  <c r="X47" i="3"/>
  <c r="X48" i="3"/>
  <c r="X49" i="3"/>
  <c r="X50" i="3"/>
  <c r="X51" i="3"/>
  <c r="X52" i="3"/>
  <c r="X53" i="3"/>
  <c r="X54" i="3"/>
  <c r="X55" i="3"/>
  <c r="X56" i="3"/>
  <c r="X57" i="3"/>
  <c r="X58" i="3"/>
  <c r="X59" i="3"/>
  <c r="X60" i="3"/>
  <c r="X61" i="3"/>
  <c r="X62" i="3"/>
  <c r="X63" i="3"/>
  <c r="X64" i="3"/>
  <c r="X65" i="3"/>
  <c r="X66" i="3"/>
  <c r="X67" i="3"/>
  <c r="X68" i="3"/>
  <c r="X69" i="3"/>
  <c r="X70" i="3"/>
  <c r="X71" i="3"/>
  <c r="X72" i="3"/>
  <c r="X73" i="3"/>
  <c r="X74" i="3"/>
  <c r="X75" i="3"/>
  <c r="X76" i="3"/>
  <c r="X77" i="3"/>
  <c r="X78" i="3"/>
  <c r="X79" i="3"/>
  <c r="X80" i="3"/>
  <c r="X81" i="3"/>
  <c r="X82" i="3"/>
  <c r="X83" i="3"/>
  <c r="X84" i="3"/>
  <c r="X85" i="3"/>
  <c r="X86" i="3"/>
  <c r="X87" i="3"/>
  <c r="X88" i="3"/>
  <c r="X89" i="3"/>
  <c r="X90" i="3"/>
  <c r="X91" i="3"/>
  <c r="X92" i="3"/>
  <c r="X93" i="3"/>
  <c r="X94" i="3"/>
  <c r="X95" i="3"/>
  <c r="X96" i="3"/>
  <c r="X97" i="3"/>
  <c r="X98" i="3"/>
  <c r="X99" i="3"/>
  <c r="X100" i="3"/>
  <c r="X101" i="3"/>
  <c r="X102" i="3"/>
  <c r="Z3" i="3"/>
  <c r="Z4" i="3"/>
  <c r="Z5" i="3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32" i="3"/>
  <c r="Z33" i="3"/>
  <c r="Z34" i="3"/>
  <c r="Z35" i="3"/>
  <c r="Z36" i="3"/>
  <c r="Z37" i="3"/>
  <c r="Z38" i="3"/>
  <c r="Z39" i="3"/>
  <c r="Z40" i="3"/>
  <c r="Z41" i="3"/>
  <c r="Z42" i="3"/>
  <c r="Z43" i="3"/>
  <c r="Z44" i="3"/>
  <c r="Z45" i="3"/>
  <c r="Z46" i="3"/>
  <c r="Z47" i="3"/>
  <c r="Z48" i="3"/>
  <c r="Z49" i="3"/>
  <c r="Z50" i="3"/>
  <c r="Z51" i="3"/>
  <c r="Z52" i="3"/>
  <c r="Z53" i="3"/>
  <c r="Z54" i="3"/>
  <c r="Z55" i="3"/>
  <c r="Z56" i="3"/>
  <c r="Z57" i="3"/>
  <c r="Z58" i="3"/>
  <c r="Z59" i="3"/>
  <c r="Z60" i="3"/>
  <c r="Z61" i="3"/>
  <c r="Z62" i="3"/>
  <c r="Z63" i="3"/>
  <c r="Z64" i="3"/>
  <c r="Z65" i="3"/>
  <c r="Z66" i="3"/>
  <c r="Z67" i="3"/>
  <c r="Z68" i="3"/>
  <c r="Z69" i="3"/>
  <c r="Z70" i="3"/>
  <c r="Z71" i="3"/>
  <c r="Z72" i="3"/>
  <c r="Z73" i="3"/>
  <c r="Z74" i="3"/>
  <c r="Z75" i="3"/>
  <c r="Z76" i="3"/>
  <c r="Z77" i="3"/>
  <c r="Z78" i="3"/>
  <c r="Z79" i="3"/>
  <c r="Z80" i="3"/>
  <c r="Z81" i="3"/>
  <c r="Z82" i="3"/>
  <c r="Z83" i="3"/>
  <c r="Z84" i="3"/>
  <c r="Z85" i="3"/>
  <c r="Z86" i="3"/>
  <c r="Z87" i="3"/>
  <c r="Z88" i="3"/>
  <c r="Z89" i="3"/>
  <c r="Z90" i="3"/>
  <c r="Z91" i="3"/>
  <c r="Z92" i="3"/>
  <c r="Z93" i="3"/>
  <c r="Z94" i="3"/>
  <c r="Z95" i="3"/>
  <c r="Z96" i="3"/>
  <c r="Z97" i="3"/>
  <c r="Z98" i="3"/>
  <c r="Z99" i="3"/>
  <c r="Z100" i="3"/>
  <c r="Z101" i="3"/>
  <c r="Z102" i="3"/>
  <c r="AB3" i="3"/>
  <c r="AB4" i="3"/>
  <c r="AB5" i="3"/>
  <c r="AB6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X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AB79" i="3"/>
  <c r="AB80" i="3"/>
  <c r="AB81" i="3"/>
  <c r="AB82" i="3"/>
  <c r="AB83" i="3"/>
  <c r="AB84" i="3"/>
  <c r="AB85" i="3"/>
  <c r="AB86" i="3"/>
  <c r="AB87" i="3"/>
  <c r="AB88" i="3"/>
  <c r="AB89" i="3"/>
  <c r="AB90" i="3"/>
  <c r="AB91" i="3"/>
  <c r="AB92" i="3"/>
  <c r="AB93" i="3"/>
  <c r="AB94" i="3"/>
  <c r="AB95" i="3"/>
  <c r="AB96" i="3"/>
  <c r="AB97" i="3"/>
  <c r="AB98" i="3"/>
  <c r="AB99" i="3"/>
  <c r="AB100" i="3"/>
  <c r="AB101" i="3"/>
  <c r="AB10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M4" i="1"/>
  <c r="N4" i="1"/>
  <c r="M5" i="1"/>
  <c r="N5" i="1"/>
  <c r="M6" i="1"/>
  <c r="N6" i="1"/>
  <c r="M7" i="1"/>
  <c r="N7" i="1"/>
  <c r="M8" i="1"/>
  <c r="N8" i="1"/>
  <c r="M9" i="1"/>
  <c r="N9" i="1"/>
  <c r="M10" i="1"/>
  <c r="N10" i="1"/>
  <c r="M11" i="1"/>
  <c r="N11" i="1"/>
  <c r="M12" i="1"/>
  <c r="N12" i="1"/>
  <c r="M13" i="1"/>
  <c r="N13" i="1"/>
  <c r="M14" i="1"/>
  <c r="N14" i="1"/>
  <c r="M15" i="1"/>
  <c r="N15" i="1"/>
  <c r="M16" i="1"/>
  <c r="N16" i="1"/>
  <c r="M17" i="1"/>
  <c r="N17" i="1"/>
  <c r="M18" i="1"/>
  <c r="N18" i="1"/>
  <c r="M19" i="1"/>
  <c r="N19" i="1"/>
  <c r="M20" i="1"/>
  <c r="N20" i="1"/>
  <c r="M21" i="1"/>
  <c r="N21" i="1"/>
  <c r="M22" i="1"/>
  <c r="N22" i="1"/>
  <c r="M23" i="1"/>
  <c r="N23" i="1"/>
  <c r="M24" i="1"/>
  <c r="N24" i="1"/>
  <c r="M25" i="1"/>
  <c r="N25" i="1"/>
  <c r="M26" i="1"/>
  <c r="N26" i="1"/>
  <c r="M27" i="1"/>
  <c r="N27" i="1"/>
  <c r="M28" i="1"/>
  <c r="N28" i="1"/>
  <c r="M29" i="1"/>
  <c r="N29" i="1"/>
  <c r="M30" i="1"/>
  <c r="N30" i="1"/>
  <c r="M31" i="1"/>
  <c r="N31" i="1"/>
  <c r="M32" i="1"/>
  <c r="N32" i="1"/>
  <c r="M33" i="1"/>
  <c r="N33" i="1"/>
  <c r="M34" i="1"/>
  <c r="N34" i="1"/>
  <c r="M35" i="1"/>
  <c r="N35" i="1"/>
  <c r="M36" i="1"/>
  <c r="N36" i="1"/>
  <c r="M37" i="1"/>
  <c r="N37" i="1"/>
  <c r="M38" i="1"/>
  <c r="N38" i="1"/>
  <c r="M39" i="1"/>
  <c r="N39" i="1"/>
  <c r="M40" i="1"/>
  <c r="N40" i="1"/>
  <c r="M41" i="1"/>
  <c r="N41" i="1"/>
  <c r="M42" i="1"/>
  <c r="N42" i="1"/>
  <c r="M3" i="1"/>
  <c r="N3" i="1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E3" i="3"/>
  <c r="E4" i="3"/>
  <c r="E5" i="3"/>
  <c r="E6" i="3"/>
  <c r="E7" i="3"/>
  <c r="E8" i="3"/>
  <c r="E9" i="3"/>
  <c r="E10" i="3"/>
  <c r="E11" i="3"/>
  <c r="B12" i="3"/>
  <c r="E12" i="3"/>
  <c r="B13" i="3"/>
  <c r="E13" i="3"/>
  <c r="B14" i="3"/>
  <c r="E14" i="3"/>
  <c r="B15" i="3"/>
  <c r="E15" i="3"/>
  <c r="B16" i="3"/>
  <c r="E16" i="3"/>
  <c r="B17" i="3"/>
  <c r="E17" i="3"/>
  <c r="B18" i="3"/>
  <c r="E18" i="3"/>
  <c r="B19" i="3"/>
  <c r="E19" i="3"/>
  <c r="B20" i="3"/>
  <c r="E20" i="3"/>
  <c r="B21" i="3"/>
  <c r="E21" i="3"/>
  <c r="B22" i="3"/>
  <c r="E22" i="3"/>
  <c r="B23" i="3"/>
  <c r="E23" i="3"/>
  <c r="B24" i="3"/>
  <c r="E24" i="3"/>
  <c r="B25" i="3"/>
  <c r="E25" i="3"/>
  <c r="B26" i="3"/>
  <c r="E26" i="3"/>
  <c r="B27" i="3"/>
  <c r="E27" i="3"/>
  <c r="B28" i="3"/>
  <c r="E28" i="3"/>
  <c r="B29" i="3"/>
  <c r="E29" i="3"/>
  <c r="B30" i="3"/>
  <c r="E30" i="3"/>
  <c r="B31" i="3"/>
  <c r="E31" i="3"/>
  <c r="B32" i="3"/>
  <c r="E32" i="3"/>
  <c r="B33" i="3"/>
  <c r="E33" i="3"/>
  <c r="B34" i="3"/>
  <c r="E34" i="3"/>
  <c r="B35" i="3"/>
  <c r="E35" i="3"/>
  <c r="B36" i="3"/>
  <c r="E36" i="3"/>
  <c r="B37" i="3"/>
  <c r="E37" i="3"/>
  <c r="B38" i="3"/>
  <c r="E38" i="3"/>
  <c r="B39" i="3"/>
  <c r="E39" i="3"/>
  <c r="B40" i="3"/>
  <c r="E40" i="3"/>
  <c r="B41" i="3"/>
  <c r="E41" i="3"/>
  <c r="B42" i="3"/>
  <c r="E42" i="3"/>
  <c r="B43" i="3"/>
  <c r="E43" i="3"/>
  <c r="B44" i="3"/>
  <c r="E44" i="3"/>
  <c r="B45" i="3"/>
  <c r="E45" i="3"/>
  <c r="B46" i="3"/>
  <c r="E46" i="3"/>
  <c r="B47" i="3"/>
  <c r="E47" i="3"/>
  <c r="B48" i="3"/>
  <c r="E48" i="3"/>
  <c r="B49" i="3"/>
  <c r="E49" i="3"/>
  <c r="B50" i="3"/>
  <c r="E50" i="3"/>
  <c r="B51" i="3"/>
  <c r="E51" i="3"/>
  <c r="B52" i="3"/>
  <c r="E52" i="3"/>
  <c r="B53" i="3"/>
  <c r="E53" i="3"/>
  <c r="B54" i="3"/>
  <c r="E54" i="3"/>
  <c r="B55" i="3"/>
  <c r="E55" i="3"/>
  <c r="B56" i="3"/>
  <c r="E56" i="3"/>
  <c r="B57" i="3"/>
  <c r="E57" i="3"/>
  <c r="B58" i="3"/>
  <c r="E58" i="3"/>
  <c r="B59" i="3"/>
  <c r="E59" i="3"/>
  <c r="B60" i="3"/>
  <c r="E60" i="3"/>
  <c r="B61" i="3"/>
  <c r="E61" i="3"/>
  <c r="B62" i="3"/>
  <c r="E62" i="3"/>
  <c r="B63" i="3"/>
  <c r="E63" i="3"/>
  <c r="B64" i="3"/>
  <c r="E64" i="3"/>
  <c r="B65" i="3"/>
  <c r="E65" i="3"/>
  <c r="B66" i="3"/>
  <c r="E66" i="3"/>
  <c r="B67" i="3"/>
  <c r="E67" i="3"/>
  <c r="B68" i="3"/>
  <c r="E68" i="3"/>
  <c r="B69" i="3"/>
  <c r="E69" i="3"/>
  <c r="B70" i="3"/>
  <c r="E70" i="3"/>
  <c r="B71" i="3"/>
  <c r="E71" i="3"/>
  <c r="B72" i="3"/>
  <c r="E72" i="3"/>
  <c r="AI4" i="2"/>
  <c r="AI5" i="2"/>
  <c r="AI6" i="2"/>
  <c r="AI7" i="2"/>
  <c r="AI8" i="2"/>
  <c r="AI9" i="2"/>
  <c r="AH4" i="2"/>
  <c r="AH5" i="2"/>
  <c r="AH6" i="2"/>
  <c r="AH7" i="2"/>
  <c r="AH8" i="2"/>
  <c r="AH9" i="2"/>
  <c r="AH11" i="2"/>
  <c r="AI11" i="2"/>
  <c r="I29" i="2"/>
  <c r="AD3" i="2"/>
  <c r="AD4" i="2"/>
  <c r="AC3" i="2"/>
  <c r="AC4" i="2"/>
  <c r="AB3" i="2"/>
  <c r="AB4" i="2"/>
  <c r="AA3" i="2"/>
  <c r="AA4" i="2"/>
  <c r="T6" i="2"/>
  <c r="T8" i="2"/>
  <c r="T14" i="2"/>
  <c r="T13" i="2"/>
  <c r="T10" i="2"/>
  <c r="T17" i="2"/>
  <c r="T15" i="2"/>
  <c r="T3" i="2"/>
  <c r="T4" i="2"/>
  <c r="T16" i="2"/>
  <c r="T23" i="2"/>
  <c r="T7" i="2"/>
  <c r="T9" i="2"/>
  <c r="T27" i="2"/>
  <c r="T18" i="2"/>
  <c r="T19" i="2"/>
  <c r="T28" i="2"/>
  <c r="T25" i="2"/>
  <c r="T12" i="2"/>
  <c r="T21" i="2"/>
  <c r="T22" i="2"/>
  <c r="T5" i="2"/>
  <c r="T26" i="2"/>
  <c r="T11" i="2"/>
  <c r="T20" i="2"/>
  <c r="T24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V7" i="2"/>
  <c r="V5" i="2"/>
  <c r="V14" i="2"/>
  <c r="V19" i="2"/>
  <c r="V11" i="2"/>
  <c r="V17" i="2"/>
  <c r="V20" i="2"/>
  <c r="V4" i="2"/>
  <c r="V9" i="2"/>
  <c r="V15" i="2"/>
  <c r="V16" i="2"/>
  <c r="V12" i="2"/>
  <c r="V3" i="2"/>
  <c r="V6" i="2"/>
  <c r="V28" i="2"/>
  <c r="V18" i="2"/>
  <c r="V13" i="2"/>
  <c r="V21" i="2"/>
  <c r="V24" i="2"/>
  <c r="V22" i="2"/>
  <c r="V23" i="2"/>
  <c r="V8" i="2"/>
  <c r="V26" i="2"/>
  <c r="V10" i="2"/>
  <c r="V25" i="2"/>
  <c r="V27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P3" i="2"/>
  <c r="P5" i="2"/>
  <c r="P19" i="2"/>
  <c r="P15" i="2"/>
  <c r="P23" i="2"/>
  <c r="P8" i="2"/>
  <c r="P7" i="2"/>
  <c r="P4" i="2"/>
  <c r="P18" i="2"/>
  <c r="P6" i="2"/>
  <c r="P24" i="2"/>
  <c r="P16" i="2"/>
  <c r="P27" i="2"/>
  <c r="P13" i="2"/>
  <c r="P25" i="2"/>
  <c r="P11" i="2"/>
  <c r="P9" i="2"/>
  <c r="P10" i="2"/>
  <c r="P14" i="2"/>
  <c r="P21" i="2"/>
  <c r="P22" i="2"/>
  <c r="P12" i="2"/>
  <c r="P17" i="2"/>
  <c r="P26" i="2"/>
  <c r="P20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R6" i="2"/>
  <c r="R8" i="2"/>
  <c r="R14" i="2"/>
  <c r="R13" i="2"/>
  <c r="R10" i="2"/>
  <c r="R17" i="2"/>
  <c r="R15" i="2"/>
  <c r="R3" i="2"/>
  <c r="R4" i="2"/>
  <c r="R16" i="2"/>
  <c r="R23" i="2"/>
  <c r="R7" i="2"/>
  <c r="R9" i="2"/>
  <c r="R27" i="2"/>
  <c r="R18" i="2"/>
  <c r="R19" i="2"/>
  <c r="R28" i="2"/>
  <c r="R25" i="2"/>
  <c r="R12" i="2"/>
  <c r="R21" i="2"/>
  <c r="R22" i="2"/>
  <c r="R5" i="2"/>
  <c r="R26" i="2"/>
  <c r="R11" i="2"/>
  <c r="R20" i="2"/>
  <c r="R24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N4" i="2"/>
  <c r="N18" i="2"/>
  <c r="N14" i="2"/>
  <c r="N10" i="2"/>
  <c r="N7" i="2"/>
  <c r="N26" i="2"/>
  <c r="N11" i="2"/>
  <c r="N8" i="2"/>
  <c r="N3" i="2"/>
  <c r="N22" i="2"/>
  <c r="N28" i="2"/>
  <c r="N15" i="2"/>
  <c r="N9" i="2"/>
  <c r="N16" i="2"/>
  <c r="N6" i="2"/>
  <c r="N19" i="2"/>
  <c r="N12" i="2"/>
  <c r="N17" i="2"/>
  <c r="N13" i="2"/>
  <c r="N20" i="2"/>
  <c r="N21" i="2"/>
  <c r="N5" i="2"/>
  <c r="N25" i="2"/>
  <c r="N27" i="2"/>
  <c r="N23" i="2"/>
  <c r="N24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L15" i="2"/>
  <c r="L6" i="2"/>
  <c r="L3" i="2"/>
  <c r="L7" i="2"/>
  <c r="L12" i="2"/>
  <c r="L13" i="2"/>
  <c r="L26" i="2"/>
  <c r="L4" i="2"/>
  <c r="L5" i="2"/>
  <c r="L11" i="2"/>
  <c r="L16" i="2"/>
  <c r="L20" i="2"/>
  <c r="L8" i="2"/>
  <c r="L23" i="2"/>
  <c r="L17" i="2"/>
  <c r="L10" i="2"/>
  <c r="L19" i="2"/>
  <c r="L25" i="2"/>
  <c r="L28" i="2"/>
  <c r="L21" i="2"/>
  <c r="L22" i="2"/>
  <c r="L9" i="2"/>
  <c r="L27" i="2"/>
  <c r="L18" i="2"/>
  <c r="L14" i="2"/>
  <c r="L24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8" i="2"/>
  <c r="I25" i="2"/>
  <c r="I16" i="2"/>
  <c r="I27" i="2"/>
  <c r="I7" i="2"/>
  <c r="I23" i="2"/>
  <c r="I22" i="2"/>
  <c r="I24" i="2"/>
  <c r="I26" i="2"/>
  <c r="I19" i="2"/>
  <c r="I20" i="2"/>
  <c r="I21" i="2"/>
  <c r="I17" i="2"/>
  <c r="I9" i="2"/>
  <c r="I8" i="2"/>
  <c r="I15" i="2"/>
  <c r="I14" i="2"/>
  <c r="I5" i="2"/>
  <c r="I4" i="2"/>
  <c r="I18" i="2"/>
  <c r="I13" i="2"/>
  <c r="I11" i="2"/>
  <c r="I12" i="2"/>
  <c r="I10" i="2"/>
  <c r="Z3" i="2"/>
  <c r="Z4" i="2"/>
  <c r="Y3" i="2"/>
  <c r="Y4" i="2"/>
  <c r="I6" i="2"/>
  <c r="I3" i="2"/>
  <c r="AU3" i="2"/>
  <c r="AU56" i="2"/>
  <c r="AU35" i="2"/>
  <c r="AU60" i="2"/>
  <c r="AU22" i="2"/>
  <c r="AU41" i="2"/>
  <c r="AU7" i="2"/>
  <c r="AU63" i="2"/>
  <c r="AU40" i="2"/>
  <c r="AU20" i="2"/>
  <c r="AU25" i="2"/>
  <c r="AU26" i="2"/>
  <c r="AU48" i="2"/>
  <c r="AU32" i="2"/>
  <c r="AU24" i="2"/>
  <c r="AU36" i="2"/>
  <c r="AU43" i="2"/>
  <c r="AU29" i="2"/>
  <c r="AU37" i="2"/>
  <c r="AU38" i="2"/>
  <c r="AU55" i="2"/>
  <c r="AU8" i="2"/>
  <c r="AU61" i="2"/>
  <c r="AU59" i="2"/>
  <c r="AU46" i="2"/>
  <c r="AU42" i="2"/>
  <c r="AU57" i="2"/>
  <c r="AU62" i="2"/>
  <c r="AU15" i="2"/>
  <c r="AU11" i="2"/>
  <c r="AU21" i="2"/>
  <c r="AU14" i="2"/>
  <c r="AU27" i="2"/>
  <c r="AU33" i="2"/>
  <c r="AU39" i="2"/>
  <c r="AU12" i="2"/>
  <c r="AU45" i="2"/>
  <c r="AU31" i="2"/>
  <c r="AU44" i="2"/>
  <c r="AU49" i="2"/>
  <c r="AU13" i="2"/>
  <c r="AU47" i="2"/>
  <c r="AU34" i="2"/>
  <c r="AU51" i="2"/>
  <c r="AU6" i="2"/>
  <c r="AU52" i="2"/>
  <c r="AU53" i="2"/>
  <c r="AU19" i="2"/>
  <c r="AU16" i="2"/>
  <c r="AU58" i="2"/>
  <c r="AU54" i="2"/>
  <c r="AU50" i="2"/>
  <c r="AU30" i="2"/>
  <c r="AU28" i="2"/>
  <c r="AU5" i="2"/>
  <c r="AU23" i="2"/>
  <c r="AU9" i="2"/>
  <c r="AU10" i="2"/>
  <c r="AU4" i="2"/>
  <c r="AU18" i="2"/>
  <c r="AU17" i="2"/>
  <c r="BM3" i="2"/>
  <c r="BM4" i="2"/>
  <c r="BL3" i="2"/>
  <c r="BL4" i="2"/>
  <c r="BK3" i="2"/>
  <c r="BK4" i="2"/>
  <c r="BJ3" i="2"/>
  <c r="BJ4" i="2"/>
  <c r="BI3" i="2"/>
  <c r="BI4" i="2"/>
  <c r="I27" i="1"/>
  <c r="I28" i="1"/>
  <c r="I29" i="1"/>
  <c r="I30" i="1"/>
  <c r="I31" i="1"/>
  <c r="I3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<sst xmlns="http://schemas.openxmlformats.org/spreadsheetml/2006/main" count="440" uniqueCount="244">
  <si>
    <t>Ordinary</t>
  </si>
  <si>
    <t>Psycho</t>
  </si>
  <si>
    <t>Fisherman</t>
  </si>
  <si>
    <t>Matchstick</t>
  </si>
  <si>
    <t>Plant</t>
  </si>
  <si>
    <t>Miner</t>
  </si>
  <si>
    <t>Rocker</t>
  </si>
  <si>
    <t>Tumbleweed</t>
  </si>
  <si>
    <t>Cowboy</t>
  </si>
  <si>
    <t>Junker</t>
  </si>
  <si>
    <t>Landlady</t>
  </si>
  <si>
    <t>Nurse</t>
  </si>
  <si>
    <t>Patient</t>
  </si>
  <si>
    <t>Firehead</t>
  </si>
  <si>
    <t>Clerk</t>
  </si>
  <si>
    <t>Digger</t>
  </si>
  <si>
    <t>Hockey</t>
  </si>
  <si>
    <t>Hanger-On</t>
  </si>
  <si>
    <t>Shotgun</t>
  </si>
  <si>
    <t>Brick</t>
  </si>
  <si>
    <t>Battery</t>
  </si>
  <si>
    <t>Kindling</t>
  </si>
  <si>
    <t>Bugler</t>
  </si>
  <si>
    <t>Two-Headed</t>
  </si>
  <si>
    <t>Pop Star</t>
  </si>
  <si>
    <t>Road Bully</t>
  </si>
  <si>
    <t>Tipsy</t>
  </si>
  <si>
    <t>Manager</t>
  </si>
  <si>
    <t>Shocker</t>
  </si>
  <si>
    <t>Shaman</t>
  </si>
  <si>
    <t>Zobo</t>
  </si>
  <si>
    <t>Kill %</t>
  </si>
  <si>
    <t>Goonch</t>
  </si>
  <si>
    <t>Moy chest</t>
  </si>
  <si>
    <t>55 soda</t>
  </si>
  <si>
    <t>165 soda</t>
  </si>
  <si>
    <t>100 soda</t>
  </si>
  <si>
    <t>Player id</t>
  </si>
  <si>
    <t>Dragon fruit</t>
  </si>
  <si>
    <t>Bamboo shoot</t>
  </si>
  <si>
    <t>Carrot</t>
  </si>
  <si>
    <t>Phantom fruit</t>
  </si>
  <si>
    <t>Clocko fruit</t>
  </si>
  <si>
    <t>Max val</t>
  </si>
  <si>
    <t>ID</t>
  </si>
  <si>
    <t>Score</t>
  </si>
  <si>
    <t>WB</t>
  </si>
  <si>
    <t>Average</t>
  </si>
  <si>
    <t>Cherry</t>
  </si>
  <si>
    <t>P</t>
  </si>
  <si>
    <t>E(X)</t>
  </si>
  <si>
    <t>X</t>
  </si>
  <si>
    <t>E(X^2)</t>
  </si>
  <si>
    <t>Std</t>
  </si>
  <si>
    <t>V</t>
  </si>
  <si>
    <t>Fishing</t>
  </si>
  <si>
    <t>WB+</t>
  </si>
  <si>
    <t>PB+</t>
  </si>
  <si>
    <t>PB</t>
  </si>
  <si>
    <t>Mini event</t>
  </si>
  <si>
    <t>Points</t>
  </si>
  <si>
    <t>Points+</t>
  </si>
  <si>
    <t>Rewards</t>
  </si>
  <si>
    <t>CP</t>
  </si>
  <si>
    <t>CP+</t>
  </si>
  <si>
    <t>PB need</t>
  </si>
  <si>
    <t>CAP</t>
  </si>
  <si>
    <t>CAP+</t>
  </si>
  <si>
    <t>Avg P</t>
  </si>
  <si>
    <t>Zobo shooter</t>
  </si>
  <si>
    <t>2k</t>
  </si>
  <si>
    <t>0,15k</t>
  </si>
  <si>
    <t>3,2k</t>
  </si>
  <si>
    <t>4,2k</t>
  </si>
  <si>
    <t>5,3k</t>
  </si>
  <si>
    <t>6,3k</t>
  </si>
  <si>
    <t>7,4k</t>
  </si>
  <si>
    <t>8,4k</t>
  </si>
  <si>
    <t>9,6k</t>
  </si>
  <si>
    <t>10,6k</t>
  </si>
  <si>
    <t>11,8k</t>
  </si>
  <si>
    <t>12,8k</t>
  </si>
  <si>
    <t>13,9k</t>
  </si>
  <si>
    <t>15,1k</t>
  </si>
  <si>
    <t>16k</t>
  </si>
  <si>
    <t>7,1k</t>
  </si>
  <si>
    <t>18,2k</t>
  </si>
  <si>
    <t>19,3k</t>
  </si>
  <si>
    <t>20k</t>
  </si>
  <si>
    <t>21,9k</t>
  </si>
  <si>
    <t>23k</t>
  </si>
  <si>
    <t>24k</t>
  </si>
  <si>
    <t>25,1k</t>
  </si>
  <si>
    <t>26k</t>
  </si>
  <si>
    <t>27k</t>
  </si>
  <si>
    <t>33,2k</t>
  </si>
  <si>
    <t>35,1k</t>
  </si>
  <si>
    <t>37k</t>
  </si>
  <si>
    <t>41,1k</t>
  </si>
  <si>
    <t>42,9k</t>
  </si>
  <si>
    <t>44,7k</t>
  </si>
  <si>
    <t>53,4k</t>
  </si>
  <si>
    <t>57,6k</t>
  </si>
  <si>
    <t>59,8k</t>
  </si>
  <si>
    <t>66,09k</t>
  </si>
  <si>
    <t>70,3k</t>
  </si>
  <si>
    <t>74,5k</t>
  </si>
  <si>
    <t>76,09k</t>
  </si>
  <si>
    <t>88k</t>
  </si>
  <si>
    <t>95k</t>
  </si>
  <si>
    <t>105k</t>
  </si>
  <si>
    <t>112k</t>
  </si>
  <si>
    <t>119k</t>
  </si>
  <si>
    <t>125k</t>
  </si>
  <si>
    <t xml:space="preserve"> 130k</t>
  </si>
  <si>
    <t>136k</t>
  </si>
  <si>
    <t>142k</t>
  </si>
  <si>
    <t>149k</t>
  </si>
  <si>
    <t>156k</t>
  </si>
  <si>
    <t>160k</t>
  </si>
  <si>
    <t>165k</t>
  </si>
  <si>
    <t>172k</t>
  </si>
  <si>
    <t>179k</t>
  </si>
  <si>
    <t>185k</t>
  </si>
  <si>
    <t>189k</t>
  </si>
  <si>
    <t>227k</t>
  </si>
  <si>
    <t>260k</t>
  </si>
  <si>
    <t>291k</t>
  </si>
  <si>
    <t>322k</t>
  </si>
  <si>
    <t>353k</t>
  </si>
  <si>
    <t>386k</t>
  </si>
  <si>
    <t>418k</t>
  </si>
  <si>
    <t>448k</t>
  </si>
  <si>
    <t>479k</t>
  </si>
  <si>
    <t>512k</t>
  </si>
  <si>
    <t>542k</t>
  </si>
  <si>
    <t>573k</t>
  </si>
  <si>
    <t>603k</t>
  </si>
  <si>
    <t>636k</t>
  </si>
  <si>
    <t>666k</t>
  </si>
  <si>
    <t>697k</t>
  </si>
  <si>
    <t>728k</t>
  </si>
  <si>
    <t>758k</t>
  </si>
  <si>
    <t>789k</t>
  </si>
  <si>
    <t>819k</t>
  </si>
  <si>
    <t>848k</t>
  </si>
  <si>
    <t>879k</t>
  </si>
  <si>
    <t>910k</t>
  </si>
  <si>
    <t>939k</t>
  </si>
  <si>
    <t>968k</t>
  </si>
  <si>
    <t>997k</t>
  </si>
  <si>
    <t>1020k</t>
  </si>
  <si>
    <t>1050k</t>
  </si>
  <si>
    <t>1080k</t>
  </si>
  <si>
    <t>1130k</t>
  </si>
  <si>
    <t>1160k</t>
  </si>
  <si>
    <t>1190k</t>
  </si>
  <si>
    <t>1220k</t>
  </si>
  <si>
    <t>1250k</t>
  </si>
  <si>
    <t>1280k</t>
  </si>
  <si>
    <t>1310k</t>
  </si>
  <si>
    <t>1330k</t>
  </si>
  <si>
    <t>1360k</t>
  </si>
  <si>
    <t>1390k</t>
  </si>
  <si>
    <t>1420k</t>
  </si>
  <si>
    <t>1450k</t>
  </si>
  <si>
    <t>PBN +263%</t>
  </si>
  <si>
    <t>99k</t>
  </si>
  <si>
    <t>1110k</t>
  </si>
  <si>
    <t>64,09k</t>
  </si>
  <si>
    <t>48,5k</t>
  </si>
  <si>
    <t>Cozy farm</t>
  </si>
  <si>
    <t>200 soda</t>
  </si>
  <si>
    <t>80 PB</t>
  </si>
  <si>
    <t>120 PB</t>
  </si>
  <si>
    <t>200 PB</t>
  </si>
  <si>
    <t>500 PB</t>
  </si>
  <si>
    <t>300 PB</t>
  </si>
  <si>
    <t>25 CP</t>
  </si>
  <si>
    <t>10 CP</t>
  </si>
  <si>
    <t>5 CP</t>
  </si>
  <si>
    <t>20 CP</t>
  </si>
  <si>
    <t xml:space="preserve">Candy </t>
  </si>
  <si>
    <t xml:space="preserve">X2 </t>
  </si>
  <si>
    <t xml:space="preserve">Pack </t>
  </si>
  <si>
    <t xml:space="preserve">Event </t>
  </si>
  <si>
    <t xml:space="preserve">Candy  </t>
  </si>
  <si>
    <t xml:space="preserve">Card </t>
  </si>
  <si>
    <t>1000 PB</t>
  </si>
  <si>
    <t xml:space="preserve">Bpack </t>
  </si>
  <si>
    <t>140 PB</t>
  </si>
  <si>
    <t>30 CP</t>
  </si>
  <si>
    <t>480 PB</t>
  </si>
  <si>
    <t>5 CO</t>
  </si>
  <si>
    <t>600 PB</t>
  </si>
  <si>
    <t>180 soda</t>
  </si>
  <si>
    <t>450 PB</t>
  </si>
  <si>
    <t>15 CP</t>
  </si>
  <si>
    <t>280 PB</t>
  </si>
  <si>
    <t xml:space="preserve">Visit </t>
  </si>
  <si>
    <t xml:space="preserve">Feed </t>
  </si>
  <si>
    <t xml:space="preserve">Duel </t>
  </si>
  <si>
    <t xml:space="preserve">Raid </t>
  </si>
  <si>
    <t>Star</t>
  </si>
  <si>
    <t>Candy</t>
  </si>
  <si>
    <t>Card</t>
  </si>
  <si>
    <t>Raid</t>
  </si>
  <si>
    <t>Duel</t>
  </si>
  <si>
    <t>Feed</t>
  </si>
  <si>
    <t>Visit</t>
  </si>
  <si>
    <t>% increase</t>
  </si>
  <si>
    <t>Stage</t>
  </si>
  <si>
    <t>Fert +192%</t>
  </si>
  <si>
    <t>Variance</t>
  </si>
  <si>
    <t>Tatari tier</t>
  </si>
  <si>
    <t>Tier choice</t>
  </si>
  <si>
    <t>Sim #</t>
  </si>
  <si>
    <t>Nb try</t>
  </si>
  <si>
    <t>Success</t>
  </si>
  <si>
    <t>Nb success</t>
  </si>
  <si>
    <t>% success</t>
  </si>
  <si>
    <t>Sim</t>
  </si>
  <si>
    <t>Z</t>
  </si>
  <si>
    <t>F9 to refresh simulation</t>
  </si>
  <si>
    <t>64-20</t>
  </si>
  <si>
    <t>75-70</t>
  </si>
  <si>
    <t>S+</t>
  </si>
  <si>
    <t>S%</t>
  </si>
  <si>
    <t>Combo</t>
  </si>
  <si>
    <t>Combo m</t>
  </si>
  <si>
    <t>Simulation</t>
  </si>
  <si>
    <t>μ ± 1 σ⁠ (68,27%)</t>
  </si>
  <si>
    <t>μ ± 2 σ⁠ (95,45%)</t>
  </si>
  <si>
    <t>μ ± 3 σ⁠ (99,73%)</t>
  </si>
  <si>
    <t>1000 simulations de plusieurs lancés avec le score final à la fin.</t>
  </si>
  <si>
    <t>Max score</t>
  </si>
  <si>
    <t>Min score</t>
  </si>
  <si>
    <t>Avg score</t>
  </si>
  <si>
    <t>Press F9 to refresh simulation</t>
  </si>
  <si>
    <t xml:space="preserve">1 simulation avec résultat à chaque lancé incluant une variable" combo" </t>
  </si>
  <si>
    <t xml:space="preserve">qui donne un bonus de point par combo successifs </t>
  </si>
  <si>
    <t xml:space="preserve">Note importante </t>
  </si>
  <si>
    <t>Kill%</t>
  </si>
  <si>
    <t xml:space="preserve">Voici une liste des equivalences appliquées à l'actuariat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</si>
</sst>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4" tint="0.59999389629810485"/>
      <name val="Aptos Narrow"/>
      <family val="2"/>
      <scheme val="minor"/>
    </font>
    <font>
      <sz val="10"/>
      <color theme="1"/>
      <name val=".SFUI-Regular"/>
      <charset val="1"/>
    </font>
    <font>
      <sz val="6"/>
      <name val="Yu Gothic"/>
      <family val="2"/>
      <charset val="128"/>
    </font>
  </fonts>
  <fills count="9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</fills>
  <borders count="39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505050"/>
      </left>
      <right style="thin">
        <color rgb="FF505050"/>
      </right>
      <top style="medium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medium">
        <color rgb="FF505050"/>
      </top>
      <bottom style="thin">
        <color rgb="FF505050"/>
      </bottom>
      <diagonal/>
    </border>
    <border>
      <left style="thin">
        <color rgb="FF505050"/>
      </left>
      <right style="medium">
        <color rgb="FF505050"/>
      </right>
      <top style="medium">
        <color rgb="FF505050"/>
      </top>
      <bottom style="thin">
        <color rgb="FF505050"/>
      </bottom>
      <diagonal/>
    </border>
    <border>
      <left style="medium">
        <color rgb="FF505050"/>
      </left>
      <right style="thin">
        <color rgb="FF505050"/>
      </right>
      <top style="thin">
        <color rgb="FF505050"/>
      </top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medium">
        <color rgb="FF505050"/>
      </bottom>
      <diagonal/>
    </border>
    <border>
      <left style="thin">
        <color rgb="FF505050"/>
      </left>
      <right style="medium">
        <color rgb="FF505050"/>
      </right>
      <top style="thin">
        <color rgb="FF505050"/>
      </top>
      <bottom style="medium">
        <color rgb="FF505050"/>
      </bottom>
      <diagonal/>
    </border>
    <border>
      <left style="medium">
        <color rgb="FF505050"/>
      </left>
      <right style="thin">
        <color rgb="FF505050"/>
      </right>
      <top style="medium">
        <color rgb="FF505050"/>
      </top>
      <bottom/>
      <diagonal/>
    </border>
    <border>
      <left style="thin">
        <color rgb="FF505050"/>
      </left>
      <right style="thin">
        <color rgb="FF505050"/>
      </right>
      <top style="medium">
        <color rgb="FF505050"/>
      </top>
      <bottom/>
      <diagonal/>
    </border>
    <border>
      <left style="thin">
        <color rgb="FF505050"/>
      </left>
      <right style="medium">
        <color rgb="FF505050"/>
      </right>
      <top style="medium">
        <color rgb="FF505050"/>
      </top>
      <bottom/>
      <diagonal/>
    </border>
    <border>
      <left style="medium">
        <color rgb="FF505050"/>
      </left>
      <right/>
      <top/>
      <bottom style="thin">
        <color rgb="FF505050"/>
      </bottom>
      <diagonal/>
    </border>
    <border>
      <left style="medium">
        <color rgb="FF505050"/>
      </left>
      <right/>
      <top style="thin">
        <color rgb="FF505050"/>
      </top>
      <bottom style="thin">
        <color rgb="FF505050"/>
      </bottom>
      <diagonal/>
    </border>
    <border>
      <left style="medium">
        <color rgb="FF505050"/>
      </left>
      <right/>
      <top style="thin">
        <color rgb="FF505050"/>
      </top>
      <bottom style="medium">
        <color rgb="FF505050"/>
      </bottom>
      <diagonal/>
    </border>
    <border>
      <left/>
      <right style="thin">
        <color rgb="FF505050"/>
      </right>
      <top style="medium">
        <color rgb="FF505050"/>
      </top>
      <bottom/>
      <diagonal/>
    </border>
    <border>
      <left style="medium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medium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medium">
        <color rgb="FF505050"/>
      </bottom>
      <diagonal/>
    </border>
    <border>
      <left style="thin">
        <color rgb="FF505050"/>
      </left>
      <right/>
      <top style="medium">
        <color rgb="FF505050"/>
      </top>
      <bottom/>
      <diagonal/>
    </border>
    <border>
      <left/>
      <right/>
      <top style="medium">
        <color rgb="FF505050"/>
      </top>
      <bottom style="medium">
        <color rgb="FF505050"/>
      </bottom>
      <diagonal/>
    </border>
    <border>
      <left/>
      <right style="medium">
        <color rgb="FF505050"/>
      </right>
      <top style="medium">
        <color rgb="FF505050"/>
      </top>
      <bottom style="medium">
        <color rgb="FF505050"/>
      </bottom>
      <diagonal/>
    </border>
    <border>
      <left style="medium">
        <color rgb="FF505050"/>
      </left>
      <right/>
      <top/>
      <bottom/>
      <diagonal/>
    </border>
    <border>
      <left/>
      <right/>
      <top style="medium">
        <color rgb="FF505050"/>
      </top>
      <bottom/>
      <diagonal/>
    </border>
    <border>
      <left/>
      <right style="thin">
        <color rgb="FF505050"/>
      </right>
      <top style="medium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medium">
        <color rgb="FF505050"/>
      </bottom>
      <diagonal/>
    </border>
    <border>
      <left style="medium">
        <color rgb="FF505050"/>
      </left>
      <right/>
      <top style="medium">
        <color rgb="FF505050"/>
      </top>
      <bottom/>
      <diagonal/>
    </border>
    <border>
      <left style="medium">
        <color rgb="FF505050"/>
      </left>
      <right style="thin">
        <color rgb="FF505050"/>
      </right>
      <top style="medium">
        <color rgb="FF505050"/>
      </top>
      <bottom style="medium">
        <color rgb="FF505050"/>
      </bottom>
      <diagonal/>
    </border>
    <border>
      <left style="thin">
        <color rgb="FF505050"/>
      </left>
      <right style="medium">
        <color rgb="FF505050"/>
      </right>
      <top style="medium">
        <color rgb="FF505050"/>
      </top>
      <bottom style="medium">
        <color rgb="FF505050"/>
      </bottom>
      <diagonal/>
    </border>
    <border>
      <left style="thin">
        <color rgb="FF505050"/>
      </left>
      <right style="medium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 style="medium">
        <color rgb="FF505050"/>
      </top>
      <bottom style="thin">
        <color rgb="FF505050"/>
      </bottom>
      <diagonal/>
    </border>
    <border>
      <left/>
      <right/>
      <top style="medium">
        <color rgb="FF505050"/>
      </top>
      <bottom style="thin">
        <color rgb="FF505050"/>
      </bottom>
      <diagonal/>
    </border>
    <border>
      <left/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</borders>
  <cellStyleXfs count="1">
    <xf numFmtId="0" fontId="0" fillId="0" borderId="0"/>
  </cellStyleXfs>
  <cellXfs count="88">
    <xf numFmtId="0" fontId="0" fillId="0" borderId="0" xfId="0"/>
    <xf numFmtId="10" fontId="0" fillId="0" borderId="0" xfId="0" applyNumberFormat="1"/>
    <xf numFmtId="0" fontId="0" fillId="0" borderId="0" xfId="0" applyAlignment="1">
      <alignment textRotation="90"/>
    </xf>
    <xf numFmtId="0" fontId="1" fillId="2" borderId="1" xfId="0" applyFont="1" applyFill="1" applyBorder="1" applyAlignment="1">
      <alignment textRotation="90"/>
    </xf>
    <xf numFmtId="0" fontId="1" fillId="2" borderId="2" xfId="0" applyFont="1" applyFill="1" applyBorder="1" applyAlignment="1">
      <alignment textRotation="90"/>
    </xf>
    <xf numFmtId="0" fontId="0" fillId="3" borderId="1" xfId="0" applyFont="1" applyFill="1" applyBorder="1"/>
    <xf numFmtId="0" fontId="0" fillId="0" borderId="1" xfId="0" applyFont="1" applyBorder="1"/>
    <xf numFmtId="0" fontId="1" fillId="2" borderId="3" xfId="0" applyFont="1" applyFill="1" applyBorder="1" applyAlignment="1">
      <alignment textRotation="90"/>
    </xf>
    <xf numFmtId="0" fontId="0" fillId="3" borderId="4" xfId="0" applyFont="1" applyFill="1" applyBorder="1"/>
    <xf numFmtId="0" fontId="0" fillId="0" borderId="4" xfId="0" applyFont="1" applyBorder="1"/>
    <xf numFmtId="0" fontId="0" fillId="4" borderId="0" xfId="0" applyFill="1"/>
    <xf numFmtId="9" fontId="0" fillId="0" borderId="0" xfId="0" applyNumberFormat="1"/>
    <xf numFmtId="0" fontId="0" fillId="6" borderId="5" xfId="0" applyFill="1" applyBorder="1"/>
    <xf numFmtId="0" fontId="0" fillId="5" borderId="15" xfId="0" applyFill="1" applyBorder="1"/>
    <xf numFmtId="0" fontId="0" fillId="5" borderId="16" xfId="0" applyFill="1" applyBorder="1"/>
    <xf numFmtId="0" fontId="0" fillId="5" borderId="17" xfId="0" applyFill="1" applyBorder="1"/>
    <xf numFmtId="0" fontId="0" fillId="5" borderId="18" xfId="0" applyFill="1" applyBorder="1"/>
    <xf numFmtId="0" fontId="0" fillId="5" borderId="13" xfId="0" applyFill="1" applyBorder="1"/>
    <xf numFmtId="0" fontId="0" fillId="5" borderId="14" xfId="0" applyFill="1" applyBorder="1"/>
    <xf numFmtId="0" fontId="0" fillId="6" borderId="6" xfId="0" applyFill="1" applyBorder="1"/>
    <xf numFmtId="0" fontId="0" fillId="6" borderId="7" xfId="0" applyFill="1" applyBorder="1"/>
    <xf numFmtId="0" fontId="0" fillId="6" borderId="8" xfId="0" applyFill="1" applyBorder="1"/>
    <xf numFmtId="0" fontId="0" fillId="6" borderId="19" xfId="0" applyFill="1" applyBorder="1"/>
    <xf numFmtId="0" fontId="0" fillId="6" borderId="20" xfId="0" applyFill="1" applyBorder="1"/>
    <xf numFmtId="0" fontId="0" fillId="6" borderId="9" xfId="0" applyFill="1" applyBorder="1"/>
    <xf numFmtId="0" fontId="0" fillId="6" borderId="10" xfId="0" applyFill="1" applyBorder="1"/>
    <xf numFmtId="0" fontId="0" fillId="6" borderId="11" xfId="0" applyFill="1" applyBorder="1"/>
    <xf numFmtId="0" fontId="0" fillId="5" borderId="5" xfId="0" applyFill="1" applyBorder="1"/>
    <xf numFmtId="0" fontId="0" fillId="5" borderId="9" xfId="0" applyFill="1" applyBorder="1"/>
    <xf numFmtId="0" fontId="0" fillId="5" borderId="6" xfId="0" applyFill="1" applyBorder="1"/>
    <xf numFmtId="0" fontId="0" fillId="5" borderId="7" xfId="0" applyFill="1" applyBorder="1"/>
    <xf numFmtId="0" fontId="0" fillId="5" borderId="8" xfId="0" applyFill="1" applyBorder="1"/>
    <xf numFmtId="0" fontId="0" fillId="5" borderId="19" xfId="0" applyFill="1" applyBorder="1"/>
    <xf numFmtId="0" fontId="0" fillId="5" borderId="21" xfId="0" applyFill="1" applyBorder="1"/>
    <xf numFmtId="0" fontId="0" fillId="5" borderId="23" xfId="0" applyFill="1" applyBorder="1"/>
    <xf numFmtId="0" fontId="0" fillId="6" borderId="28" xfId="0" applyFill="1" applyBorder="1"/>
    <xf numFmtId="0" fontId="0" fillId="6" borderId="29" xfId="0" applyFill="1" applyBorder="1"/>
    <xf numFmtId="0" fontId="0" fillId="6" borderId="30" xfId="0" applyFill="1" applyBorder="1"/>
    <xf numFmtId="0" fontId="0" fillId="5" borderId="20" xfId="0" applyFill="1" applyBorder="1"/>
    <xf numFmtId="0" fontId="0" fillId="5" borderId="11" xfId="0" applyFill="1" applyBorder="1"/>
    <xf numFmtId="0" fontId="0" fillId="5" borderId="32" xfId="0" applyFill="1" applyBorder="1"/>
    <xf numFmtId="0" fontId="0" fillId="5" borderId="33" xfId="0" applyFill="1" applyBorder="1" applyAlignment="1">
      <alignment horizontal="left"/>
    </xf>
    <xf numFmtId="0" fontId="0" fillId="5" borderId="34" xfId="0" applyFill="1" applyBorder="1"/>
    <xf numFmtId="0" fontId="0" fillId="5" borderId="12" xfId="0" applyFill="1" applyBorder="1"/>
    <xf numFmtId="0" fontId="0" fillId="5" borderId="14" xfId="0" applyFill="1" applyBorder="1" applyAlignment="1">
      <alignment horizontal="left"/>
    </xf>
    <xf numFmtId="1" fontId="0" fillId="5" borderId="35" xfId="0" applyNumberFormat="1" applyFill="1" applyBorder="1"/>
    <xf numFmtId="1" fontId="0" fillId="5" borderId="21" xfId="0" applyNumberFormat="1" applyFill="1" applyBorder="1"/>
    <xf numFmtId="1" fontId="0" fillId="5" borderId="22" xfId="0" applyNumberFormat="1" applyFill="1" applyBorder="1"/>
    <xf numFmtId="0" fontId="0" fillId="5" borderId="27" xfId="0" applyFill="1" applyBorder="1"/>
    <xf numFmtId="1" fontId="0" fillId="5" borderId="36" xfId="0" applyNumberFormat="1" applyFill="1" applyBorder="1"/>
    <xf numFmtId="1" fontId="0" fillId="5" borderId="37" xfId="0" applyNumberFormat="1" applyFill="1" applyBorder="1"/>
    <xf numFmtId="0" fontId="0" fillId="6" borderId="6" xfId="0" applyFill="1" applyBorder="1" applyAlignment="1">
      <alignment horizontal="right"/>
    </xf>
    <xf numFmtId="0" fontId="0" fillId="6" borderId="7" xfId="0" applyFill="1" applyBorder="1" applyAlignment="1">
      <alignment horizontal="right"/>
    </xf>
    <xf numFmtId="0" fontId="0" fillId="6" borderId="8" xfId="0" applyFill="1" applyBorder="1" applyAlignment="1">
      <alignment horizontal="right"/>
    </xf>
    <xf numFmtId="0" fontId="0" fillId="6" borderId="19" xfId="0" applyFill="1" applyBorder="1" applyAlignment="1">
      <alignment horizontal="right"/>
    </xf>
    <xf numFmtId="0" fontId="0" fillId="6" borderId="5" xfId="0" applyFill="1" applyBorder="1" applyAlignment="1">
      <alignment horizontal="right"/>
    </xf>
    <xf numFmtId="0" fontId="0" fillId="6" borderId="20" xfId="0" applyFill="1" applyBorder="1" applyAlignment="1">
      <alignment horizontal="right"/>
    </xf>
    <xf numFmtId="2" fontId="0" fillId="6" borderId="5" xfId="0" applyNumberFormat="1" applyFill="1" applyBorder="1"/>
    <xf numFmtId="9" fontId="0" fillId="6" borderId="5" xfId="0" applyNumberFormat="1" applyFill="1" applyBorder="1"/>
    <xf numFmtId="9" fontId="2" fillId="0" borderId="0" xfId="0" applyNumberFormat="1" applyFont="1"/>
    <xf numFmtId="0" fontId="0" fillId="5" borderId="0" xfId="0" applyFill="1"/>
    <xf numFmtId="10" fontId="0" fillId="6" borderId="5" xfId="0" applyNumberFormat="1" applyFill="1" applyBorder="1"/>
    <xf numFmtId="0" fontId="0" fillId="5" borderId="29" xfId="0" applyFill="1" applyBorder="1"/>
    <xf numFmtId="0" fontId="0" fillId="7" borderId="5" xfId="0" applyFill="1" applyBorder="1"/>
    <xf numFmtId="0" fontId="0" fillId="5" borderId="38" xfId="0" applyFill="1" applyBorder="1"/>
    <xf numFmtId="10" fontId="0" fillId="6" borderId="38" xfId="0" applyNumberFormat="1" applyFill="1" applyBorder="1"/>
    <xf numFmtId="0" fontId="0" fillId="6" borderId="38" xfId="0" applyFill="1" applyBorder="1"/>
    <xf numFmtId="164" fontId="0" fillId="5" borderId="5" xfId="0" applyNumberFormat="1" applyFill="1" applyBorder="1"/>
    <xf numFmtId="164" fontId="0" fillId="6" borderId="5" xfId="0" applyNumberFormat="1" applyFill="1" applyBorder="1"/>
    <xf numFmtId="164" fontId="0" fillId="6" borderId="38" xfId="0" applyNumberFormat="1" applyFill="1" applyBorder="1"/>
    <xf numFmtId="164" fontId="0" fillId="0" borderId="0" xfId="0" applyNumberFormat="1"/>
    <xf numFmtId="0" fontId="0" fillId="5" borderId="12" xfId="0" applyFill="1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0" fillId="5" borderId="31" xfId="0" applyFill="1" applyBorder="1" applyAlignment="1">
      <alignment horizontal="center"/>
    </xf>
    <xf numFmtId="0" fontId="0" fillId="5" borderId="27" xfId="0" applyFill="1" applyBorder="1" applyAlignment="1">
      <alignment horizontal="center"/>
    </xf>
    <xf numFmtId="0" fontId="0" fillId="5" borderId="24" xfId="0" applyFill="1" applyBorder="1" applyAlignment="1">
      <alignment horizontal="center"/>
    </xf>
    <xf numFmtId="0" fontId="0" fillId="5" borderId="25" xfId="0" applyFill="1" applyBorder="1" applyAlignment="1">
      <alignment horizontal="center"/>
    </xf>
    <xf numFmtId="0" fontId="0" fillId="5" borderId="26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0" borderId="0" xfId="0" applyAlignment="1">
      <alignment horizontal="center"/>
    </xf>
    <xf numFmtId="164" fontId="0" fillId="5" borderId="0" xfId="0" applyNumberFormat="1" applyFill="1"/>
    <xf numFmtId="0" fontId="0" fillId="6" borderId="0" xfId="0" applyFill="1"/>
    <xf numFmtId="164" fontId="0" fillId="6" borderId="0" xfId="0" applyNumberFormat="1" applyFill="1"/>
    <xf numFmtId="2" fontId="0" fillId="6" borderId="0" xfId="0" applyNumberFormat="1" applyFill="1"/>
    <xf numFmtId="0" fontId="0" fillId="8" borderId="0" xfId="0" applyFill="1"/>
    <xf numFmtId="0" fontId="3" fillId="5" borderId="0" xfId="0" applyFont="1" applyFill="1" applyAlignment="1">
      <alignment wrapText="1"/>
    </xf>
    <xf numFmtId="0" fontId="0" fillId="7" borderId="0" xfId="0" applyFill="1"/>
  </cellXfs>
  <cellStyles count="1">
    <cellStyle name="Normal" xfId="0" builtinId="0"/>
  </cellStyles>
  <dxfs count="8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bottom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bottom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bottom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bottom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bottom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bottom" textRotation="90" wrapText="0" indent="0" justifyLastLine="0" shrinkToFit="0" readingOrder="0"/>
    </dxf>
    <dxf>
      <numFmt numFmtId="13" formatCode="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alignment horizontal="general" vertical="bottom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bottom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bottom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bottom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bottom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bottom" textRotation="90" wrapText="0" indent="0" justifyLastLine="0" shrinkToFit="0" readingOrder="0"/>
    </dxf>
    <dxf>
      <numFmt numFmtId="0" formatCode="General"/>
    </dxf>
    <dxf>
      <alignment horizontal="general" vertical="bottom" textRotation="9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'Monte carlo simulation'!$J$19:$J$1021</c:f>
              <c:numCache>
                <c:formatCode>0.0000</c:formatCode>
                <c:ptCount val="1003"/>
                <c:pt idx="2">
                  <c:v>0</c:v>
                </c:pt>
                <c:pt idx="3">
                  <c:v>0</c:v>
                </c:pt>
                <c:pt idx="4">
                  <c:v>0.5</c:v>
                </c:pt>
                <c:pt idx="5">
                  <c:v>0.66666666666666663</c:v>
                </c:pt>
                <c:pt idx="6">
                  <c:v>0.75</c:v>
                </c:pt>
                <c:pt idx="7">
                  <c:v>0.8</c:v>
                </c:pt>
                <c:pt idx="8">
                  <c:v>0.83333333333333337</c:v>
                </c:pt>
                <c:pt idx="9">
                  <c:v>0.8571428571428571</c:v>
                </c:pt>
                <c:pt idx="10">
                  <c:v>0.75</c:v>
                </c:pt>
                <c:pt idx="11">
                  <c:v>0.66666666666666663</c:v>
                </c:pt>
                <c:pt idx="12">
                  <c:v>0.7</c:v>
                </c:pt>
                <c:pt idx="13">
                  <c:v>0.72727272727272729</c:v>
                </c:pt>
                <c:pt idx="14">
                  <c:v>0.75</c:v>
                </c:pt>
                <c:pt idx="15">
                  <c:v>0.76923076923076927</c:v>
                </c:pt>
                <c:pt idx="16">
                  <c:v>0.7857142857142857</c:v>
                </c:pt>
                <c:pt idx="17">
                  <c:v>0.73333333333333328</c:v>
                </c:pt>
                <c:pt idx="18">
                  <c:v>0.6875</c:v>
                </c:pt>
                <c:pt idx="19">
                  <c:v>0.6470588235294118</c:v>
                </c:pt>
                <c:pt idx="20">
                  <c:v>0.61111111111111116</c:v>
                </c:pt>
                <c:pt idx="21">
                  <c:v>0.63157894736842102</c:v>
                </c:pt>
                <c:pt idx="22">
                  <c:v>0.65</c:v>
                </c:pt>
                <c:pt idx="23">
                  <c:v>0.61904761904761907</c:v>
                </c:pt>
                <c:pt idx="24">
                  <c:v>0.63636363636363635</c:v>
                </c:pt>
                <c:pt idx="25">
                  <c:v>0.65217391304347827</c:v>
                </c:pt>
                <c:pt idx="26">
                  <c:v>0.66666666666666663</c:v>
                </c:pt>
                <c:pt idx="27">
                  <c:v>0.68</c:v>
                </c:pt>
                <c:pt idx="28">
                  <c:v>0.65384615384615385</c:v>
                </c:pt>
                <c:pt idx="29">
                  <c:v>0.62962962962962965</c:v>
                </c:pt>
                <c:pt idx="30">
                  <c:v>0.6428571428571429</c:v>
                </c:pt>
                <c:pt idx="31">
                  <c:v>0.62068965517241381</c:v>
                </c:pt>
                <c:pt idx="32">
                  <c:v>0.6</c:v>
                </c:pt>
                <c:pt idx="33">
                  <c:v>0.61290322580645162</c:v>
                </c:pt>
                <c:pt idx="34">
                  <c:v>0.59375</c:v>
                </c:pt>
                <c:pt idx="35">
                  <c:v>0.60606060606060608</c:v>
                </c:pt>
                <c:pt idx="36">
                  <c:v>0.58823529411764708</c:v>
                </c:pt>
                <c:pt idx="37">
                  <c:v>0.6</c:v>
                </c:pt>
                <c:pt idx="38">
                  <c:v>0.61111111111111116</c:v>
                </c:pt>
                <c:pt idx="39">
                  <c:v>0.6216216216216216</c:v>
                </c:pt>
                <c:pt idx="40">
                  <c:v>0.60526315789473684</c:v>
                </c:pt>
                <c:pt idx="41">
                  <c:v>0.61538461538461542</c:v>
                </c:pt>
                <c:pt idx="42">
                  <c:v>0.6</c:v>
                </c:pt>
                <c:pt idx="43">
                  <c:v>0.6097560975609756</c:v>
                </c:pt>
                <c:pt idx="44">
                  <c:v>0.61904761904761907</c:v>
                </c:pt>
                <c:pt idx="45">
                  <c:v>0.62790697674418605</c:v>
                </c:pt>
                <c:pt idx="46">
                  <c:v>0.61363636363636365</c:v>
                </c:pt>
                <c:pt idx="47">
                  <c:v>0.6</c:v>
                </c:pt>
                <c:pt idx="48">
                  <c:v>0.60869565217391308</c:v>
                </c:pt>
                <c:pt idx="49">
                  <c:v>0.5957446808510638</c:v>
                </c:pt>
                <c:pt idx="50">
                  <c:v>0.58333333333333337</c:v>
                </c:pt>
                <c:pt idx="51">
                  <c:v>0.5714285714285714</c:v>
                </c:pt>
                <c:pt idx="52">
                  <c:v>0.57999999999999996</c:v>
                </c:pt>
                <c:pt idx="53">
                  <c:v>0.58823529411764708</c:v>
                </c:pt>
                <c:pt idx="54">
                  <c:v>0.59615384615384615</c:v>
                </c:pt>
                <c:pt idx="55">
                  <c:v>0.60377358490566035</c:v>
                </c:pt>
                <c:pt idx="56">
                  <c:v>0.61111111111111116</c:v>
                </c:pt>
                <c:pt idx="57">
                  <c:v>0.61818181818181817</c:v>
                </c:pt>
                <c:pt idx="58">
                  <c:v>0.6071428571428571</c:v>
                </c:pt>
                <c:pt idx="59">
                  <c:v>0.59649122807017541</c:v>
                </c:pt>
                <c:pt idx="60">
                  <c:v>0.60344827586206895</c:v>
                </c:pt>
                <c:pt idx="61">
                  <c:v>0.59322033898305082</c:v>
                </c:pt>
                <c:pt idx="62">
                  <c:v>0.6</c:v>
                </c:pt>
                <c:pt idx="63">
                  <c:v>0.5901639344262295</c:v>
                </c:pt>
                <c:pt idx="64">
                  <c:v>0.58064516129032262</c:v>
                </c:pt>
                <c:pt idx="65">
                  <c:v>0.5714285714285714</c:v>
                </c:pt>
                <c:pt idx="66">
                  <c:v>0.578125</c:v>
                </c:pt>
                <c:pt idx="67">
                  <c:v>0.56923076923076921</c:v>
                </c:pt>
                <c:pt idx="68">
                  <c:v>0.56060606060606055</c:v>
                </c:pt>
                <c:pt idx="69">
                  <c:v>0.56716417910447758</c:v>
                </c:pt>
                <c:pt idx="70">
                  <c:v>0.55882352941176472</c:v>
                </c:pt>
                <c:pt idx="71">
                  <c:v>0.56521739130434778</c:v>
                </c:pt>
                <c:pt idx="72">
                  <c:v>0.5714285714285714</c:v>
                </c:pt>
                <c:pt idx="73">
                  <c:v>0.56338028169014087</c:v>
                </c:pt>
                <c:pt idx="74">
                  <c:v>0.56944444444444442</c:v>
                </c:pt>
                <c:pt idx="75">
                  <c:v>0.56164383561643838</c:v>
                </c:pt>
                <c:pt idx="76">
                  <c:v>0.55405405405405406</c:v>
                </c:pt>
                <c:pt idx="77">
                  <c:v>0.56000000000000005</c:v>
                </c:pt>
                <c:pt idx="78">
                  <c:v>0.56578947368421051</c:v>
                </c:pt>
                <c:pt idx="79">
                  <c:v>0.5714285714285714</c:v>
                </c:pt>
                <c:pt idx="80">
                  <c:v>0.57692307692307687</c:v>
                </c:pt>
                <c:pt idx="81">
                  <c:v>0.58227848101265822</c:v>
                </c:pt>
                <c:pt idx="82">
                  <c:v>0.58750000000000002</c:v>
                </c:pt>
                <c:pt idx="83">
                  <c:v>0.59259259259259256</c:v>
                </c:pt>
                <c:pt idx="84">
                  <c:v>0.58536585365853655</c:v>
                </c:pt>
                <c:pt idx="85">
                  <c:v>0.59036144578313254</c:v>
                </c:pt>
                <c:pt idx="86">
                  <c:v>0.59523809523809523</c:v>
                </c:pt>
                <c:pt idx="87">
                  <c:v>0.58823529411764708</c:v>
                </c:pt>
                <c:pt idx="88">
                  <c:v>0.59302325581395354</c:v>
                </c:pt>
                <c:pt idx="89">
                  <c:v>0.58620689655172409</c:v>
                </c:pt>
                <c:pt idx="90">
                  <c:v>0.57954545454545459</c:v>
                </c:pt>
                <c:pt idx="91">
                  <c:v>0.5842696629213483</c:v>
                </c:pt>
                <c:pt idx="92">
                  <c:v>0.58888888888888891</c:v>
                </c:pt>
                <c:pt idx="93">
                  <c:v>0.59340659340659341</c:v>
                </c:pt>
                <c:pt idx="94">
                  <c:v>0.59782608695652173</c:v>
                </c:pt>
                <c:pt idx="95">
                  <c:v>0.60215053763440862</c:v>
                </c:pt>
                <c:pt idx="96">
                  <c:v>0.5957446808510638</c:v>
                </c:pt>
                <c:pt idx="97">
                  <c:v>0.58947368421052626</c:v>
                </c:pt>
                <c:pt idx="98">
                  <c:v>0.59375</c:v>
                </c:pt>
                <c:pt idx="99">
                  <c:v>0.58762886597938147</c:v>
                </c:pt>
                <c:pt idx="100">
                  <c:v>0.58163265306122447</c:v>
                </c:pt>
                <c:pt idx="101">
                  <c:v>0.58585858585858586</c:v>
                </c:pt>
                <c:pt idx="102">
                  <c:v>0.57999999999999996</c:v>
                </c:pt>
                <c:pt idx="103">
                  <c:v>0.57425742574257421</c:v>
                </c:pt>
                <c:pt idx="104">
                  <c:v>0.56862745098039214</c:v>
                </c:pt>
                <c:pt idx="105">
                  <c:v>0.56310679611650483</c:v>
                </c:pt>
                <c:pt idx="106">
                  <c:v>0.56730769230769229</c:v>
                </c:pt>
                <c:pt idx="107">
                  <c:v>0.5714285714285714</c:v>
                </c:pt>
                <c:pt idx="108">
                  <c:v>0.57547169811320753</c:v>
                </c:pt>
                <c:pt idx="109">
                  <c:v>0.57009345794392519</c:v>
                </c:pt>
                <c:pt idx="110">
                  <c:v>0.57407407407407407</c:v>
                </c:pt>
                <c:pt idx="111">
                  <c:v>0.56880733944954132</c:v>
                </c:pt>
                <c:pt idx="112">
                  <c:v>0.5636363636363636</c:v>
                </c:pt>
                <c:pt idx="113">
                  <c:v>0.56756756756756754</c:v>
                </c:pt>
                <c:pt idx="114">
                  <c:v>0.5625</c:v>
                </c:pt>
                <c:pt idx="115">
                  <c:v>0.55752212389380529</c:v>
                </c:pt>
                <c:pt idx="116">
                  <c:v>0.56140350877192979</c:v>
                </c:pt>
                <c:pt idx="117">
                  <c:v>0.55652173913043479</c:v>
                </c:pt>
                <c:pt idx="118">
                  <c:v>0.55172413793103448</c:v>
                </c:pt>
                <c:pt idx="119">
                  <c:v>0.54700854700854706</c:v>
                </c:pt>
                <c:pt idx="120">
                  <c:v>0.55084745762711862</c:v>
                </c:pt>
                <c:pt idx="121">
                  <c:v>0.55462184873949583</c:v>
                </c:pt>
                <c:pt idx="122">
                  <c:v>0.55833333333333335</c:v>
                </c:pt>
                <c:pt idx="123">
                  <c:v>0.56198347107438018</c:v>
                </c:pt>
                <c:pt idx="124">
                  <c:v>0.55737704918032782</c:v>
                </c:pt>
                <c:pt idx="125">
                  <c:v>0.55284552845528456</c:v>
                </c:pt>
                <c:pt idx="126">
                  <c:v>0.55645161290322576</c:v>
                </c:pt>
                <c:pt idx="127">
                  <c:v>0.56000000000000005</c:v>
                </c:pt>
                <c:pt idx="128">
                  <c:v>0.55555555555555558</c:v>
                </c:pt>
                <c:pt idx="129">
                  <c:v>0.55905511811023623</c:v>
                </c:pt>
                <c:pt idx="130">
                  <c:v>0.5625</c:v>
                </c:pt>
                <c:pt idx="131">
                  <c:v>0.56589147286821706</c:v>
                </c:pt>
                <c:pt idx="132">
                  <c:v>0.56923076923076921</c:v>
                </c:pt>
                <c:pt idx="133">
                  <c:v>0.56488549618320616</c:v>
                </c:pt>
                <c:pt idx="134">
                  <c:v>0.56818181818181823</c:v>
                </c:pt>
                <c:pt idx="135">
                  <c:v>0.5714285714285714</c:v>
                </c:pt>
                <c:pt idx="136">
                  <c:v>0.57462686567164178</c:v>
                </c:pt>
                <c:pt idx="137">
                  <c:v>0.57777777777777772</c:v>
                </c:pt>
                <c:pt idx="138">
                  <c:v>0.58088235294117652</c:v>
                </c:pt>
                <c:pt idx="139">
                  <c:v>0.57664233576642332</c:v>
                </c:pt>
                <c:pt idx="140">
                  <c:v>0.57971014492753625</c:v>
                </c:pt>
                <c:pt idx="141">
                  <c:v>0.57553956834532372</c:v>
                </c:pt>
                <c:pt idx="142">
                  <c:v>0.5714285714285714</c:v>
                </c:pt>
                <c:pt idx="143">
                  <c:v>0.56737588652482274</c:v>
                </c:pt>
                <c:pt idx="144">
                  <c:v>0.56338028169014087</c:v>
                </c:pt>
                <c:pt idx="145">
                  <c:v>0.55944055944055948</c:v>
                </c:pt>
                <c:pt idx="146">
                  <c:v>0.5625</c:v>
                </c:pt>
                <c:pt idx="147">
                  <c:v>0.56551724137931036</c:v>
                </c:pt>
                <c:pt idx="148">
                  <c:v>0.56849315068493156</c:v>
                </c:pt>
                <c:pt idx="149">
                  <c:v>0.5714285714285714</c:v>
                </c:pt>
                <c:pt idx="150">
                  <c:v>0.56756756756756754</c:v>
                </c:pt>
                <c:pt idx="151">
                  <c:v>0.57046979865771807</c:v>
                </c:pt>
                <c:pt idx="152">
                  <c:v>0.57333333333333336</c:v>
                </c:pt>
                <c:pt idx="153">
                  <c:v>0.57615894039735094</c:v>
                </c:pt>
                <c:pt idx="154">
                  <c:v>0.57236842105263153</c:v>
                </c:pt>
                <c:pt idx="155">
                  <c:v>0.57516339869281041</c:v>
                </c:pt>
                <c:pt idx="156">
                  <c:v>0.57792207792207795</c:v>
                </c:pt>
                <c:pt idx="157">
                  <c:v>0.5741935483870968</c:v>
                </c:pt>
                <c:pt idx="158">
                  <c:v>0.57692307692307687</c:v>
                </c:pt>
                <c:pt idx="159">
                  <c:v>0.57324840764331209</c:v>
                </c:pt>
                <c:pt idx="160">
                  <c:v>0.569620253164557</c:v>
                </c:pt>
                <c:pt idx="161">
                  <c:v>0.56603773584905659</c:v>
                </c:pt>
                <c:pt idx="162">
                  <c:v>0.56874999999999998</c:v>
                </c:pt>
                <c:pt idx="163">
                  <c:v>0.56521739130434778</c:v>
                </c:pt>
                <c:pt idx="164">
                  <c:v>0.5679012345679012</c:v>
                </c:pt>
                <c:pt idx="165">
                  <c:v>0.56441717791411039</c:v>
                </c:pt>
                <c:pt idx="166">
                  <c:v>0.56707317073170727</c:v>
                </c:pt>
                <c:pt idx="167">
                  <c:v>0.5636363636363636</c:v>
                </c:pt>
                <c:pt idx="168">
                  <c:v>0.5662650602409639</c:v>
                </c:pt>
                <c:pt idx="169">
                  <c:v>0.56886227544910184</c:v>
                </c:pt>
                <c:pt idx="170">
                  <c:v>0.56547619047619047</c:v>
                </c:pt>
                <c:pt idx="171">
                  <c:v>0.56804733727810652</c:v>
                </c:pt>
                <c:pt idx="172">
                  <c:v>0.56470588235294117</c:v>
                </c:pt>
                <c:pt idx="173">
                  <c:v>0.56140350877192979</c:v>
                </c:pt>
                <c:pt idx="174">
                  <c:v>0.55813953488372092</c:v>
                </c:pt>
                <c:pt idx="175">
                  <c:v>0.56069364161849711</c:v>
                </c:pt>
                <c:pt idx="176">
                  <c:v>0.56321839080459768</c:v>
                </c:pt>
                <c:pt idx="177">
                  <c:v>0.56571428571428573</c:v>
                </c:pt>
                <c:pt idx="178">
                  <c:v>0.56818181818181823</c:v>
                </c:pt>
                <c:pt idx="179">
                  <c:v>0.57062146892655363</c:v>
                </c:pt>
                <c:pt idx="180">
                  <c:v>0.56741573033707871</c:v>
                </c:pt>
                <c:pt idx="181">
                  <c:v>0.56983240223463683</c:v>
                </c:pt>
                <c:pt idx="182">
                  <c:v>0.57222222222222219</c:v>
                </c:pt>
                <c:pt idx="183">
                  <c:v>0.56906077348066297</c:v>
                </c:pt>
                <c:pt idx="184">
                  <c:v>0.56593406593406592</c:v>
                </c:pt>
                <c:pt idx="185">
                  <c:v>0.56830601092896171</c:v>
                </c:pt>
                <c:pt idx="186">
                  <c:v>0.57065217391304346</c:v>
                </c:pt>
                <c:pt idx="187">
                  <c:v>0.572972972972973</c:v>
                </c:pt>
                <c:pt idx="188">
                  <c:v>0.57526881720430112</c:v>
                </c:pt>
                <c:pt idx="189">
                  <c:v>0.57754010695187163</c:v>
                </c:pt>
                <c:pt idx="190">
                  <c:v>0.57446808510638303</c:v>
                </c:pt>
                <c:pt idx="191">
                  <c:v>0.5714285714285714</c:v>
                </c:pt>
                <c:pt idx="192">
                  <c:v>0.5736842105263158</c:v>
                </c:pt>
                <c:pt idx="193">
                  <c:v>0.5759162303664922</c:v>
                </c:pt>
                <c:pt idx="194">
                  <c:v>0.578125</c:v>
                </c:pt>
                <c:pt idx="195">
                  <c:v>0.57512953367875652</c:v>
                </c:pt>
                <c:pt idx="196">
                  <c:v>0.57731958762886593</c:v>
                </c:pt>
                <c:pt idx="197">
                  <c:v>0.57948717948717954</c:v>
                </c:pt>
                <c:pt idx="198">
                  <c:v>0.58163265306122447</c:v>
                </c:pt>
                <c:pt idx="199">
                  <c:v>0.58375634517766495</c:v>
                </c:pt>
                <c:pt idx="200">
                  <c:v>0.58080808080808077</c:v>
                </c:pt>
                <c:pt idx="201">
                  <c:v>0.58291457286432158</c:v>
                </c:pt>
                <c:pt idx="202">
                  <c:v>0.57999999999999996</c:v>
                </c:pt>
                <c:pt idx="203">
                  <c:v>0.58208955223880599</c:v>
                </c:pt>
                <c:pt idx="204">
                  <c:v>0.57920792079207917</c:v>
                </c:pt>
                <c:pt idx="205">
                  <c:v>0.58128078817733986</c:v>
                </c:pt>
                <c:pt idx="206">
                  <c:v>0.58333333333333337</c:v>
                </c:pt>
                <c:pt idx="207">
                  <c:v>0.58536585365853655</c:v>
                </c:pt>
                <c:pt idx="208">
                  <c:v>0.58252427184466016</c:v>
                </c:pt>
                <c:pt idx="209">
                  <c:v>0.57971014492753625</c:v>
                </c:pt>
                <c:pt idx="210">
                  <c:v>0.58173076923076927</c:v>
                </c:pt>
                <c:pt idx="211">
                  <c:v>0.58373205741626799</c:v>
                </c:pt>
                <c:pt idx="212">
                  <c:v>0.58571428571428574</c:v>
                </c:pt>
                <c:pt idx="213">
                  <c:v>0.58767772511848337</c:v>
                </c:pt>
                <c:pt idx="214">
                  <c:v>0.58490566037735847</c:v>
                </c:pt>
                <c:pt idx="215">
                  <c:v>0.58685446009389675</c:v>
                </c:pt>
                <c:pt idx="216">
                  <c:v>0.58411214953271029</c:v>
                </c:pt>
                <c:pt idx="217">
                  <c:v>0.586046511627907</c:v>
                </c:pt>
                <c:pt idx="218">
                  <c:v>0.58796296296296291</c:v>
                </c:pt>
                <c:pt idx="219">
                  <c:v>0.58986175115207373</c:v>
                </c:pt>
                <c:pt idx="220">
                  <c:v>0.59174311926605505</c:v>
                </c:pt>
                <c:pt idx="221">
                  <c:v>0.59360730593607303</c:v>
                </c:pt>
                <c:pt idx="222">
                  <c:v>0.59545454545454546</c:v>
                </c:pt>
                <c:pt idx="223">
                  <c:v>0.59276018099547512</c:v>
                </c:pt>
                <c:pt idx="224">
                  <c:v>0.59459459459459463</c:v>
                </c:pt>
                <c:pt idx="225">
                  <c:v>0.5964125560538116</c:v>
                </c:pt>
                <c:pt idx="226">
                  <c:v>0.59375</c:v>
                </c:pt>
                <c:pt idx="227">
                  <c:v>0.59111111111111114</c:v>
                </c:pt>
                <c:pt idx="228">
                  <c:v>0.58849557522123896</c:v>
                </c:pt>
                <c:pt idx="229">
                  <c:v>0.58590308370044053</c:v>
                </c:pt>
                <c:pt idx="230">
                  <c:v>0.58771929824561409</c:v>
                </c:pt>
                <c:pt idx="231">
                  <c:v>0.58951965065502188</c:v>
                </c:pt>
                <c:pt idx="232">
                  <c:v>0.59130434782608698</c:v>
                </c:pt>
                <c:pt idx="233">
                  <c:v>0.59307359307359309</c:v>
                </c:pt>
                <c:pt idx="234">
                  <c:v>0.59482758620689657</c:v>
                </c:pt>
                <c:pt idx="235">
                  <c:v>0.59227467811158796</c:v>
                </c:pt>
                <c:pt idx="236">
                  <c:v>0.59401709401709402</c:v>
                </c:pt>
                <c:pt idx="237">
                  <c:v>0.5957446808510638</c:v>
                </c:pt>
                <c:pt idx="238">
                  <c:v>0.59745762711864403</c:v>
                </c:pt>
                <c:pt idx="239">
                  <c:v>0.59915611814345993</c:v>
                </c:pt>
                <c:pt idx="240">
                  <c:v>0.59663865546218486</c:v>
                </c:pt>
                <c:pt idx="241">
                  <c:v>0.59832635983263593</c:v>
                </c:pt>
                <c:pt idx="242">
                  <c:v>0.59583333333333333</c:v>
                </c:pt>
                <c:pt idx="243">
                  <c:v>0.59336099585062241</c:v>
                </c:pt>
                <c:pt idx="244">
                  <c:v>0.59090909090909094</c:v>
                </c:pt>
                <c:pt idx="245">
                  <c:v>0.59259259259259256</c:v>
                </c:pt>
                <c:pt idx="246">
                  <c:v>0.59426229508196726</c:v>
                </c:pt>
                <c:pt idx="247">
                  <c:v>0.59591836734693882</c:v>
                </c:pt>
                <c:pt idx="248">
                  <c:v>0.59756097560975607</c:v>
                </c:pt>
                <c:pt idx="249">
                  <c:v>0.59919028340080971</c:v>
                </c:pt>
                <c:pt idx="250">
                  <c:v>0.59677419354838712</c:v>
                </c:pt>
                <c:pt idx="251">
                  <c:v>0.59839357429718876</c:v>
                </c:pt>
                <c:pt idx="252">
                  <c:v>0.59599999999999997</c:v>
                </c:pt>
                <c:pt idx="253">
                  <c:v>0.59760956175298807</c:v>
                </c:pt>
                <c:pt idx="254">
                  <c:v>0.59523809523809523</c:v>
                </c:pt>
                <c:pt idx="255">
                  <c:v>0.59683794466403162</c:v>
                </c:pt>
                <c:pt idx="256">
                  <c:v>0.59448818897637801</c:v>
                </c:pt>
                <c:pt idx="257">
                  <c:v>0.59215686274509804</c:v>
                </c:pt>
                <c:pt idx="258">
                  <c:v>0.59375</c:v>
                </c:pt>
                <c:pt idx="259">
                  <c:v>0.59143968871595332</c:v>
                </c:pt>
                <c:pt idx="260">
                  <c:v>0.58914728682170547</c:v>
                </c:pt>
                <c:pt idx="261">
                  <c:v>0.58687258687258692</c:v>
                </c:pt>
                <c:pt idx="262">
                  <c:v>0.58461538461538465</c:v>
                </c:pt>
                <c:pt idx="263">
                  <c:v>0.58620689655172409</c:v>
                </c:pt>
                <c:pt idx="264">
                  <c:v>0.58778625954198471</c:v>
                </c:pt>
                <c:pt idx="265">
                  <c:v>0.5855513307984791</c:v>
                </c:pt>
                <c:pt idx="266">
                  <c:v>0.58333333333333337</c:v>
                </c:pt>
                <c:pt idx="267">
                  <c:v>0.5811320754716981</c:v>
                </c:pt>
                <c:pt idx="268">
                  <c:v>0.58270676691729328</c:v>
                </c:pt>
                <c:pt idx="269">
                  <c:v>0.58052434456928836</c:v>
                </c:pt>
                <c:pt idx="270">
                  <c:v>0.57835820895522383</c:v>
                </c:pt>
                <c:pt idx="271">
                  <c:v>0.57620817843866168</c:v>
                </c:pt>
                <c:pt idx="272">
                  <c:v>0.57407407407407407</c:v>
                </c:pt>
                <c:pt idx="273">
                  <c:v>0.57564575645756455</c:v>
                </c:pt>
                <c:pt idx="274">
                  <c:v>0.57720588235294112</c:v>
                </c:pt>
                <c:pt idx="275">
                  <c:v>0.57875457875457881</c:v>
                </c:pt>
                <c:pt idx="276">
                  <c:v>0.58029197080291972</c:v>
                </c:pt>
                <c:pt idx="277">
                  <c:v>0.57818181818181813</c:v>
                </c:pt>
                <c:pt idx="278">
                  <c:v>0.57971014492753625</c:v>
                </c:pt>
                <c:pt idx="279">
                  <c:v>0.58122743682310474</c:v>
                </c:pt>
                <c:pt idx="280">
                  <c:v>0.58273381294964033</c:v>
                </c:pt>
                <c:pt idx="281">
                  <c:v>0.58064516129032262</c:v>
                </c:pt>
                <c:pt idx="282">
                  <c:v>0.58214285714285718</c:v>
                </c:pt>
                <c:pt idx="283">
                  <c:v>0.58007117437722422</c:v>
                </c:pt>
                <c:pt idx="284">
                  <c:v>0.57801418439716312</c:v>
                </c:pt>
                <c:pt idx="285">
                  <c:v>0.57597173144876324</c:v>
                </c:pt>
                <c:pt idx="286">
                  <c:v>0.57746478873239437</c:v>
                </c:pt>
                <c:pt idx="287">
                  <c:v>0.57894736842105265</c:v>
                </c:pt>
                <c:pt idx="288">
                  <c:v>0.58041958041958042</c:v>
                </c:pt>
                <c:pt idx="289">
                  <c:v>0.57839721254355403</c:v>
                </c:pt>
                <c:pt idx="290">
                  <c:v>0.57986111111111116</c:v>
                </c:pt>
                <c:pt idx="291">
                  <c:v>0.57785467128027679</c:v>
                </c:pt>
                <c:pt idx="292">
                  <c:v>0.57931034482758625</c:v>
                </c:pt>
                <c:pt idx="293">
                  <c:v>0.58075601374570451</c:v>
                </c:pt>
                <c:pt idx="294">
                  <c:v>0.5821917808219178</c:v>
                </c:pt>
                <c:pt idx="295">
                  <c:v>0.58020477815699656</c:v>
                </c:pt>
                <c:pt idx="296">
                  <c:v>0.58163265306122447</c:v>
                </c:pt>
                <c:pt idx="297">
                  <c:v>0.57966101694915251</c:v>
                </c:pt>
                <c:pt idx="298">
                  <c:v>0.57770270270270274</c:v>
                </c:pt>
                <c:pt idx="299">
                  <c:v>0.57912457912457915</c:v>
                </c:pt>
                <c:pt idx="300">
                  <c:v>0.58053691275167785</c:v>
                </c:pt>
                <c:pt idx="301">
                  <c:v>0.58193979933110362</c:v>
                </c:pt>
                <c:pt idx="302">
                  <c:v>0.57999999999999996</c:v>
                </c:pt>
                <c:pt idx="303">
                  <c:v>0.57807308970099669</c:v>
                </c:pt>
                <c:pt idx="304">
                  <c:v>0.57615894039735094</c:v>
                </c:pt>
                <c:pt idx="305">
                  <c:v>0.57755775577557755</c:v>
                </c:pt>
                <c:pt idx="306">
                  <c:v>0.57894736842105265</c:v>
                </c:pt>
                <c:pt idx="307">
                  <c:v>0.57704918032786889</c:v>
                </c:pt>
                <c:pt idx="308">
                  <c:v>0.57843137254901966</c:v>
                </c:pt>
                <c:pt idx="309">
                  <c:v>0.57980456026058635</c:v>
                </c:pt>
                <c:pt idx="310">
                  <c:v>0.57792207792207795</c:v>
                </c:pt>
                <c:pt idx="311">
                  <c:v>0.57928802588996764</c:v>
                </c:pt>
                <c:pt idx="312">
                  <c:v>0.58064516129032262</c:v>
                </c:pt>
                <c:pt idx="313">
                  <c:v>0.5787781350482315</c:v>
                </c:pt>
                <c:pt idx="314">
                  <c:v>0.57692307692307687</c:v>
                </c:pt>
                <c:pt idx="315">
                  <c:v>0.57827476038338654</c:v>
                </c:pt>
                <c:pt idx="316">
                  <c:v>0.57643312101910826</c:v>
                </c:pt>
                <c:pt idx="317">
                  <c:v>0.57777777777777772</c:v>
                </c:pt>
                <c:pt idx="318">
                  <c:v>0.57594936708860756</c:v>
                </c:pt>
                <c:pt idx="319">
                  <c:v>0.57728706624605675</c:v>
                </c:pt>
                <c:pt idx="320">
                  <c:v>0.57547169811320753</c:v>
                </c:pt>
                <c:pt idx="321">
                  <c:v>0.57680250783699061</c:v>
                </c:pt>
                <c:pt idx="322">
                  <c:v>0.57499999999999996</c:v>
                </c:pt>
                <c:pt idx="323">
                  <c:v>0.57320872274143297</c:v>
                </c:pt>
                <c:pt idx="324">
                  <c:v>0.57453416149068326</c:v>
                </c:pt>
                <c:pt idx="325">
                  <c:v>0.57585139318885448</c:v>
                </c:pt>
                <c:pt idx="326">
                  <c:v>0.57407407407407407</c:v>
                </c:pt>
                <c:pt idx="327">
                  <c:v>0.5723076923076923</c:v>
                </c:pt>
                <c:pt idx="328">
                  <c:v>0.57361963190184051</c:v>
                </c:pt>
                <c:pt idx="329">
                  <c:v>0.5718654434250765</c:v>
                </c:pt>
                <c:pt idx="330">
                  <c:v>0.57317073170731703</c:v>
                </c:pt>
                <c:pt idx="331">
                  <c:v>0.57446808510638303</c:v>
                </c:pt>
                <c:pt idx="332">
                  <c:v>0.57272727272727275</c:v>
                </c:pt>
                <c:pt idx="333">
                  <c:v>0.57401812688821752</c:v>
                </c:pt>
                <c:pt idx="334">
                  <c:v>0.57228915662650603</c:v>
                </c:pt>
                <c:pt idx="335">
                  <c:v>0.57357357357357353</c:v>
                </c:pt>
                <c:pt idx="336">
                  <c:v>0.57185628742514971</c:v>
                </c:pt>
                <c:pt idx="337">
                  <c:v>0.57313432835820899</c:v>
                </c:pt>
                <c:pt idx="338">
                  <c:v>0.5714285714285714</c:v>
                </c:pt>
                <c:pt idx="339">
                  <c:v>0.57270029673590506</c:v>
                </c:pt>
                <c:pt idx="340">
                  <c:v>0.57396449704142016</c:v>
                </c:pt>
                <c:pt idx="341">
                  <c:v>0.5752212389380531</c:v>
                </c:pt>
                <c:pt idx="342">
                  <c:v>0.57647058823529407</c:v>
                </c:pt>
                <c:pt idx="343">
                  <c:v>0.57478005865102644</c:v>
                </c:pt>
                <c:pt idx="344">
                  <c:v>0.57602339181286555</c:v>
                </c:pt>
                <c:pt idx="345">
                  <c:v>0.57725947521865895</c:v>
                </c:pt>
                <c:pt idx="346">
                  <c:v>0.57558139534883723</c:v>
                </c:pt>
                <c:pt idx="347">
                  <c:v>0.57681159420289851</c:v>
                </c:pt>
                <c:pt idx="348">
                  <c:v>0.57514450867052025</c:v>
                </c:pt>
                <c:pt idx="349">
                  <c:v>0.57636887608069165</c:v>
                </c:pt>
                <c:pt idx="350">
                  <c:v>0.57758620689655171</c:v>
                </c:pt>
                <c:pt idx="351">
                  <c:v>0.57879656160458448</c:v>
                </c:pt>
                <c:pt idx="352">
                  <c:v>0.57999999999999996</c:v>
                </c:pt>
                <c:pt idx="353">
                  <c:v>0.57834757834757833</c:v>
                </c:pt>
                <c:pt idx="354">
                  <c:v>0.57670454545454541</c:v>
                </c:pt>
                <c:pt idx="355">
                  <c:v>0.57790368271954673</c:v>
                </c:pt>
                <c:pt idx="356">
                  <c:v>0.57627118644067798</c:v>
                </c:pt>
                <c:pt idx="357">
                  <c:v>0.57746478873239437</c:v>
                </c:pt>
                <c:pt idx="358">
                  <c:v>0.5786516853932584</c:v>
                </c:pt>
                <c:pt idx="359">
                  <c:v>0.57983193277310929</c:v>
                </c:pt>
                <c:pt idx="360">
                  <c:v>0.58100558659217882</c:v>
                </c:pt>
                <c:pt idx="361">
                  <c:v>0.5821727019498607</c:v>
                </c:pt>
                <c:pt idx="362">
                  <c:v>0.58333333333333337</c:v>
                </c:pt>
                <c:pt idx="363">
                  <c:v>0.58448753462603875</c:v>
                </c:pt>
                <c:pt idx="364">
                  <c:v>0.58563535911602205</c:v>
                </c:pt>
                <c:pt idx="365">
                  <c:v>0.58677685950413228</c:v>
                </c:pt>
                <c:pt idx="366">
                  <c:v>0.5851648351648352</c:v>
                </c:pt>
                <c:pt idx="367">
                  <c:v>0.58356164383561648</c:v>
                </c:pt>
                <c:pt idx="368">
                  <c:v>0.58469945355191255</c:v>
                </c:pt>
                <c:pt idx="369">
                  <c:v>0.5831062670299727</c:v>
                </c:pt>
                <c:pt idx="370">
                  <c:v>0.58152173913043481</c:v>
                </c:pt>
                <c:pt idx="371">
                  <c:v>0.58265582655826553</c:v>
                </c:pt>
                <c:pt idx="372">
                  <c:v>0.58378378378378382</c:v>
                </c:pt>
                <c:pt idx="373">
                  <c:v>0.58490566037735847</c:v>
                </c:pt>
                <c:pt idx="374">
                  <c:v>0.58602150537634412</c:v>
                </c:pt>
                <c:pt idx="375">
                  <c:v>0.58445040214477206</c:v>
                </c:pt>
                <c:pt idx="376">
                  <c:v>0.58556149732620322</c:v>
                </c:pt>
                <c:pt idx="377">
                  <c:v>0.58666666666666667</c:v>
                </c:pt>
                <c:pt idx="378">
                  <c:v>0.58776595744680848</c:v>
                </c:pt>
                <c:pt idx="379">
                  <c:v>0.58885941644562334</c:v>
                </c:pt>
                <c:pt idx="380">
                  <c:v>0.58730158730158732</c:v>
                </c:pt>
                <c:pt idx="381">
                  <c:v>0.58575197889182062</c:v>
                </c:pt>
                <c:pt idx="382">
                  <c:v>0.58421052631578951</c:v>
                </c:pt>
                <c:pt idx="383">
                  <c:v>0.58530183727034124</c:v>
                </c:pt>
                <c:pt idx="384">
                  <c:v>0.58638743455497377</c:v>
                </c:pt>
                <c:pt idx="385">
                  <c:v>0.58746736292428203</c:v>
                </c:pt>
                <c:pt idx="386">
                  <c:v>0.58854166666666663</c:v>
                </c:pt>
                <c:pt idx="387">
                  <c:v>0.58961038961038958</c:v>
                </c:pt>
                <c:pt idx="388">
                  <c:v>0.58808290155440412</c:v>
                </c:pt>
                <c:pt idx="389">
                  <c:v>0.58656330749354002</c:v>
                </c:pt>
                <c:pt idx="390">
                  <c:v>0.58505154639175261</c:v>
                </c:pt>
                <c:pt idx="391">
                  <c:v>0.58354755784061696</c:v>
                </c:pt>
                <c:pt idx="392">
                  <c:v>0.58205128205128209</c:v>
                </c:pt>
                <c:pt idx="393">
                  <c:v>0.58312020460358061</c:v>
                </c:pt>
                <c:pt idx="394">
                  <c:v>0.58418367346938771</c:v>
                </c:pt>
                <c:pt idx="395">
                  <c:v>0.58524173027989823</c:v>
                </c:pt>
                <c:pt idx="396">
                  <c:v>0.58629441624365486</c:v>
                </c:pt>
                <c:pt idx="397">
                  <c:v>0.58734177215189876</c:v>
                </c:pt>
                <c:pt idx="398">
                  <c:v>0.58838383838383834</c:v>
                </c:pt>
                <c:pt idx="399">
                  <c:v>0.58942065491183881</c:v>
                </c:pt>
                <c:pt idx="400">
                  <c:v>0.5879396984924623</c:v>
                </c:pt>
                <c:pt idx="401">
                  <c:v>0.58897243107769426</c:v>
                </c:pt>
                <c:pt idx="402">
                  <c:v>0.59</c:v>
                </c:pt>
                <c:pt idx="403">
                  <c:v>0.59102244389027436</c:v>
                </c:pt>
                <c:pt idx="404">
                  <c:v>0.58955223880597019</c:v>
                </c:pt>
                <c:pt idx="405">
                  <c:v>0.59057071960297769</c:v>
                </c:pt>
                <c:pt idx="406">
                  <c:v>0.59158415841584155</c:v>
                </c:pt>
                <c:pt idx="407">
                  <c:v>0.59259259259259256</c:v>
                </c:pt>
                <c:pt idx="408">
                  <c:v>0.59113300492610843</c:v>
                </c:pt>
                <c:pt idx="409">
                  <c:v>0.59213759213759209</c:v>
                </c:pt>
                <c:pt idx="410">
                  <c:v>0.59313725490196079</c:v>
                </c:pt>
                <c:pt idx="411">
                  <c:v>0.59168704156479213</c:v>
                </c:pt>
                <c:pt idx="412">
                  <c:v>0.59268292682926826</c:v>
                </c:pt>
                <c:pt idx="413">
                  <c:v>0.59367396593673971</c:v>
                </c:pt>
                <c:pt idx="414">
                  <c:v>0.59466019417475724</c:v>
                </c:pt>
                <c:pt idx="415">
                  <c:v>0.59564164648910412</c:v>
                </c:pt>
                <c:pt idx="416">
                  <c:v>0.59420289855072461</c:v>
                </c:pt>
                <c:pt idx="417">
                  <c:v>0.59277108433734937</c:v>
                </c:pt>
                <c:pt idx="418">
                  <c:v>0.59134615384615385</c:v>
                </c:pt>
                <c:pt idx="419">
                  <c:v>0.592326139088729</c:v>
                </c:pt>
                <c:pt idx="420">
                  <c:v>0.59330143540669855</c:v>
                </c:pt>
                <c:pt idx="421">
                  <c:v>0.59427207637231505</c:v>
                </c:pt>
                <c:pt idx="422">
                  <c:v>0.59285714285714286</c:v>
                </c:pt>
                <c:pt idx="423">
                  <c:v>0.59144893111638952</c:v>
                </c:pt>
                <c:pt idx="424">
                  <c:v>0.59241706161137442</c:v>
                </c:pt>
                <c:pt idx="425">
                  <c:v>0.59338061465721037</c:v>
                </c:pt>
                <c:pt idx="426">
                  <c:v>0.59433962264150941</c:v>
                </c:pt>
                <c:pt idx="427">
                  <c:v>0.59529411764705886</c:v>
                </c:pt>
                <c:pt idx="428">
                  <c:v>0.59624413145539901</c:v>
                </c:pt>
                <c:pt idx="429">
                  <c:v>0.59484777517564402</c:v>
                </c:pt>
                <c:pt idx="430">
                  <c:v>0.59345794392523366</c:v>
                </c:pt>
                <c:pt idx="431">
                  <c:v>0.59440559440559437</c:v>
                </c:pt>
                <c:pt idx="432">
                  <c:v>0.59534883720930232</c:v>
                </c:pt>
                <c:pt idx="433">
                  <c:v>0.59628770301624134</c:v>
                </c:pt>
                <c:pt idx="434">
                  <c:v>0.59490740740740744</c:v>
                </c:pt>
                <c:pt idx="435">
                  <c:v>0.59584295612009242</c:v>
                </c:pt>
                <c:pt idx="436">
                  <c:v>0.59677419354838712</c:v>
                </c:pt>
                <c:pt idx="437">
                  <c:v>0.5977011494252874</c:v>
                </c:pt>
                <c:pt idx="438">
                  <c:v>0.59862385321100919</c:v>
                </c:pt>
                <c:pt idx="439">
                  <c:v>0.597254004576659</c:v>
                </c:pt>
                <c:pt idx="440">
                  <c:v>0.59817351598173518</c:v>
                </c:pt>
                <c:pt idx="441">
                  <c:v>0.59681093394077445</c:v>
                </c:pt>
                <c:pt idx="442">
                  <c:v>0.59772727272727277</c:v>
                </c:pt>
                <c:pt idx="443">
                  <c:v>0.59863945578231292</c:v>
                </c:pt>
                <c:pt idx="444">
                  <c:v>0.59954751131221717</c:v>
                </c:pt>
                <c:pt idx="445">
                  <c:v>0.59819413092550788</c:v>
                </c:pt>
                <c:pt idx="446">
                  <c:v>0.59909909909909909</c:v>
                </c:pt>
                <c:pt idx="447">
                  <c:v>0.6</c:v>
                </c:pt>
                <c:pt idx="448">
                  <c:v>0.59865470852017932</c:v>
                </c:pt>
                <c:pt idx="449">
                  <c:v>0.59731543624161076</c:v>
                </c:pt>
                <c:pt idx="450">
                  <c:v>0.5982142857142857</c:v>
                </c:pt>
                <c:pt idx="451">
                  <c:v>0.5968819599109132</c:v>
                </c:pt>
                <c:pt idx="452">
                  <c:v>0.59777777777777774</c:v>
                </c:pt>
                <c:pt idx="453">
                  <c:v>0.59866962305986693</c:v>
                </c:pt>
                <c:pt idx="454">
                  <c:v>0.59955752212389379</c:v>
                </c:pt>
                <c:pt idx="455">
                  <c:v>0.60044150110375272</c:v>
                </c:pt>
                <c:pt idx="456">
                  <c:v>0.59911894273127753</c:v>
                </c:pt>
                <c:pt idx="457">
                  <c:v>0.6</c:v>
                </c:pt>
                <c:pt idx="458">
                  <c:v>0.59868421052631582</c:v>
                </c:pt>
                <c:pt idx="459">
                  <c:v>0.59737417943107218</c:v>
                </c:pt>
                <c:pt idx="460">
                  <c:v>0.59825327510917026</c:v>
                </c:pt>
                <c:pt idx="461">
                  <c:v>0.59912854030501095</c:v>
                </c:pt>
                <c:pt idx="462">
                  <c:v>0.6</c:v>
                </c:pt>
                <c:pt idx="463">
                  <c:v>0.59869848156182215</c:v>
                </c:pt>
                <c:pt idx="464">
                  <c:v>0.59740259740259738</c:v>
                </c:pt>
                <c:pt idx="465">
                  <c:v>0.59611231101511875</c:v>
                </c:pt>
                <c:pt idx="466">
                  <c:v>0.59482758620689657</c:v>
                </c:pt>
                <c:pt idx="467">
                  <c:v>0.5956989247311828</c:v>
                </c:pt>
                <c:pt idx="468">
                  <c:v>0.59656652360515017</c:v>
                </c:pt>
                <c:pt idx="469">
                  <c:v>0.59528907922912211</c:v>
                </c:pt>
                <c:pt idx="470">
                  <c:v>0.59615384615384615</c:v>
                </c:pt>
                <c:pt idx="471">
                  <c:v>0.59488272921108742</c:v>
                </c:pt>
                <c:pt idx="472">
                  <c:v>0.5957446808510638</c:v>
                </c:pt>
                <c:pt idx="473">
                  <c:v>0.59447983014861994</c:v>
                </c:pt>
                <c:pt idx="474">
                  <c:v>0.59533898305084743</c:v>
                </c:pt>
                <c:pt idx="475">
                  <c:v>0.59619450317124734</c:v>
                </c:pt>
                <c:pt idx="476">
                  <c:v>0.59704641350210974</c:v>
                </c:pt>
                <c:pt idx="477">
                  <c:v>0.59789473684210526</c:v>
                </c:pt>
                <c:pt idx="478">
                  <c:v>0.59873949579831931</c:v>
                </c:pt>
                <c:pt idx="479">
                  <c:v>0.59958071278825997</c:v>
                </c:pt>
                <c:pt idx="480">
                  <c:v>0.59832635983263593</c:v>
                </c:pt>
                <c:pt idx="481">
                  <c:v>0.59707724425887265</c:v>
                </c:pt>
                <c:pt idx="482">
                  <c:v>0.59583333333333333</c:v>
                </c:pt>
                <c:pt idx="483">
                  <c:v>0.59667359667359665</c:v>
                </c:pt>
                <c:pt idx="484">
                  <c:v>0.5954356846473029</c:v>
                </c:pt>
                <c:pt idx="485">
                  <c:v>0.59627329192546585</c:v>
                </c:pt>
                <c:pt idx="486">
                  <c:v>0.5950413223140496</c:v>
                </c:pt>
                <c:pt idx="487">
                  <c:v>0.59587628865979381</c:v>
                </c:pt>
                <c:pt idx="488">
                  <c:v>0.5967078189300411</c:v>
                </c:pt>
                <c:pt idx="489">
                  <c:v>0.59753593429158114</c:v>
                </c:pt>
                <c:pt idx="490">
                  <c:v>0.59836065573770492</c:v>
                </c:pt>
                <c:pt idx="491">
                  <c:v>0.59918200408997957</c:v>
                </c:pt>
                <c:pt idx="492">
                  <c:v>0.6</c:v>
                </c:pt>
                <c:pt idx="493">
                  <c:v>0.60081466395112015</c:v>
                </c:pt>
                <c:pt idx="494">
                  <c:v>0.60162601626016265</c:v>
                </c:pt>
                <c:pt idx="495">
                  <c:v>0.60243407707910746</c:v>
                </c:pt>
                <c:pt idx="496">
                  <c:v>0.60323886639676116</c:v>
                </c:pt>
                <c:pt idx="497">
                  <c:v>0.60202020202020201</c:v>
                </c:pt>
                <c:pt idx="498">
                  <c:v>0.60282258064516125</c:v>
                </c:pt>
                <c:pt idx="499">
                  <c:v>0.60362173038229372</c:v>
                </c:pt>
                <c:pt idx="500">
                  <c:v>0.60441767068273089</c:v>
                </c:pt>
                <c:pt idx="501">
                  <c:v>0.60521042084168342</c:v>
                </c:pt>
                <c:pt idx="502">
                  <c:v>0.60399999999999998</c:v>
                </c:pt>
                <c:pt idx="503">
                  <c:v>0.60479041916167664</c:v>
                </c:pt>
                <c:pt idx="504">
                  <c:v>0.60557768924302791</c:v>
                </c:pt>
                <c:pt idx="505">
                  <c:v>0.60437375745526833</c:v>
                </c:pt>
                <c:pt idx="506">
                  <c:v>0.60317460317460314</c:v>
                </c:pt>
                <c:pt idx="507">
                  <c:v>0.60396039603960394</c:v>
                </c:pt>
                <c:pt idx="508">
                  <c:v>0.60474308300395252</c:v>
                </c:pt>
                <c:pt idx="509">
                  <c:v>0.60552268244575935</c:v>
                </c:pt>
                <c:pt idx="510">
                  <c:v>0.60433070866141736</c:v>
                </c:pt>
                <c:pt idx="511">
                  <c:v>0.60314341846758346</c:v>
                </c:pt>
                <c:pt idx="512">
                  <c:v>0.60392156862745094</c:v>
                </c:pt>
                <c:pt idx="513">
                  <c:v>0.60273972602739723</c:v>
                </c:pt>
                <c:pt idx="514">
                  <c:v>0.6015625</c:v>
                </c:pt>
                <c:pt idx="515">
                  <c:v>0.60233918128654973</c:v>
                </c:pt>
                <c:pt idx="516">
                  <c:v>0.60311284046692604</c:v>
                </c:pt>
                <c:pt idx="517">
                  <c:v>0.60194174757281549</c:v>
                </c:pt>
                <c:pt idx="518">
                  <c:v>0.6027131782945736</c:v>
                </c:pt>
                <c:pt idx="519">
                  <c:v>0.60348162475822054</c:v>
                </c:pt>
                <c:pt idx="520">
                  <c:v>0.60424710424710426</c:v>
                </c:pt>
                <c:pt idx="521">
                  <c:v>0.60308285163776498</c:v>
                </c:pt>
                <c:pt idx="522">
                  <c:v>0.60192307692307689</c:v>
                </c:pt>
                <c:pt idx="523">
                  <c:v>0.60268714011516311</c:v>
                </c:pt>
                <c:pt idx="524">
                  <c:v>0.6015325670498084</c:v>
                </c:pt>
                <c:pt idx="525">
                  <c:v>0.60229445506692159</c:v>
                </c:pt>
                <c:pt idx="526">
                  <c:v>0.60305343511450382</c:v>
                </c:pt>
                <c:pt idx="527">
                  <c:v>0.60190476190476194</c:v>
                </c:pt>
                <c:pt idx="528">
                  <c:v>0.60076045627376429</c:v>
                </c:pt>
                <c:pt idx="529">
                  <c:v>0.59962049335863377</c:v>
                </c:pt>
                <c:pt idx="530">
                  <c:v>0.60037878787878785</c:v>
                </c:pt>
                <c:pt idx="531">
                  <c:v>0.59924385633270316</c:v>
                </c:pt>
                <c:pt idx="532">
                  <c:v>0.6</c:v>
                </c:pt>
                <c:pt idx="533">
                  <c:v>0.60075329566854996</c:v>
                </c:pt>
                <c:pt idx="534">
                  <c:v>0.59962406015037595</c:v>
                </c:pt>
                <c:pt idx="535">
                  <c:v>0.60037523452157604</c:v>
                </c:pt>
                <c:pt idx="536">
                  <c:v>0.601123595505618</c:v>
                </c:pt>
                <c:pt idx="537">
                  <c:v>0.60186915887850467</c:v>
                </c:pt>
                <c:pt idx="538">
                  <c:v>0.60261194029850751</c:v>
                </c:pt>
                <c:pt idx="539">
                  <c:v>0.6014897579143389</c:v>
                </c:pt>
                <c:pt idx="540">
                  <c:v>0.60223048327137552</c:v>
                </c:pt>
                <c:pt idx="541">
                  <c:v>0.60296846011131722</c:v>
                </c:pt>
                <c:pt idx="542">
                  <c:v>0.60185185185185186</c:v>
                </c:pt>
                <c:pt idx="543">
                  <c:v>0.60073937153419599</c:v>
                </c:pt>
                <c:pt idx="544">
                  <c:v>0.59963099630996308</c:v>
                </c:pt>
                <c:pt idx="545">
                  <c:v>0.60036832412523022</c:v>
                </c:pt>
                <c:pt idx="546">
                  <c:v>0.60110294117647056</c:v>
                </c:pt>
                <c:pt idx="547">
                  <c:v>0.60183486238532113</c:v>
                </c:pt>
                <c:pt idx="548">
                  <c:v>0.60073260073260071</c:v>
                </c:pt>
                <c:pt idx="549">
                  <c:v>0.60146252285191959</c:v>
                </c:pt>
                <c:pt idx="550">
                  <c:v>0.60036496350364965</c:v>
                </c:pt>
                <c:pt idx="551">
                  <c:v>0.60109289617486339</c:v>
                </c:pt>
                <c:pt idx="552">
                  <c:v>0.60181818181818181</c:v>
                </c:pt>
                <c:pt idx="553">
                  <c:v>0.60254083484573506</c:v>
                </c:pt>
                <c:pt idx="554">
                  <c:v>0.60326086956521741</c:v>
                </c:pt>
                <c:pt idx="555">
                  <c:v>0.60216998191681737</c:v>
                </c:pt>
                <c:pt idx="556">
                  <c:v>0.60108303249097472</c:v>
                </c:pt>
                <c:pt idx="557">
                  <c:v>0.60180180180180176</c:v>
                </c:pt>
                <c:pt idx="558">
                  <c:v>0.60251798561151082</c:v>
                </c:pt>
                <c:pt idx="559">
                  <c:v>0.60323159784560143</c:v>
                </c:pt>
                <c:pt idx="560">
                  <c:v>0.60394265232974909</c:v>
                </c:pt>
                <c:pt idx="561">
                  <c:v>0.60465116279069764</c:v>
                </c:pt>
                <c:pt idx="562">
                  <c:v>0.60357142857142854</c:v>
                </c:pt>
                <c:pt idx="563">
                  <c:v>0.6024955436720143</c:v>
                </c:pt>
                <c:pt idx="564">
                  <c:v>0.60142348754448394</c:v>
                </c:pt>
                <c:pt idx="565">
                  <c:v>0.60035523978685612</c:v>
                </c:pt>
                <c:pt idx="566">
                  <c:v>0.599290780141844</c:v>
                </c:pt>
                <c:pt idx="567">
                  <c:v>0.59823008849557524</c:v>
                </c:pt>
                <c:pt idx="568">
                  <c:v>0.59893992932862195</c:v>
                </c:pt>
                <c:pt idx="569">
                  <c:v>0.59788359788359791</c:v>
                </c:pt>
                <c:pt idx="570">
                  <c:v>0.596830985915493</c:v>
                </c:pt>
                <c:pt idx="571">
                  <c:v>0.59578207381370829</c:v>
                </c:pt>
                <c:pt idx="572">
                  <c:v>0.59473684210526312</c:v>
                </c:pt>
                <c:pt idx="573">
                  <c:v>0.59369527145359025</c:v>
                </c:pt>
                <c:pt idx="574">
                  <c:v>0.59265734265734271</c:v>
                </c:pt>
                <c:pt idx="575">
                  <c:v>0.59336823734729494</c:v>
                </c:pt>
                <c:pt idx="576">
                  <c:v>0.59407665505226481</c:v>
                </c:pt>
                <c:pt idx="577">
                  <c:v>0.59478260869565214</c:v>
                </c:pt>
                <c:pt idx="578">
                  <c:v>0.59375</c:v>
                </c:pt>
                <c:pt idx="579">
                  <c:v>0.59445407279029461</c:v>
                </c:pt>
                <c:pt idx="580">
                  <c:v>0.59515570934256057</c:v>
                </c:pt>
                <c:pt idx="581">
                  <c:v>0.59585492227979275</c:v>
                </c:pt>
                <c:pt idx="582">
                  <c:v>0.59482758620689657</c:v>
                </c:pt>
                <c:pt idx="583">
                  <c:v>0.59552495697074015</c:v>
                </c:pt>
                <c:pt idx="584">
                  <c:v>0.59450171821305842</c:v>
                </c:pt>
                <c:pt idx="585">
                  <c:v>0.59519725557461411</c:v>
                </c:pt>
                <c:pt idx="586">
                  <c:v>0.59417808219178081</c:v>
                </c:pt>
                <c:pt idx="587">
                  <c:v>0.59487179487179487</c:v>
                </c:pt>
                <c:pt idx="588">
                  <c:v>0.59556313993174059</c:v>
                </c:pt>
                <c:pt idx="589">
                  <c:v>0.59454855195911416</c:v>
                </c:pt>
                <c:pt idx="590">
                  <c:v>0.59523809523809523</c:v>
                </c:pt>
                <c:pt idx="591">
                  <c:v>0.59592529711375208</c:v>
                </c:pt>
                <c:pt idx="592">
                  <c:v>0.59661016949152545</c:v>
                </c:pt>
                <c:pt idx="593">
                  <c:v>0.59729272419627755</c:v>
                </c:pt>
                <c:pt idx="594">
                  <c:v>0.59628378378378377</c:v>
                </c:pt>
                <c:pt idx="595">
                  <c:v>0.59696458684654297</c:v>
                </c:pt>
                <c:pt idx="596">
                  <c:v>0.59764309764309764</c:v>
                </c:pt>
                <c:pt idx="597">
                  <c:v>0.59831932773109242</c:v>
                </c:pt>
                <c:pt idx="598">
                  <c:v>0.59731543624161076</c:v>
                </c:pt>
                <c:pt idx="599">
                  <c:v>0.59631490787269681</c:v>
                </c:pt>
                <c:pt idx="600">
                  <c:v>0.59698996655518399</c:v>
                </c:pt>
                <c:pt idx="601">
                  <c:v>0.59599332220367274</c:v>
                </c:pt>
                <c:pt idx="602">
                  <c:v>0.59499999999999997</c:v>
                </c:pt>
                <c:pt idx="603">
                  <c:v>0.59567387687188023</c:v>
                </c:pt>
                <c:pt idx="604">
                  <c:v>0.59468438538205981</c:v>
                </c:pt>
                <c:pt idx="605">
                  <c:v>0.59369817578772799</c:v>
                </c:pt>
                <c:pt idx="606">
                  <c:v>0.5943708609271523</c:v>
                </c:pt>
                <c:pt idx="607">
                  <c:v>0.59338842975206607</c:v>
                </c:pt>
                <c:pt idx="608">
                  <c:v>0.59240924092409242</c:v>
                </c:pt>
                <c:pt idx="609">
                  <c:v>0.59308072487644148</c:v>
                </c:pt>
                <c:pt idx="610">
                  <c:v>0.59210526315789469</c:v>
                </c:pt>
                <c:pt idx="611">
                  <c:v>0.59113300492610843</c:v>
                </c:pt>
                <c:pt idx="612">
                  <c:v>0.59180327868852456</c:v>
                </c:pt>
                <c:pt idx="613">
                  <c:v>0.59247135842880527</c:v>
                </c:pt>
                <c:pt idx="614">
                  <c:v>0.59150326797385622</c:v>
                </c:pt>
                <c:pt idx="615">
                  <c:v>0.59216965742251226</c:v>
                </c:pt>
                <c:pt idx="616">
                  <c:v>0.59283387622149841</c:v>
                </c:pt>
                <c:pt idx="617">
                  <c:v>0.5934959349593496</c:v>
                </c:pt>
                <c:pt idx="618">
                  <c:v>0.5941558441558441</c:v>
                </c:pt>
                <c:pt idx="619">
                  <c:v>0.59319286871961097</c:v>
                </c:pt>
                <c:pt idx="620">
                  <c:v>0.59385113268608414</c:v>
                </c:pt>
                <c:pt idx="621">
                  <c:v>0.59289176090468498</c:v>
                </c:pt>
                <c:pt idx="622">
                  <c:v>0.59193548387096773</c:v>
                </c:pt>
                <c:pt idx="623">
                  <c:v>0.59098228663446051</c:v>
                </c:pt>
                <c:pt idx="624">
                  <c:v>0.590032154340836</c:v>
                </c:pt>
                <c:pt idx="625">
                  <c:v>0.5906902086677368</c:v>
                </c:pt>
                <c:pt idx="626">
                  <c:v>0.59134615384615385</c:v>
                </c:pt>
                <c:pt idx="627">
                  <c:v>0.59199999999999997</c:v>
                </c:pt>
                <c:pt idx="628">
                  <c:v>0.59265175718849838</c:v>
                </c:pt>
                <c:pt idx="629">
                  <c:v>0.59330143540669855</c:v>
                </c:pt>
                <c:pt idx="630">
                  <c:v>0.5939490445859873</c:v>
                </c:pt>
                <c:pt idx="631">
                  <c:v>0.59459459459459463</c:v>
                </c:pt>
                <c:pt idx="632">
                  <c:v>0.59523809523809523</c:v>
                </c:pt>
                <c:pt idx="633">
                  <c:v>0.59429477020602217</c:v>
                </c:pt>
                <c:pt idx="634">
                  <c:v>0.59335443037974689</c:v>
                </c:pt>
                <c:pt idx="635">
                  <c:v>0.59399684044233803</c:v>
                </c:pt>
                <c:pt idx="636">
                  <c:v>0.59463722397476337</c:v>
                </c:pt>
                <c:pt idx="637">
                  <c:v>0.59370078740157484</c:v>
                </c:pt>
                <c:pt idx="638">
                  <c:v>0.59433962264150941</c:v>
                </c:pt>
                <c:pt idx="639">
                  <c:v>0.59340659340659341</c:v>
                </c:pt>
                <c:pt idx="640">
                  <c:v>0.59247648902821315</c:v>
                </c:pt>
                <c:pt idx="641">
                  <c:v>0.59154929577464788</c:v>
                </c:pt>
                <c:pt idx="642">
                  <c:v>0.59062499999999996</c:v>
                </c:pt>
                <c:pt idx="643">
                  <c:v>0.59126365054602181</c:v>
                </c:pt>
                <c:pt idx="644">
                  <c:v>0.59190031152647971</c:v>
                </c:pt>
                <c:pt idx="645">
                  <c:v>0.59253499222395023</c:v>
                </c:pt>
                <c:pt idx="646">
                  <c:v>0.59316770186335399</c:v>
                </c:pt>
                <c:pt idx="647">
                  <c:v>0.59379844961240313</c:v>
                </c:pt>
                <c:pt idx="648">
                  <c:v>0.59442724458204332</c:v>
                </c:pt>
                <c:pt idx="649">
                  <c:v>0.59505409582689339</c:v>
                </c:pt>
                <c:pt idx="650">
                  <c:v>0.59567901234567899</c:v>
                </c:pt>
                <c:pt idx="651">
                  <c:v>0.59630200308166414</c:v>
                </c:pt>
                <c:pt idx="652">
                  <c:v>0.59692307692307689</c:v>
                </c:pt>
                <c:pt idx="653">
                  <c:v>0.59600614439324118</c:v>
                </c:pt>
                <c:pt idx="654">
                  <c:v>0.59662576687116564</c:v>
                </c:pt>
                <c:pt idx="655">
                  <c:v>0.59724349157733536</c:v>
                </c:pt>
                <c:pt idx="656">
                  <c:v>0.59633027522935778</c:v>
                </c:pt>
                <c:pt idx="657">
                  <c:v>0.59694656488549613</c:v>
                </c:pt>
                <c:pt idx="658">
                  <c:v>0.59756097560975607</c:v>
                </c:pt>
                <c:pt idx="659">
                  <c:v>0.59665144596651443</c:v>
                </c:pt>
                <c:pt idx="660">
                  <c:v>0.59726443768996962</c:v>
                </c:pt>
                <c:pt idx="661">
                  <c:v>0.59635811836115327</c:v>
                </c:pt>
                <c:pt idx="662">
                  <c:v>0.59545454545454546</c:v>
                </c:pt>
                <c:pt idx="663">
                  <c:v>0.59606656580937978</c:v>
                </c:pt>
                <c:pt idx="664">
                  <c:v>0.59667673716012082</c:v>
                </c:pt>
                <c:pt idx="665">
                  <c:v>0.59577677224736048</c:v>
                </c:pt>
                <c:pt idx="666">
                  <c:v>0.59638554216867468</c:v>
                </c:pt>
                <c:pt idx="667">
                  <c:v>0.59548872180451129</c:v>
                </c:pt>
                <c:pt idx="668">
                  <c:v>0.59459459459459463</c:v>
                </c:pt>
                <c:pt idx="669">
                  <c:v>0.59520239880059966</c:v>
                </c:pt>
                <c:pt idx="670">
                  <c:v>0.59580838323353291</c:v>
                </c:pt>
                <c:pt idx="671">
                  <c:v>0.59491778774289983</c:v>
                </c:pt>
                <c:pt idx="672">
                  <c:v>0.59552238805970148</c:v>
                </c:pt>
                <c:pt idx="673">
                  <c:v>0.5961251862891207</c:v>
                </c:pt>
                <c:pt idx="674">
                  <c:v>0.59672619047619047</c:v>
                </c:pt>
                <c:pt idx="675">
                  <c:v>0.59583952451708766</c:v>
                </c:pt>
                <c:pt idx="676">
                  <c:v>0.59643916913946593</c:v>
                </c:pt>
                <c:pt idx="677">
                  <c:v>0.59703703703703703</c:v>
                </c:pt>
                <c:pt idx="678">
                  <c:v>0.59615384615384615</c:v>
                </c:pt>
                <c:pt idx="679">
                  <c:v>0.59675036927621861</c:v>
                </c:pt>
                <c:pt idx="680">
                  <c:v>0.59734513274336287</c:v>
                </c:pt>
                <c:pt idx="681">
                  <c:v>0.59793814432989689</c:v>
                </c:pt>
                <c:pt idx="682">
                  <c:v>0.59852941176470587</c:v>
                </c:pt>
                <c:pt idx="683">
                  <c:v>0.59911894273127753</c:v>
                </c:pt>
                <c:pt idx="684">
                  <c:v>0.59970674486803521</c:v>
                </c:pt>
                <c:pt idx="685">
                  <c:v>0.6002928257686676</c:v>
                </c:pt>
                <c:pt idx="686">
                  <c:v>0.60087719298245612</c:v>
                </c:pt>
                <c:pt idx="687">
                  <c:v>0.60145985401459856</c:v>
                </c:pt>
                <c:pt idx="688">
                  <c:v>0.6005830903790087</c:v>
                </c:pt>
                <c:pt idx="689">
                  <c:v>0.60116448326055316</c:v>
                </c:pt>
                <c:pt idx="690">
                  <c:v>0.60029069767441856</c:v>
                </c:pt>
                <c:pt idx="691">
                  <c:v>0.60087082728592167</c:v>
                </c:pt>
                <c:pt idx="692">
                  <c:v>0.60144927536231885</c:v>
                </c:pt>
                <c:pt idx="693">
                  <c:v>0.60202604920405212</c:v>
                </c:pt>
                <c:pt idx="694">
                  <c:v>0.60115606936416188</c:v>
                </c:pt>
                <c:pt idx="695">
                  <c:v>0.60173160173160178</c:v>
                </c:pt>
                <c:pt idx="696">
                  <c:v>0.60086455331412103</c:v>
                </c:pt>
                <c:pt idx="697">
                  <c:v>0.6014388489208633</c:v>
                </c:pt>
                <c:pt idx="698">
                  <c:v>0.60201149425287359</c:v>
                </c:pt>
                <c:pt idx="699">
                  <c:v>0.60258249641319939</c:v>
                </c:pt>
                <c:pt idx="700">
                  <c:v>0.6031518624641834</c:v>
                </c:pt>
                <c:pt idx="701">
                  <c:v>0.60371959942775388</c:v>
                </c:pt>
                <c:pt idx="702">
                  <c:v>0.60428571428571431</c:v>
                </c:pt>
                <c:pt idx="703">
                  <c:v>0.60485021398002858</c:v>
                </c:pt>
                <c:pt idx="704">
                  <c:v>0.60541310541310545</c:v>
                </c:pt>
                <c:pt idx="705">
                  <c:v>0.60597439544807963</c:v>
                </c:pt>
                <c:pt idx="706">
                  <c:v>0.60653409090909094</c:v>
                </c:pt>
                <c:pt idx="707">
                  <c:v>0.60709219858156027</c:v>
                </c:pt>
                <c:pt idx="708">
                  <c:v>0.6076487252124646</c:v>
                </c:pt>
                <c:pt idx="709">
                  <c:v>0.60820367751060822</c:v>
                </c:pt>
                <c:pt idx="710">
                  <c:v>0.60875706214689262</c:v>
                </c:pt>
                <c:pt idx="711">
                  <c:v>0.60930888575458397</c:v>
                </c:pt>
                <c:pt idx="712">
                  <c:v>0.60845070422535208</c:v>
                </c:pt>
                <c:pt idx="713">
                  <c:v>0.60900140646976086</c:v>
                </c:pt>
                <c:pt idx="714">
                  <c:v>0.6081460674157303</c:v>
                </c:pt>
                <c:pt idx="715">
                  <c:v>0.60729312762973353</c:v>
                </c:pt>
                <c:pt idx="716">
                  <c:v>0.60644257703081228</c:v>
                </c:pt>
                <c:pt idx="717">
                  <c:v>0.60699300699300696</c:v>
                </c:pt>
                <c:pt idx="718">
                  <c:v>0.60754189944134074</c:v>
                </c:pt>
                <c:pt idx="719">
                  <c:v>0.60808926080892611</c:v>
                </c:pt>
                <c:pt idx="720">
                  <c:v>0.60863509749303624</c:v>
                </c:pt>
                <c:pt idx="721">
                  <c:v>0.60778859527120999</c:v>
                </c:pt>
                <c:pt idx="722">
                  <c:v>0.6069444444444444</c:v>
                </c:pt>
                <c:pt idx="723">
                  <c:v>0.60748959778085987</c:v>
                </c:pt>
                <c:pt idx="724">
                  <c:v>0.60803324099722988</c:v>
                </c:pt>
                <c:pt idx="725">
                  <c:v>0.60857538035961267</c:v>
                </c:pt>
                <c:pt idx="726">
                  <c:v>0.60911602209944748</c:v>
                </c:pt>
                <c:pt idx="727">
                  <c:v>0.60965517241379308</c:v>
                </c:pt>
                <c:pt idx="728">
                  <c:v>0.60881542699724522</c:v>
                </c:pt>
                <c:pt idx="729">
                  <c:v>0.60935350756533702</c:v>
                </c:pt>
                <c:pt idx="730">
                  <c:v>0.60851648351648346</c:v>
                </c:pt>
                <c:pt idx="731">
                  <c:v>0.60905349794238683</c:v>
                </c:pt>
                <c:pt idx="732">
                  <c:v>0.60821917808219184</c:v>
                </c:pt>
                <c:pt idx="733">
                  <c:v>0.60875512995896031</c:v>
                </c:pt>
                <c:pt idx="734">
                  <c:v>0.60928961748633881</c:v>
                </c:pt>
                <c:pt idx="735">
                  <c:v>0.60982264665757158</c:v>
                </c:pt>
                <c:pt idx="736">
                  <c:v>0.61035422343324253</c:v>
                </c:pt>
                <c:pt idx="737">
                  <c:v>0.61088435374149663</c:v>
                </c:pt>
                <c:pt idx="738">
                  <c:v>0.61141304347826086</c:v>
                </c:pt>
                <c:pt idx="739">
                  <c:v>0.61194029850746268</c:v>
                </c:pt>
                <c:pt idx="740">
                  <c:v>0.61111111111111116</c:v>
                </c:pt>
                <c:pt idx="741">
                  <c:v>0.6102841677943166</c:v>
                </c:pt>
                <c:pt idx="742">
                  <c:v>0.60945945945945945</c:v>
                </c:pt>
                <c:pt idx="743">
                  <c:v>0.60998650472334681</c:v>
                </c:pt>
                <c:pt idx="744">
                  <c:v>0.61051212938005395</c:v>
                </c:pt>
                <c:pt idx="745">
                  <c:v>0.60969044414535667</c:v>
                </c:pt>
                <c:pt idx="746">
                  <c:v>0.61021505376344087</c:v>
                </c:pt>
                <c:pt idx="747">
                  <c:v>0.61073825503355705</c:v>
                </c:pt>
                <c:pt idx="748">
                  <c:v>0.60991957104557637</c:v>
                </c:pt>
                <c:pt idx="749">
                  <c:v>0.60910307898259708</c:v>
                </c:pt>
                <c:pt idx="750">
                  <c:v>0.60828877005347592</c:v>
                </c:pt>
                <c:pt idx="751">
                  <c:v>0.60747663551401865</c:v>
                </c:pt>
                <c:pt idx="752">
                  <c:v>0.60799999999999998</c:v>
                </c:pt>
                <c:pt idx="753">
                  <c:v>0.60852197070572567</c:v>
                </c:pt>
                <c:pt idx="754">
                  <c:v>0.60771276595744683</c:v>
                </c:pt>
                <c:pt idx="755">
                  <c:v>0.60690571049136788</c:v>
                </c:pt>
                <c:pt idx="756">
                  <c:v>0.60742705570291777</c:v>
                </c:pt>
                <c:pt idx="757">
                  <c:v>0.60794701986754962</c:v>
                </c:pt>
                <c:pt idx="758">
                  <c:v>0.6071428571428571</c:v>
                </c:pt>
                <c:pt idx="759">
                  <c:v>0.60634081902245707</c:v>
                </c:pt>
                <c:pt idx="760">
                  <c:v>0.60554089709762537</c:v>
                </c:pt>
                <c:pt idx="761">
                  <c:v>0.60606060606060608</c:v>
                </c:pt>
                <c:pt idx="762">
                  <c:v>0.60657894736842111</c:v>
                </c:pt>
                <c:pt idx="763">
                  <c:v>0.60709592641261501</c:v>
                </c:pt>
                <c:pt idx="764">
                  <c:v>0.6076115485564304</c:v>
                </c:pt>
                <c:pt idx="765">
                  <c:v>0.60681520314547832</c:v>
                </c:pt>
                <c:pt idx="766">
                  <c:v>0.60732984293193715</c:v>
                </c:pt>
                <c:pt idx="767">
                  <c:v>0.60784313725490191</c:v>
                </c:pt>
                <c:pt idx="768">
                  <c:v>0.60835509138381205</c:v>
                </c:pt>
                <c:pt idx="769">
                  <c:v>0.60886571056062577</c:v>
                </c:pt>
                <c:pt idx="770">
                  <c:v>0.60807291666666663</c:v>
                </c:pt>
                <c:pt idx="771">
                  <c:v>0.60728218465539663</c:v>
                </c:pt>
                <c:pt idx="772">
                  <c:v>0.60649350649350653</c:v>
                </c:pt>
                <c:pt idx="773">
                  <c:v>0.60700389105058361</c:v>
                </c:pt>
                <c:pt idx="774">
                  <c:v>0.6075129533678757</c:v>
                </c:pt>
                <c:pt idx="775">
                  <c:v>0.60802069857697283</c:v>
                </c:pt>
                <c:pt idx="776">
                  <c:v>0.60723514211886309</c:v>
                </c:pt>
                <c:pt idx="777">
                  <c:v>0.60774193548387101</c:v>
                </c:pt>
                <c:pt idx="778">
                  <c:v>0.60824742268041232</c:v>
                </c:pt>
                <c:pt idx="779">
                  <c:v>0.60875160875160872</c:v>
                </c:pt>
                <c:pt idx="780">
                  <c:v>0.60925449871465298</c:v>
                </c:pt>
                <c:pt idx="781">
                  <c:v>0.6097560975609756</c:v>
                </c:pt>
                <c:pt idx="782">
                  <c:v>0.60897435897435892</c:v>
                </c:pt>
                <c:pt idx="783">
                  <c:v>0.60947503201024322</c:v>
                </c:pt>
                <c:pt idx="784">
                  <c:v>0.60997442455242967</c:v>
                </c:pt>
                <c:pt idx="785">
                  <c:v>0.61047254150702424</c:v>
                </c:pt>
                <c:pt idx="786">
                  <c:v>0.61096938775510201</c:v>
                </c:pt>
                <c:pt idx="787">
                  <c:v>0.61019108280254775</c:v>
                </c:pt>
                <c:pt idx="788">
                  <c:v>0.61068702290076338</c:v>
                </c:pt>
                <c:pt idx="789">
                  <c:v>0.60991105463786532</c:v>
                </c:pt>
                <c:pt idx="790">
                  <c:v>0.61040609137055835</c:v>
                </c:pt>
                <c:pt idx="791">
                  <c:v>0.60963244613434731</c:v>
                </c:pt>
                <c:pt idx="792">
                  <c:v>0.60886075949367091</c:v>
                </c:pt>
                <c:pt idx="793">
                  <c:v>0.60935524652338813</c:v>
                </c:pt>
                <c:pt idx="794">
                  <c:v>0.60858585858585856</c:v>
                </c:pt>
                <c:pt idx="795">
                  <c:v>0.60907944514501888</c:v>
                </c:pt>
                <c:pt idx="796">
                  <c:v>0.60957178841309823</c:v>
                </c:pt>
                <c:pt idx="797">
                  <c:v>0.60880503144654086</c:v>
                </c:pt>
                <c:pt idx="798">
                  <c:v>0.60804020100502509</c:v>
                </c:pt>
                <c:pt idx="799">
                  <c:v>0.60853199498117938</c:v>
                </c:pt>
                <c:pt idx="800">
                  <c:v>0.60776942355889729</c:v>
                </c:pt>
                <c:pt idx="801">
                  <c:v>0.60826032540675845</c:v>
                </c:pt>
                <c:pt idx="802">
                  <c:v>0.60875000000000001</c:v>
                </c:pt>
                <c:pt idx="803">
                  <c:v>0.60923845193508119</c:v>
                </c:pt>
                <c:pt idx="804">
                  <c:v>0.60972568578553621</c:v>
                </c:pt>
                <c:pt idx="805">
                  <c:v>0.61021170610211706</c:v>
                </c:pt>
                <c:pt idx="806">
                  <c:v>0.61069651741293529</c:v>
                </c:pt>
                <c:pt idx="807">
                  <c:v>0.61118012422360246</c:v>
                </c:pt>
                <c:pt idx="808">
                  <c:v>0.61166253101736978</c:v>
                </c:pt>
                <c:pt idx="809">
                  <c:v>0.61214374225526647</c:v>
                </c:pt>
                <c:pt idx="810">
                  <c:v>0.61138613861386137</c:v>
                </c:pt>
                <c:pt idx="811">
                  <c:v>0.61063040791100121</c:v>
                </c:pt>
                <c:pt idx="812">
                  <c:v>0.61111111111111116</c:v>
                </c:pt>
                <c:pt idx="813">
                  <c:v>0.61159062885326754</c:v>
                </c:pt>
                <c:pt idx="814">
                  <c:v>0.61083743842364535</c:v>
                </c:pt>
                <c:pt idx="815">
                  <c:v>0.61131611316113166</c:v>
                </c:pt>
                <c:pt idx="816">
                  <c:v>0.61056511056511054</c:v>
                </c:pt>
                <c:pt idx="817">
                  <c:v>0.6110429447852761</c:v>
                </c:pt>
                <c:pt idx="818">
                  <c:v>0.61029411764705888</c:v>
                </c:pt>
                <c:pt idx="819">
                  <c:v>0.6107711138310894</c:v>
                </c:pt>
                <c:pt idx="820">
                  <c:v>0.61124694376528121</c:v>
                </c:pt>
                <c:pt idx="821">
                  <c:v>0.61172161172161177</c:v>
                </c:pt>
                <c:pt idx="822">
                  <c:v>0.6121951219512195</c:v>
                </c:pt>
                <c:pt idx="823">
                  <c:v>0.61144945188794153</c:v>
                </c:pt>
                <c:pt idx="824">
                  <c:v>0.61192214111922139</c:v>
                </c:pt>
                <c:pt idx="825">
                  <c:v>0.61239368165249086</c:v>
                </c:pt>
                <c:pt idx="826">
                  <c:v>0.61165048543689315</c:v>
                </c:pt>
                <c:pt idx="827">
                  <c:v>0.61212121212121207</c:v>
                </c:pt>
                <c:pt idx="828">
                  <c:v>0.61138014527845042</c:v>
                </c:pt>
                <c:pt idx="829">
                  <c:v>0.6118500604594922</c:v>
                </c:pt>
                <c:pt idx="830">
                  <c:v>0.6123188405797102</c:v>
                </c:pt>
                <c:pt idx="831">
                  <c:v>0.61278648974668271</c:v>
                </c:pt>
                <c:pt idx="832">
                  <c:v>0.61325301204819282</c:v>
                </c:pt>
                <c:pt idx="833">
                  <c:v>0.61251504211793018</c:v>
                </c:pt>
                <c:pt idx="834">
                  <c:v>0.61177884615384615</c:v>
                </c:pt>
                <c:pt idx="835">
                  <c:v>0.61104441776710683</c:v>
                </c:pt>
                <c:pt idx="836">
                  <c:v>0.61151079136690645</c:v>
                </c:pt>
                <c:pt idx="837">
                  <c:v>0.6107784431137725</c:v>
                </c:pt>
                <c:pt idx="838">
                  <c:v>0.61004784688995217</c:v>
                </c:pt>
                <c:pt idx="839">
                  <c:v>0.60931899641577059</c:v>
                </c:pt>
                <c:pt idx="840">
                  <c:v>0.60978520286396176</c:v>
                </c:pt>
                <c:pt idx="841">
                  <c:v>0.61025029797377828</c:v>
                </c:pt>
                <c:pt idx="842">
                  <c:v>0.60952380952380958</c:v>
                </c:pt>
                <c:pt idx="843">
                  <c:v>0.60998810939357906</c:v>
                </c:pt>
                <c:pt idx="844">
                  <c:v>0.6104513064133017</c:v>
                </c:pt>
                <c:pt idx="845">
                  <c:v>0.61091340450771059</c:v>
                </c:pt>
                <c:pt idx="846">
                  <c:v>0.61137440758293837</c:v>
                </c:pt>
                <c:pt idx="847">
                  <c:v>0.61183431952662726</c:v>
                </c:pt>
                <c:pt idx="848">
                  <c:v>0.61229314420803782</c:v>
                </c:pt>
                <c:pt idx="849">
                  <c:v>0.61157024793388426</c:v>
                </c:pt>
                <c:pt idx="850">
                  <c:v>0.61084905660377353</c:v>
                </c:pt>
                <c:pt idx="851">
                  <c:v>0.61012956419316844</c:v>
                </c:pt>
                <c:pt idx="852">
                  <c:v>0.60941176470588232</c:v>
                </c:pt>
                <c:pt idx="853">
                  <c:v>0.60987074030552291</c:v>
                </c:pt>
                <c:pt idx="854">
                  <c:v>0.60915492957746475</c:v>
                </c:pt>
                <c:pt idx="855">
                  <c:v>0.60844079718640098</c:v>
                </c:pt>
                <c:pt idx="856">
                  <c:v>0.60772833723653397</c:v>
                </c:pt>
                <c:pt idx="857">
                  <c:v>0.60818713450292394</c:v>
                </c:pt>
                <c:pt idx="858">
                  <c:v>0.60747663551401865</c:v>
                </c:pt>
                <c:pt idx="859">
                  <c:v>0.60793465577596262</c:v>
                </c:pt>
                <c:pt idx="860">
                  <c:v>0.60839160839160844</c:v>
                </c:pt>
                <c:pt idx="861">
                  <c:v>0.60768335273573926</c:v>
                </c:pt>
                <c:pt idx="862">
                  <c:v>0.60813953488372097</c:v>
                </c:pt>
                <c:pt idx="863">
                  <c:v>0.60743321718931476</c:v>
                </c:pt>
                <c:pt idx="864">
                  <c:v>0.60672853828306261</c:v>
                </c:pt>
                <c:pt idx="865">
                  <c:v>0.6071842410196987</c:v>
                </c:pt>
                <c:pt idx="866">
                  <c:v>0.60763888888888884</c:v>
                </c:pt>
                <c:pt idx="867">
                  <c:v>0.60809248554913298</c:v>
                </c:pt>
                <c:pt idx="868">
                  <c:v>0.60854503464203236</c:v>
                </c:pt>
                <c:pt idx="869">
                  <c:v>0.60784313725490191</c:v>
                </c:pt>
                <c:pt idx="870">
                  <c:v>0.6071428571428571</c:v>
                </c:pt>
                <c:pt idx="871">
                  <c:v>0.60759493670886078</c:v>
                </c:pt>
                <c:pt idx="872">
                  <c:v>0.60804597701149421</c:v>
                </c:pt>
                <c:pt idx="873">
                  <c:v>0.60734787600459239</c:v>
                </c:pt>
                <c:pt idx="874">
                  <c:v>0.60779816513761464</c:v>
                </c:pt>
                <c:pt idx="875">
                  <c:v>0.60824742268041232</c:v>
                </c:pt>
                <c:pt idx="876">
                  <c:v>0.60869565217391308</c:v>
                </c:pt>
                <c:pt idx="877">
                  <c:v>0.60799999999999998</c:v>
                </c:pt>
                <c:pt idx="878">
                  <c:v>0.60844748858447484</c:v>
                </c:pt>
                <c:pt idx="879">
                  <c:v>0.60889395667046753</c:v>
                </c:pt>
                <c:pt idx="880">
                  <c:v>0.60820045558086555</c:v>
                </c:pt>
                <c:pt idx="881">
                  <c:v>0.60750853242320824</c:v>
                </c:pt>
                <c:pt idx="882">
                  <c:v>0.60681818181818181</c:v>
                </c:pt>
                <c:pt idx="883">
                  <c:v>0.60726447219069235</c:v>
                </c:pt>
                <c:pt idx="884">
                  <c:v>0.60770975056689347</c:v>
                </c:pt>
                <c:pt idx="885">
                  <c:v>0.60702151755379385</c:v>
                </c:pt>
                <c:pt idx="886">
                  <c:v>0.60633484162895923</c:v>
                </c:pt>
                <c:pt idx="887">
                  <c:v>0.60677966101694913</c:v>
                </c:pt>
                <c:pt idx="888">
                  <c:v>0.60722347629796836</c:v>
                </c:pt>
                <c:pt idx="889">
                  <c:v>0.60766629086809465</c:v>
                </c:pt>
                <c:pt idx="890">
                  <c:v>0.60698198198198194</c:v>
                </c:pt>
                <c:pt idx="891">
                  <c:v>0.60629921259842523</c:v>
                </c:pt>
                <c:pt idx="892">
                  <c:v>0.6067415730337079</c:v>
                </c:pt>
                <c:pt idx="893">
                  <c:v>0.60718294051627386</c:v>
                </c:pt>
                <c:pt idx="894">
                  <c:v>0.6076233183856502</c:v>
                </c:pt>
                <c:pt idx="895">
                  <c:v>0.60806270996640532</c:v>
                </c:pt>
                <c:pt idx="896">
                  <c:v>0.60738255033557043</c:v>
                </c:pt>
                <c:pt idx="897">
                  <c:v>0.60670391061452511</c:v>
                </c:pt>
                <c:pt idx="898">
                  <c:v>0.6071428571428571</c:v>
                </c:pt>
                <c:pt idx="899">
                  <c:v>0.60758082497212929</c:v>
                </c:pt>
                <c:pt idx="900">
                  <c:v>0.60690423162583518</c:v>
                </c:pt>
                <c:pt idx="901">
                  <c:v>0.60734149054505004</c:v>
                </c:pt>
                <c:pt idx="902">
                  <c:v>0.60777777777777775</c:v>
                </c:pt>
                <c:pt idx="903">
                  <c:v>0.6082130965593785</c:v>
                </c:pt>
                <c:pt idx="904">
                  <c:v>0.60753880266075388</c:v>
                </c:pt>
                <c:pt idx="905">
                  <c:v>0.60686600221483944</c:v>
                </c:pt>
                <c:pt idx="906">
                  <c:v>0.60619469026548678</c:v>
                </c:pt>
                <c:pt idx="907">
                  <c:v>0.60662983425414363</c:v>
                </c:pt>
                <c:pt idx="908">
                  <c:v>0.60596026490066224</c:v>
                </c:pt>
                <c:pt idx="909">
                  <c:v>0.60639470782800442</c:v>
                </c:pt>
                <c:pt idx="910">
                  <c:v>0.60682819383259912</c:v>
                </c:pt>
                <c:pt idx="911">
                  <c:v>0.60616061606160621</c:v>
                </c:pt>
                <c:pt idx="912">
                  <c:v>0.60549450549450545</c:v>
                </c:pt>
                <c:pt idx="913">
                  <c:v>0.60592755214050498</c:v>
                </c:pt>
                <c:pt idx="914">
                  <c:v>0.60635964912280704</c:v>
                </c:pt>
                <c:pt idx="915">
                  <c:v>0.60569550930996718</c:v>
                </c:pt>
                <c:pt idx="916">
                  <c:v>0.60503282275711157</c:v>
                </c:pt>
                <c:pt idx="917">
                  <c:v>0.60437158469945351</c:v>
                </c:pt>
                <c:pt idx="918">
                  <c:v>0.60480349344978168</c:v>
                </c:pt>
                <c:pt idx="919">
                  <c:v>0.60414394765539803</c:v>
                </c:pt>
                <c:pt idx="920">
                  <c:v>0.60457516339869277</c:v>
                </c:pt>
                <c:pt idx="921">
                  <c:v>0.60500544069640916</c:v>
                </c:pt>
                <c:pt idx="922">
                  <c:v>0.60543478260869565</c:v>
                </c:pt>
                <c:pt idx="923">
                  <c:v>0.60586319218241047</c:v>
                </c:pt>
                <c:pt idx="924">
                  <c:v>0.60520607375271152</c:v>
                </c:pt>
                <c:pt idx="925">
                  <c:v>0.60563380281690138</c:v>
                </c:pt>
                <c:pt idx="926">
                  <c:v>0.60606060606060608</c:v>
                </c:pt>
                <c:pt idx="927">
                  <c:v>0.60648648648648651</c:v>
                </c:pt>
                <c:pt idx="928">
                  <c:v>0.60583153347732177</c:v>
                </c:pt>
                <c:pt idx="929">
                  <c:v>0.60625674217907233</c:v>
                </c:pt>
                <c:pt idx="930">
                  <c:v>0.60668103448275867</c:v>
                </c:pt>
                <c:pt idx="931">
                  <c:v>0.60710441334768572</c:v>
                </c:pt>
                <c:pt idx="932">
                  <c:v>0.60752688172043012</c:v>
                </c:pt>
                <c:pt idx="933">
                  <c:v>0.60687432867883995</c:v>
                </c:pt>
                <c:pt idx="934">
                  <c:v>0.60622317596566522</c:v>
                </c:pt>
                <c:pt idx="935">
                  <c:v>0.60557341907824225</c:v>
                </c:pt>
                <c:pt idx="936">
                  <c:v>0.60492505353319059</c:v>
                </c:pt>
                <c:pt idx="937">
                  <c:v>0.6053475935828877</c:v>
                </c:pt>
                <c:pt idx="938">
                  <c:v>0.60576923076923073</c:v>
                </c:pt>
                <c:pt idx="939">
                  <c:v>0.60512273212379941</c:v>
                </c:pt>
                <c:pt idx="940">
                  <c:v>0.60554371002132201</c:v>
                </c:pt>
                <c:pt idx="941">
                  <c:v>0.60489882854100108</c:v>
                </c:pt>
                <c:pt idx="942">
                  <c:v>0.60531914893617023</c:v>
                </c:pt>
                <c:pt idx="943">
                  <c:v>0.60573857598299685</c:v>
                </c:pt>
                <c:pt idx="944">
                  <c:v>0.60509554140127386</c:v>
                </c:pt>
                <c:pt idx="945">
                  <c:v>0.6044538706256628</c:v>
                </c:pt>
                <c:pt idx="946">
                  <c:v>0.6048728813559322</c:v>
                </c:pt>
                <c:pt idx="947">
                  <c:v>0.60423280423280423</c:v>
                </c:pt>
                <c:pt idx="948">
                  <c:v>0.60359408033826634</c:v>
                </c:pt>
                <c:pt idx="949">
                  <c:v>0.60295670538542767</c:v>
                </c:pt>
                <c:pt idx="950">
                  <c:v>0.6033755274261603</c:v>
                </c:pt>
                <c:pt idx="951">
                  <c:v>0.60379346680716539</c:v>
                </c:pt>
                <c:pt idx="952">
                  <c:v>0.60421052631578942</c:v>
                </c:pt>
                <c:pt idx="953">
                  <c:v>0.60357518401682442</c:v>
                </c:pt>
                <c:pt idx="954">
                  <c:v>0.6029411764705882</c:v>
                </c:pt>
                <c:pt idx="955">
                  <c:v>0.60230849947534104</c:v>
                </c:pt>
                <c:pt idx="956">
                  <c:v>0.60272536687631029</c:v>
                </c:pt>
                <c:pt idx="957">
                  <c:v>0.60314136125654449</c:v>
                </c:pt>
                <c:pt idx="958">
                  <c:v>0.60251046025104604</c:v>
                </c:pt>
                <c:pt idx="959">
                  <c:v>0.60292580982236155</c:v>
                </c:pt>
                <c:pt idx="960">
                  <c:v>0.60229645093945716</c:v>
                </c:pt>
                <c:pt idx="961">
                  <c:v>0.60271115745568304</c:v>
                </c:pt>
                <c:pt idx="962">
                  <c:v>0.6020833333333333</c:v>
                </c:pt>
                <c:pt idx="963">
                  <c:v>0.60145681581685739</c:v>
                </c:pt>
                <c:pt idx="964">
                  <c:v>0.60083160083160081</c:v>
                </c:pt>
                <c:pt idx="965">
                  <c:v>0.60124610591900307</c:v>
                </c:pt>
                <c:pt idx="966">
                  <c:v>0.60062240663900412</c:v>
                </c:pt>
                <c:pt idx="967">
                  <c:v>0.60103626943005184</c:v>
                </c:pt>
                <c:pt idx="968">
                  <c:v>0.60144927536231885</c:v>
                </c:pt>
                <c:pt idx="969">
                  <c:v>0.60186142709410551</c:v>
                </c:pt>
                <c:pt idx="970">
                  <c:v>0.60227272727272729</c:v>
                </c:pt>
                <c:pt idx="971">
                  <c:v>0.60268317853457176</c:v>
                </c:pt>
                <c:pt idx="972">
                  <c:v>0.60309278350515461</c:v>
                </c:pt>
                <c:pt idx="973">
                  <c:v>0.60247167868177132</c:v>
                </c:pt>
                <c:pt idx="974">
                  <c:v>0.60288065843621397</c:v>
                </c:pt>
                <c:pt idx="975">
                  <c:v>0.60328879753340181</c:v>
                </c:pt>
                <c:pt idx="976">
                  <c:v>0.60369609856262829</c:v>
                </c:pt>
                <c:pt idx="977">
                  <c:v>0.60410256410256413</c:v>
                </c:pt>
                <c:pt idx="978">
                  <c:v>0.60450819672131151</c:v>
                </c:pt>
                <c:pt idx="979">
                  <c:v>0.60491299897645856</c:v>
                </c:pt>
                <c:pt idx="980">
                  <c:v>0.60429447852760731</c:v>
                </c:pt>
                <c:pt idx="981">
                  <c:v>0.6036772216547498</c:v>
                </c:pt>
                <c:pt idx="982">
                  <c:v>0.60408163265306125</c:v>
                </c:pt>
                <c:pt idx="983">
                  <c:v>0.60448521916411824</c:v>
                </c:pt>
                <c:pt idx="984">
                  <c:v>0.60488798370672103</c:v>
                </c:pt>
                <c:pt idx="985">
                  <c:v>0.60528992878942012</c:v>
                </c:pt>
                <c:pt idx="986">
                  <c:v>0.60569105691056913</c:v>
                </c:pt>
                <c:pt idx="987">
                  <c:v>0.60609137055837559</c:v>
                </c:pt>
                <c:pt idx="988">
                  <c:v>0.60547667342799194</c:v>
                </c:pt>
                <c:pt idx="989">
                  <c:v>0.60486322188449848</c:v>
                </c:pt>
                <c:pt idx="990">
                  <c:v>0.60425101214574894</c:v>
                </c:pt>
                <c:pt idx="991">
                  <c:v>0.60465116279069764</c:v>
                </c:pt>
                <c:pt idx="992">
                  <c:v>0.60505050505050506</c:v>
                </c:pt>
                <c:pt idx="993">
                  <c:v>0.60443995963673058</c:v>
                </c:pt>
                <c:pt idx="994">
                  <c:v>0.60383064516129037</c:v>
                </c:pt>
                <c:pt idx="995">
                  <c:v>0.60322255790533741</c:v>
                </c:pt>
                <c:pt idx="996">
                  <c:v>0.60362173038229372</c:v>
                </c:pt>
                <c:pt idx="997">
                  <c:v>0.60402010050251254</c:v>
                </c:pt>
                <c:pt idx="998">
                  <c:v>0.60441767068273089</c:v>
                </c:pt>
                <c:pt idx="999">
                  <c:v>0.60381143430290873</c:v>
                </c:pt>
                <c:pt idx="1000">
                  <c:v>0.60320641282565135</c:v>
                </c:pt>
                <c:pt idx="1001">
                  <c:v>0.60360360360360366</c:v>
                </c:pt>
                <c:pt idx="1002">
                  <c:v>0.60399999999999998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12-1944-BA6C-51B4D227F7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8014720"/>
        <c:axId val="1738016512"/>
      </c:lineChart>
      <c:catAx>
        <c:axId val="17380147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1738016512"/>
        <c:crosses val="autoZero"/>
        <c:auto val="1"/>
        <c:lblAlgn val="ctr"/>
        <c:lblOffset val="100"/>
        <c:noMultiLvlLbl val="0"/>
      </c:catAx>
      <c:valAx>
        <c:axId val="173801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1738014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'Monte carlo simulation'!$S$21:$S$1021</c:f>
              <c:numCache>
                <c:formatCode>General</c:formatCode>
                <c:ptCount val="1001"/>
                <c:pt idx="0">
                  <c:v>0</c:v>
                </c:pt>
                <c:pt idx="1">
                  <c:v>4</c:v>
                </c:pt>
                <c:pt idx="2">
                  <c:v>8.4</c:v>
                </c:pt>
                <c:pt idx="3">
                  <c:v>13.2</c:v>
                </c:pt>
                <c:pt idx="4">
                  <c:v>13.2</c:v>
                </c:pt>
                <c:pt idx="5">
                  <c:v>17.2</c:v>
                </c:pt>
                <c:pt idx="6">
                  <c:v>21.2</c:v>
                </c:pt>
                <c:pt idx="7">
                  <c:v>25.6</c:v>
                </c:pt>
                <c:pt idx="8">
                  <c:v>30.400000000000002</c:v>
                </c:pt>
                <c:pt idx="9">
                  <c:v>35.6</c:v>
                </c:pt>
                <c:pt idx="10">
                  <c:v>41.2</c:v>
                </c:pt>
                <c:pt idx="11">
                  <c:v>47.2</c:v>
                </c:pt>
                <c:pt idx="12">
                  <c:v>53.6</c:v>
                </c:pt>
                <c:pt idx="13">
                  <c:v>53.6</c:v>
                </c:pt>
                <c:pt idx="14">
                  <c:v>57.6</c:v>
                </c:pt>
                <c:pt idx="15">
                  <c:v>57.6</c:v>
                </c:pt>
                <c:pt idx="16">
                  <c:v>61.6</c:v>
                </c:pt>
                <c:pt idx="17">
                  <c:v>61.6</c:v>
                </c:pt>
                <c:pt idx="18">
                  <c:v>65.599999999999994</c:v>
                </c:pt>
                <c:pt idx="19">
                  <c:v>69.599999999999994</c:v>
                </c:pt>
                <c:pt idx="20">
                  <c:v>69.599999999999994</c:v>
                </c:pt>
                <c:pt idx="21">
                  <c:v>69.599999999999994</c:v>
                </c:pt>
                <c:pt idx="22">
                  <c:v>73.599999999999994</c:v>
                </c:pt>
                <c:pt idx="23">
                  <c:v>77.599999999999994</c:v>
                </c:pt>
                <c:pt idx="24">
                  <c:v>82</c:v>
                </c:pt>
                <c:pt idx="25">
                  <c:v>82</c:v>
                </c:pt>
                <c:pt idx="26">
                  <c:v>86</c:v>
                </c:pt>
                <c:pt idx="27">
                  <c:v>86</c:v>
                </c:pt>
                <c:pt idx="28">
                  <c:v>86</c:v>
                </c:pt>
                <c:pt idx="29">
                  <c:v>90</c:v>
                </c:pt>
                <c:pt idx="30">
                  <c:v>94</c:v>
                </c:pt>
                <c:pt idx="31">
                  <c:v>98.4</c:v>
                </c:pt>
                <c:pt idx="32">
                  <c:v>103.2</c:v>
                </c:pt>
                <c:pt idx="33">
                  <c:v>108.4</c:v>
                </c:pt>
                <c:pt idx="34">
                  <c:v>108.4</c:v>
                </c:pt>
                <c:pt idx="35">
                  <c:v>108.4</c:v>
                </c:pt>
                <c:pt idx="36">
                  <c:v>108.4</c:v>
                </c:pt>
                <c:pt idx="37">
                  <c:v>112.4</c:v>
                </c:pt>
                <c:pt idx="38">
                  <c:v>116.4</c:v>
                </c:pt>
                <c:pt idx="39">
                  <c:v>116.4</c:v>
                </c:pt>
                <c:pt idx="40">
                  <c:v>120.4</c:v>
                </c:pt>
                <c:pt idx="41">
                  <c:v>120.4</c:v>
                </c:pt>
                <c:pt idx="42">
                  <c:v>124.4</c:v>
                </c:pt>
                <c:pt idx="43">
                  <c:v>128.4</c:v>
                </c:pt>
                <c:pt idx="44">
                  <c:v>132.80000000000001</c:v>
                </c:pt>
                <c:pt idx="45">
                  <c:v>132.80000000000001</c:v>
                </c:pt>
                <c:pt idx="46">
                  <c:v>136.80000000000001</c:v>
                </c:pt>
                <c:pt idx="47">
                  <c:v>140.80000000000001</c:v>
                </c:pt>
                <c:pt idx="48">
                  <c:v>145.20000000000002</c:v>
                </c:pt>
                <c:pt idx="49">
                  <c:v>145.20000000000002</c:v>
                </c:pt>
                <c:pt idx="50">
                  <c:v>149.20000000000002</c:v>
                </c:pt>
                <c:pt idx="51">
                  <c:v>153.20000000000002</c:v>
                </c:pt>
                <c:pt idx="52">
                  <c:v>157.60000000000002</c:v>
                </c:pt>
                <c:pt idx="53">
                  <c:v>162.40000000000003</c:v>
                </c:pt>
                <c:pt idx="54">
                  <c:v>162.40000000000003</c:v>
                </c:pt>
                <c:pt idx="55">
                  <c:v>162.40000000000003</c:v>
                </c:pt>
                <c:pt idx="56">
                  <c:v>162.40000000000003</c:v>
                </c:pt>
                <c:pt idx="57">
                  <c:v>162.40000000000003</c:v>
                </c:pt>
                <c:pt idx="58">
                  <c:v>166.40000000000003</c:v>
                </c:pt>
                <c:pt idx="59">
                  <c:v>170.40000000000003</c:v>
                </c:pt>
                <c:pt idx="60">
                  <c:v>174.80000000000004</c:v>
                </c:pt>
                <c:pt idx="61">
                  <c:v>174.80000000000004</c:v>
                </c:pt>
                <c:pt idx="62">
                  <c:v>178.80000000000004</c:v>
                </c:pt>
                <c:pt idx="63">
                  <c:v>182.80000000000004</c:v>
                </c:pt>
                <c:pt idx="64">
                  <c:v>187.20000000000005</c:v>
                </c:pt>
                <c:pt idx="65">
                  <c:v>187.20000000000005</c:v>
                </c:pt>
                <c:pt idx="66">
                  <c:v>187.20000000000005</c:v>
                </c:pt>
                <c:pt idx="67">
                  <c:v>187.20000000000005</c:v>
                </c:pt>
                <c:pt idx="68">
                  <c:v>187.20000000000005</c:v>
                </c:pt>
                <c:pt idx="69">
                  <c:v>191.20000000000005</c:v>
                </c:pt>
                <c:pt idx="70">
                  <c:v>191.20000000000005</c:v>
                </c:pt>
                <c:pt idx="71">
                  <c:v>191.20000000000005</c:v>
                </c:pt>
                <c:pt idx="72">
                  <c:v>191.20000000000005</c:v>
                </c:pt>
                <c:pt idx="73">
                  <c:v>195.20000000000005</c:v>
                </c:pt>
                <c:pt idx="74">
                  <c:v>199.20000000000005</c:v>
                </c:pt>
                <c:pt idx="75">
                  <c:v>199.20000000000005</c:v>
                </c:pt>
                <c:pt idx="76">
                  <c:v>203.20000000000005</c:v>
                </c:pt>
                <c:pt idx="77">
                  <c:v>207.20000000000005</c:v>
                </c:pt>
                <c:pt idx="78">
                  <c:v>211.60000000000005</c:v>
                </c:pt>
                <c:pt idx="79">
                  <c:v>216.40000000000006</c:v>
                </c:pt>
                <c:pt idx="80">
                  <c:v>221.60000000000005</c:v>
                </c:pt>
                <c:pt idx="81">
                  <c:v>227.20000000000005</c:v>
                </c:pt>
                <c:pt idx="82">
                  <c:v>233.20000000000005</c:v>
                </c:pt>
                <c:pt idx="83">
                  <c:v>239.60000000000005</c:v>
                </c:pt>
                <c:pt idx="84">
                  <c:v>246.40000000000006</c:v>
                </c:pt>
                <c:pt idx="85">
                  <c:v>253.60000000000005</c:v>
                </c:pt>
                <c:pt idx="86">
                  <c:v>261.20000000000005</c:v>
                </c:pt>
                <c:pt idx="87">
                  <c:v>269.20000000000005</c:v>
                </c:pt>
                <c:pt idx="88">
                  <c:v>277.60000000000002</c:v>
                </c:pt>
                <c:pt idx="89">
                  <c:v>286.40000000000003</c:v>
                </c:pt>
                <c:pt idx="90">
                  <c:v>295.60000000000002</c:v>
                </c:pt>
                <c:pt idx="91">
                  <c:v>305.20000000000005</c:v>
                </c:pt>
                <c:pt idx="92">
                  <c:v>305.20000000000005</c:v>
                </c:pt>
                <c:pt idx="93">
                  <c:v>309.20000000000005</c:v>
                </c:pt>
                <c:pt idx="94">
                  <c:v>313.20000000000005</c:v>
                </c:pt>
                <c:pt idx="95">
                  <c:v>313.20000000000005</c:v>
                </c:pt>
                <c:pt idx="96">
                  <c:v>317.20000000000005</c:v>
                </c:pt>
                <c:pt idx="97">
                  <c:v>321.20000000000005</c:v>
                </c:pt>
                <c:pt idx="98">
                  <c:v>321.20000000000005</c:v>
                </c:pt>
                <c:pt idx="99">
                  <c:v>321.20000000000005</c:v>
                </c:pt>
                <c:pt idx="100">
                  <c:v>321.20000000000005</c:v>
                </c:pt>
                <c:pt idx="101">
                  <c:v>321.20000000000005</c:v>
                </c:pt>
                <c:pt idx="102">
                  <c:v>325.20000000000005</c:v>
                </c:pt>
                <c:pt idx="103">
                  <c:v>329.20000000000005</c:v>
                </c:pt>
                <c:pt idx="104">
                  <c:v>333.6</c:v>
                </c:pt>
                <c:pt idx="105">
                  <c:v>338.40000000000003</c:v>
                </c:pt>
                <c:pt idx="106">
                  <c:v>343.6</c:v>
                </c:pt>
                <c:pt idx="107">
                  <c:v>343.6</c:v>
                </c:pt>
                <c:pt idx="108">
                  <c:v>343.6</c:v>
                </c:pt>
                <c:pt idx="109">
                  <c:v>347.6</c:v>
                </c:pt>
                <c:pt idx="110">
                  <c:v>351.6</c:v>
                </c:pt>
                <c:pt idx="111">
                  <c:v>351.6</c:v>
                </c:pt>
                <c:pt idx="112">
                  <c:v>351.6</c:v>
                </c:pt>
                <c:pt idx="113">
                  <c:v>355.6</c:v>
                </c:pt>
                <c:pt idx="114">
                  <c:v>355.6</c:v>
                </c:pt>
                <c:pt idx="115">
                  <c:v>359.6</c:v>
                </c:pt>
                <c:pt idx="116">
                  <c:v>363.6</c:v>
                </c:pt>
                <c:pt idx="117">
                  <c:v>368</c:v>
                </c:pt>
                <c:pt idx="118">
                  <c:v>372.8</c:v>
                </c:pt>
                <c:pt idx="119">
                  <c:v>378</c:v>
                </c:pt>
                <c:pt idx="120">
                  <c:v>383.6</c:v>
                </c:pt>
                <c:pt idx="121">
                  <c:v>389.6</c:v>
                </c:pt>
                <c:pt idx="122">
                  <c:v>389.6</c:v>
                </c:pt>
                <c:pt idx="123">
                  <c:v>393.6</c:v>
                </c:pt>
                <c:pt idx="124">
                  <c:v>397.6</c:v>
                </c:pt>
                <c:pt idx="125">
                  <c:v>402</c:v>
                </c:pt>
                <c:pt idx="126">
                  <c:v>406.8</c:v>
                </c:pt>
                <c:pt idx="127">
                  <c:v>406.8</c:v>
                </c:pt>
                <c:pt idx="128">
                  <c:v>406.8</c:v>
                </c:pt>
                <c:pt idx="129">
                  <c:v>410.8</c:v>
                </c:pt>
                <c:pt idx="130">
                  <c:v>414.8</c:v>
                </c:pt>
                <c:pt idx="131">
                  <c:v>419.2</c:v>
                </c:pt>
                <c:pt idx="132">
                  <c:v>424</c:v>
                </c:pt>
                <c:pt idx="133">
                  <c:v>429.2</c:v>
                </c:pt>
                <c:pt idx="134">
                  <c:v>434.8</c:v>
                </c:pt>
                <c:pt idx="135">
                  <c:v>440.8</c:v>
                </c:pt>
                <c:pt idx="136">
                  <c:v>447.2</c:v>
                </c:pt>
                <c:pt idx="137">
                  <c:v>447.2</c:v>
                </c:pt>
                <c:pt idx="138">
                  <c:v>447.2</c:v>
                </c:pt>
                <c:pt idx="139">
                  <c:v>451.2</c:v>
                </c:pt>
                <c:pt idx="140">
                  <c:v>455.2</c:v>
                </c:pt>
                <c:pt idx="141">
                  <c:v>455.2</c:v>
                </c:pt>
                <c:pt idx="142">
                  <c:v>455.2</c:v>
                </c:pt>
                <c:pt idx="143">
                  <c:v>459.2</c:v>
                </c:pt>
                <c:pt idx="144">
                  <c:v>463.2</c:v>
                </c:pt>
                <c:pt idx="145">
                  <c:v>463.2</c:v>
                </c:pt>
                <c:pt idx="146">
                  <c:v>467.2</c:v>
                </c:pt>
                <c:pt idx="147">
                  <c:v>471.2</c:v>
                </c:pt>
                <c:pt idx="148">
                  <c:v>475.59999999999997</c:v>
                </c:pt>
                <c:pt idx="149">
                  <c:v>475.59999999999997</c:v>
                </c:pt>
                <c:pt idx="150">
                  <c:v>479.59999999999997</c:v>
                </c:pt>
                <c:pt idx="151">
                  <c:v>483.59999999999997</c:v>
                </c:pt>
                <c:pt idx="152">
                  <c:v>483.59999999999997</c:v>
                </c:pt>
                <c:pt idx="153">
                  <c:v>483.59999999999997</c:v>
                </c:pt>
                <c:pt idx="154">
                  <c:v>483.59999999999997</c:v>
                </c:pt>
                <c:pt idx="155">
                  <c:v>487.59999999999997</c:v>
                </c:pt>
                <c:pt idx="156">
                  <c:v>491.59999999999997</c:v>
                </c:pt>
                <c:pt idx="157">
                  <c:v>491.59999999999997</c:v>
                </c:pt>
                <c:pt idx="158">
                  <c:v>495.59999999999997</c:v>
                </c:pt>
                <c:pt idx="159">
                  <c:v>499.59999999999997</c:v>
                </c:pt>
                <c:pt idx="160">
                  <c:v>503.99999999999994</c:v>
                </c:pt>
                <c:pt idx="161">
                  <c:v>503.99999999999994</c:v>
                </c:pt>
                <c:pt idx="162">
                  <c:v>507.99999999999994</c:v>
                </c:pt>
                <c:pt idx="163">
                  <c:v>507.99999999999994</c:v>
                </c:pt>
                <c:pt idx="164">
                  <c:v>507.99999999999994</c:v>
                </c:pt>
                <c:pt idx="165">
                  <c:v>507.99999999999994</c:v>
                </c:pt>
                <c:pt idx="166">
                  <c:v>511.99999999999994</c:v>
                </c:pt>
                <c:pt idx="167">
                  <c:v>511.99999999999994</c:v>
                </c:pt>
                <c:pt idx="168">
                  <c:v>516</c:v>
                </c:pt>
                <c:pt idx="169">
                  <c:v>520</c:v>
                </c:pt>
                <c:pt idx="170">
                  <c:v>524.4</c:v>
                </c:pt>
                <c:pt idx="171">
                  <c:v>529.19999999999993</c:v>
                </c:pt>
                <c:pt idx="172">
                  <c:v>534.4</c:v>
                </c:pt>
                <c:pt idx="173">
                  <c:v>540</c:v>
                </c:pt>
                <c:pt idx="174">
                  <c:v>546</c:v>
                </c:pt>
                <c:pt idx="175">
                  <c:v>552.4</c:v>
                </c:pt>
                <c:pt idx="176">
                  <c:v>559.19999999999993</c:v>
                </c:pt>
                <c:pt idx="177">
                  <c:v>566.4</c:v>
                </c:pt>
                <c:pt idx="178">
                  <c:v>566.4</c:v>
                </c:pt>
                <c:pt idx="179">
                  <c:v>566.4</c:v>
                </c:pt>
                <c:pt idx="180">
                  <c:v>570.4</c:v>
                </c:pt>
                <c:pt idx="181">
                  <c:v>570.4</c:v>
                </c:pt>
                <c:pt idx="182">
                  <c:v>574.4</c:v>
                </c:pt>
                <c:pt idx="183">
                  <c:v>574.4</c:v>
                </c:pt>
                <c:pt idx="184">
                  <c:v>578.4</c:v>
                </c:pt>
                <c:pt idx="185">
                  <c:v>582.4</c:v>
                </c:pt>
                <c:pt idx="186">
                  <c:v>582.4</c:v>
                </c:pt>
                <c:pt idx="187">
                  <c:v>586.4</c:v>
                </c:pt>
                <c:pt idx="188">
                  <c:v>590.4</c:v>
                </c:pt>
                <c:pt idx="189">
                  <c:v>594.79999999999995</c:v>
                </c:pt>
                <c:pt idx="190">
                  <c:v>594.79999999999995</c:v>
                </c:pt>
                <c:pt idx="191">
                  <c:v>598.79999999999995</c:v>
                </c:pt>
                <c:pt idx="192">
                  <c:v>598.79999999999995</c:v>
                </c:pt>
                <c:pt idx="193">
                  <c:v>598.79999999999995</c:v>
                </c:pt>
                <c:pt idx="194">
                  <c:v>602.79999999999995</c:v>
                </c:pt>
                <c:pt idx="195">
                  <c:v>606.79999999999995</c:v>
                </c:pt>
                <c:pt idx="196">
                  <c:v>611.19999999999993</c:v>
                </c:pt>
                <c:pt idx="197">
                  <c:v>611.19999999999993</c:v>
                </c:pt>
                <c:pt idx="198">
                  <c:v>611.19999999999993</c:v>
                </c:pt>
                <c:pt idx="199">
                  <c:v>611.19999999999993</c:v>
                </c:pt>
                <c:pt idx="200">
                  <c:v>615.19999999999993</c:v>
                </c:pt>
                <c:pt idx="201">
                  <c:v>619.19999999999993</c:v>
                </c:pt>
                <c:pt idx="202">
                  <c:v>619.19999999999993</c:v>
                </c:pt>
                <c:pt idx="203">
                  <c:v>619.19999999999993</c:v>
                </c:pt>
                <c:pt idx="204">
                  <c:v>619.19999999999993</c:v>
                </c:pt>
                <c:pt idx="205">
                  <c:v>619.19999999999993</c:v>
                </c:pt>
                <c:pt idx="206">
                  <c:v>623.19999999999993</c:v>
                </c:pt>
                <c:pt idx="207">
                  <c:v>627.19999999999993</c:v>
                </c:pt>
                <c:pt idx="208">
                  <c:v>631.59999999999991</c:v>
                </c:pt>
                <c:pt idx="209">
                  <c:v>631.59999999999991</c:v>
                </c:pt>
                <c:pt idx="210">
                  <c:v>631.59999999999991</c:v>
                </c:pt>
                <c:pt idx="211">
                  <c:v>631.59999999999991</c:v>
                </c:pt>
                <c:pt idx="212">
                  <c:v>631.59999999999991</c:v>
                </c:pt>
                <c:pt idx="213">
                  <c:v>635.59999999999991</c:v>
                </c:pt>
                <c:pt idx="214">
                  <c:v>635.59999999999991</c:v>
                </c:pt>
                <c:pt idx="215">
                  <c:v>639.59999999999991</c:v>
                </c:pt>
                <c:pt idx="216">
                  <c:v>643.59999999999991</c:v>
                </c:pt>
                <c:pt idx="217">
                  <c:v>647.99999999999989</c:v>
                </c:pt>
                <c:pt idx="218">
                  <c:v>652.79999999999984</c:v>
                </c:pt>
                <c:pt idx="219">
                  <c:v>652.79999999999984</c:v>
                </c:pt>
                <c:pt idx="220">
                  <c:v>652.79999999999984</c:v>
                </c:pt>
                <c:pt idx="221">
                  <c:v>656.79999999999984</c:v>
                </c:pt>
                <c:pt idx="222">
                  <c:v>656.79999999999984</c:v>
                </c:pt>
                <c:pt idx="223">
                  <c:v>660.79999999999984</c:v>
                </c:pt>
                <c:pt idx="224">
                  <c:v>664.79999999999984</c:v>
                </c:pt>
                <c:pt idx="225">
                  <c:v>669.19999999999982</c:v>
                </c:pt>
                <c:pt idx="226">
                  <c:v>673.99999999999977</c:v>
                </c:pt>
                <c:pt idx="227">
                  <c:v>679.19999999999982</c:v>
                </c:pt>
                <c:pt idx="228">
                  <c:v>684.79999999999984</c:v>
                </c:pt>
                <c:pt idx="229">
                  <c:v>690.79999999999984</c:v>
                </c:pt>
                <c:pt idx="230">
                  <c:v>690.79999999999984</c:v>
                </c:pt>
                <c:pt idx="231">
                  <c:v>694.79999999999984</c:v>
                </c:pt>
                <c:pt idx="232">
                  <c:v>698.79999999999984</c:v>
                </c:pt>
                <c:pt idx="233">
                  <c:v>703.19999999999982</c:v>
                </c:pt>
                <c:pt idx="234">
                  <c:v>707.99999999999977</c:v>
                </c:pt>
                <c:pt idx="235">
                  <c:v>707.99999999999977</c:v>
                </c:pt>
                <c:pt idx="236">
                  <c:v>711.99999999999977</c:v>
                </c:pt>
                <c:pt idx="237">
                  <c:v>711.99999999999977</c:v>
                </c:pt>
                <c:pt idx="238">
                  <c:v>711.99999999999977</c:v>
                </c:pt>
                <c:pt idx="239">
                  <c:v>715.99999999999977</c:v>
                </c:pt>
                <c:pt idx="240">
                  <c:v>719.99999999999977</c:v>
                </c:pt>
                <c:pt idx="241">
                  <c:v>724.39999999999975</c:v>
                </c:pt>
                <c:pt idx="242">
                  <c:v>729.1999999999997</c:v>
                </c:pt>
                <c:pt idx="243">
                  <c:v>734.39999999999975</c:v>
                </c:pt>
                <c:pt idx="244">
                  <c:v>739.99999999999977</c:v>
                </c:pt>
                <c:pt idx="245">
                  <c:v>745.99999999999977</c:v>
                </c:pt>
                <c:pt idx="246">
                  <c:v>752.39999999999975</c:v>
                </c:pt>
                <c:pt idx="247">
                  <c:v>759.1999999999997</c:v>
                </c:pt>
                <c:pt idx="248">
                  <c:v>766.39999999999975</c:v>
                </c:pt>
                <c:pt idx="249">
                  <c:v>766.39999999999975</c:v>
                </c:pt>
                <c:pt idx="250">
                  <c:v>766.39999999999975</c:v>
                </c:pt>
                <c:pt idx="251">
                  <c:v>770.39999999999975</c:v>
                </c:pt>
                <c:pt idx="252">
                  <c:v>770.39999999999975</c:v>
                </c:pt>
                <c:pt idx="253">
                  <c:v>774.39999999999975</c:v>
                </c:pt>
                <c:pt idx="254">
                  <c:v>774.39999999999975</c:v>
                </c:pt>
                <c:pt idx="255">
                  <c:v>774.39999999999975</c:v>
                </c:pt>
                <c:pt idx="256">
                  <c:v>778.39999999999975</c:v>
                </c:pt>
                <c:pt idx="257">
                  <c:v>778.39999999999975</c:v>
                </c:pt>
                <c:pt idx="258">
                  <c:v>782.39999999999975</c:v>
                </c:pt>
                <c:pt idx="259">
                  <c:v>786.39999999999975</c:v>
                </c:pt>
                <c:pt idx="260">
                  <c:v>786.39999999999975</c:v>
                </c:pt>
                <c:pt idx="261">
                  <c:v>790.39999999999975</c:v>
                </c:pt>
                <c:pt idx="262">
                  <c:v>794.39999999999975</c:v>
                </c:pt>
                <c:pt idx="263">
                  <c:v>794.39999999999975</c:v>
                </c:pt>
                <c:pt idx="264">
                  <c:v>798.39999999999975</c:v>
                </c:pt>
                <c:pt idx="265">
                  <c:v>798.39999999999975</c:v>
                </c:pt>
                <c:pt idx="266">
                  <c:v>798.39999999999975</c:v>
                </c:pt>
                <c:pt idx="267">
                  <c:v>798.39999999999975</c:v>
                </c:pt>
                <c:pt idx="268">
                  <c:v>802.39999999999975</c:v>
                </c:pt>
                <c:pt idx="269">
                  <c:v>806.39999999999975</c:v>
                </c:pt>
                <c:pt idx="270">
                  <c:v>810.79999999999973</c:v>
                </c:pt>
                <c:pt idx="271">
                  <c:v>815.59999999999968</c:v>
                </c:pt>
                <c:pt idx="272">
                  <c:v>815.59999999999968</c:v>
                </c:pt>
                <c:pt idx="273">
                  <c:v>819.59999999999968</c:v>
                </c:pt>
                <c:pt idx="274">
                  <c:v>819.59999999999968</c:v>
                </c:pt>
                <c:pt idx="275">
                  <c:v>819.59999999999968</c:v>
                </c:pt>
                <c:pt idx="276">
                  <c:v>823.59999999999968</c:v>
                </c:pt>
                <c:pt idx="277">
                  <c:v>823.59999999999968</c:v>
                </c:pt>
                <c:pt idx="278">
                  <c:v>827.59999999999968</c:v>
                </c:pt>
                <c:pt idx="279">
                  <c:v>831.59999999999968</c:v>
                </c:pt>
                <c:pt idx="280">
                  <c:v>835.99999999999966</c:v>
                </c:pt>
                <c:pt idx="281">
                  <c:v>840.79999999999961</c:v>
                </c:pt>
                <c:pt idx="282">
                  <c:v>840.79999999999961</c:v>
                </c:pt>
                <c:pt idx="283">
                  <c:v>844.79999999999961</c:v>
                </c:pt>
                <c:pt idx="284">
                  <c:v>844.79999999999961</c:v>
                </c:pt>
                <c:pt idx="285">
                  <c:v>848.79999999999961</c:v>
                </c:pt>
                <c:pt idx="286">
                  <c:v>848.79999999999961</c:v>
                </c:pt>
                <c:pt idx="287">
                  <c:v>848.79999999999961</c:v>
                </c:pt>
                <c:pt idx="288">
                  <c:v>848.79999999999961</c:v>
                </c:pt>
                <c:pt idx="289">
                  <c:v>848.79999999999961</c:v>
                </c:pt>
                <c:pt idx="290">
                  <c:v>852.79999999999961</c:v>
                </c:pt>
                <c:pt idx="291">
                  <c:v>852.79999999999961</c:v>
                </c:pt>
                <c:pt idx="292">
                  <c:v>856.79999999999961</c:v>
                </c:pt>
                <c:pt idx="293">
                  <c:v>860.79999999999961</c:v>
                </c:pt>
                <c:pt idx="294">
                  <c:v>865.19999999999959</c:v>
                </c:pt>
                <c:pt idx="295">
                  <c:v>865.19999999999959</c:v>
                </c:pt>
                <c:pt idx="296">
                  <c:v>869.19999999999959</c:v>
                </c:pt>
                <c:pt idx="297">
                  <c:v>873.19999999999959</c:v>
                </c:pt>
                <c:pt idx="298">
                  <c:v>877.59999999999957</c:v>
                </c:pt>
                <c:pt idx="299">
                  <c:v>882.39999999999952</c:v>
                </c:pt>
                <c:pt idx="300">
                  <c:v>882.39999999999952</c:v>
                </c:pt>
                <c:pt idx="301">
                  <c:v>882.39999999999952</c:v>
                </c:pt>
                <c:pt idx="302">
                  <c:v>882.39999999999952</c:v>
                </c:pt>
                <c:pt idx="303">
                  <c:v>882.39999999999952</c:v>
                </c:pt>
                <c:pt idx="304">
                  <c:v>882.39999999999952</c:v>
                </c:pt>
                <c:pt idx="305">
                  <c:v>886.39999999999952</c:v>
                </c:pt>
                <c:pt idx="306">
                  <c:v>886.39999999999952</c:v>
                </c:pt>
                <c:pt idx="307">
                  <c:v>886.39999999999952</c:v>
                </c:pt>
                <c:pt idx="308">
                  <c:v>886.39999999999952</c:v>
                </c:pt>
                <c:pt idx="309">
                  <c:v>886.39999999999952</c:v>
                </c:pt>
                <c:pt idx="310">
                  <c:v>890.39999999999952</c:v>
                </c:pt>
                <c:pt idx="311">
                  <c:v>894.39999999999952</c:v>
                </c:pt>
                <c:pt idx="312">
                  <c:v>894.39999999999952</c:v>
                </c:pt>
                <c:pt idx="313">
                  <c:v>898.39999999999952</c:v>
                </c:pt>
                <c:pt idx="314">
                  <c:v>898.39999999999952</c:v>
                </c:pt>
                <c:pt idx="315">
                  <c:v>898.39999999999952</c:v>
                </c:pt>
                <c:pt idx="316">
                  <c:v>902.39999999999952</c:v>
                </c:pt>
                <c:pt idx="317">
                  <c:v>906.39999999999952</c:v>
                </c:pt>
                <c:pt idx="318">
                  <c:v>910.7999999999995</c:v>
                </c:pt>
                <c:pt idx="319">
                  <c:v>915.59999999999945</c:v>
                </c:pt>
                <c:pt idx="320">
                  <c:v>915.59999999999945</c:v>
                </c:pt>
                <c:pt idx="321">
                  <c:v>915.59999999999945</c:v>
                </c:pt>
                <c:pt idx="322">
                  <c:v>919.59999999999945</c:v>
                </c:pt>
                <c:pt idx="323">
                  <c:v>919.59999999999945</c:v>
                </c:pt>
                <c:pt idx="324">
                  <c:v>919.59999999999945</c:v>
                </c:pt>
                <c:pt idx="325">
                  <c:v>923.59999999999945</c:v>
                </c:pt>
                <c:pt idx="326">
                  <c:v>923.59999999999945</c:v>
                </c:pt>
                <c:pt idx="327">
                  <c:v>927.59999999999945</c:v>
                </c:pt>
                <c:pt idx="328">
                  <c:v>927.59999999999945</c:v>
                </c:pt>
                <c:pt idx="329">
                  <c:v>931.59999999999945</c:v>
                </c:pt>
                <c:pt idx="330">
                  <c:v>935.59999999999945</c:v>
                </c:pt>
                <c:pt idx="331">
                  <c:v>935.59999999999945</c:v>
                </c:pt>
                <c:pt idx="332">
                  <c:v>939.59999999999945</c:v>
                </c:pt>
                <c:pt idx="333">
                  <c:v>943.59999999999945</c:v>
                </c:pt>
                <c:pt idx="334">
                  <c:v>943.59999999999945</c:v>
                </c:pt>
                <c:pt idx="335">
                  <c:v>947.59999999999945</c:v>
                </c:pt>
                <c:pt idx="336">
                  <c:v>947.59999999999945</c:v>
                </c:pt>
                <c:pt idx="337">
                  <c:v>951.59999999999945</c:v>
                </c:pt>
                <c:pt idx="338">
                  <c:v>951.59999999999945</c:v>
                </c:pt>
                <c:pt idx="339">
                  <c:v>955.59999999999945</c:v>
                </c:pt>
                <c:pt idx="340">
                  <c:v>959.59999999999945</c:v>
                </c:pt>
                <c:pt idx="341">
                  <c:v>959.59999999999945</c:v>
                </c:pt>
                <c:pt idx="342">
                  <c:v>959.59999999999945</c:v>
                </c:pt>
                <c:pt idx="343">
                  <c:v>959.59999999999945</c:v>
                </c:pt>
                <c:pt idx="344">
                  <c:v>963.59999999999945</c:v>
                </c:pt>
                <c:pt idx="345">
                  <c:v>967.59999999999945</c:v>
                </c:pt>
                <c:pt idx="346">
                  <c:v>971.99999999999943</c:v>
                </c:pt>
                <c:pt idx="347">
                  <c:v>971.99999999999943</c:v>
                </c:pt>
                <c:pt idx="348">
                  <c:v>975.99999999999943</c:v>
                </c:pt>
                <c:pt idx="349">
                  <c:v>975.99999999999943</c:v>
                </c:pt>
                <c:pt idx="350">
                  <c:v>979.99999999999943</c:v>
                </c:pt>
                <c:pt idx="351">
                  <c:v>979.99999999999943</c:v>
                </c:pt>
                <c:pt idx="352">
                  <c:v>983.99999999999943</c:v>
                </c:pt>
                <c:pt idx="353">
                  <c:v>987.99999999999943</c:v>
                </c:pt>
                <c:pt idx="354">
                  <c:v>987.99999999999943</c:v>
                </c:pt>
                <c:pt idx="355">
                  <c:v>987.99999999999943</c:v>
                </c:pt>
                <c:pt idx="356">
                  <c:v>991.99999999999943</c:v>
                </c:pt>
                <c:pt idx="357">
                  <c:v>995.99999999999943</c:v>
                </c:pt>
                <c:pt idx="358">
                  <c:v>1000.3999999999994</c:v>
                </c:pt>
                <c:pt idx="359">
                  <c:v>1000.3999999999994</c:v>
                </c:pt>
                <c:pt idx="360">
                  <c:v>1000.3999999999994</c:v>
                </c:pt>
                <c:pt idx="361">
                  <c:v>1000.3999999999994</c:v>
                </c:pt>
                <c:pt idx="362">
                  <c:v>1000.3999999999994</c:v>
                </c:pt>
                <c:pt idx="363">
                  <c:v>1004.3999999999994</c:v>
                </c:pt>
                <c:pt idx="364">
                  <c:v>1004.3999999999994</c:v>
                </c:pt>
                <c:pt idx="365">
                  <c:v>1008.3999999999994</c:v>
                </c:pt>
                <c:pt idx="366">
                  <c:v>1008.3999999999994</c:v>
                </c:pt>
                <c:pt idx="367">
                  <c:v>1008.3999999999994</c:v>
                </c:pt>
                <c:pt idx="368">
                  <c:v>1008.3999999999994</c:v>
                </c:pt>
                <c:pt idx="369">
                  <c:v>1012.3999999999994</c:v>
                </c:pt>
                <c:pt idx="370">
                  <c:v>1012.3999999999994</c:v>
                </c:pt>
                <c:pt idx="371">
                  <c:v>1016.3999999999994</c:v>
                </c:pt>
                <c:pt idx="372">
                  <c:v>1016.3999999999994</c:v>
                </c:pt>
                <c:pt idx="373">
                  <c:v>1020.3999999999994</c:v>
                </c:pt>
                <c:pt idx="374">
                  <c:v>1024.3999999999994</c:v>
                </c:pt>
                <c:pt idx="375">
                  <c:v>1024.3999999999994</c:v>
                </c:pt>
                <c:pt idx="376">
                  <c:v>1028.3999999999994</c:v>
                </c:pt>
                <c:pt idx="377">
                  <c:v>1028.3999999999994</c:v>
                </c:pt>
                <c:pt idx="378">
                  <c:v>1032.3999999999994</c:v>
                </c:pt>
                <c:pt idx="379">
                  <c:v>1036.3999999999994</c:v>
                </c:pt>
                <c:pt idx="380">
                  <c:v>1036.3999999999994</c:v>
                </c:pt>
                <c:pt idx="381">
                  <c:v>1040.3999999999994</c:v>
                </c:pt>
                <c:pt idx="382">
                  <c:v>1044.3999999999994</c:v>
                </c:pt>
                <c:pt idx="383">
                  <c:v>1044.3999999999994</c:v>
                </c:pt>
                <c:pt idx="384">
                  <c:v>1048.3999999999994</c:v>
                </c:pt>
                <c:pt idx="385">
                  <c:v>1052.3999999999994</c:v>
                </c:pt>
                <c:pt idx="386">
                  <c:v>1056.7999999999995</c:v>
                </c:pt>
                <c:pt idx="387">
                  <c:v>1056.7999999999995</c:v>
                </c:pt>
                <c:pt idx="388">
                  <c:v>1060.7999999999995</c:v>
                </c:pt>
                <c:pt idx="389">
                  <c:v>1060.7999999999995</c:v>
                </c:pt>
                <c:pt idx="390">
                  <c:v>1060.7999999999995</c:v>
                </c:pt>
                <c:pt idx="391">
                  <c:v>1064.7999999999995</c:v>
                </c:pt>
                <c:pt idx="392">
                  <c:v>1068.7999999999995</c:v>
                </c:pt>
                <c:pt idx="393">
                  <c:v>1073.1999999999996</c:v>
                </c:pt>
                <c:pt idx="394">
                  <c:v>1077.9999999999995</c:v>
                </c:pt>
                <c:pt idx="395">
                  <c:v>1077.9999999999995</c:v>
                </c:pt>
                <c:pt idx="396">
                  <c:v>1081.9999999999995</c:v>
                </c:pt>
                <c:pt idx="397">
                  <c:v>1085.9999999999995</c:v>
                </c:pt>
                <c:pt idx="398">
                  <c:v>1090.3999999999996</c:v>
                </c:pt>
                <c:pt idx="399">
                  <c:v>1095.1999999999996</c:v>
                </c:pt>
                <c:pt idx="400">
                  <c:v>1100.3999999999996</c:v>
                </c:pt>
                <c:pt idx="401">
                  <c:v>1105.9999999999995</c:v>
                </c:pt>
                <c:pt idx="402">
                  <c:v>1105.9999999999995</c:v>
                </c:pt>
                <c:pt idx="403">
                  <c:v>1109.9999999999995</c:v>
                </c:pt>
                <c:pt idx="404">
                  <c:v>1113.9999999999995</c:v>
                </c:pt>
                <c:pt idx="405">
                  <c:v>1113.9999999999995</c:v>
                </c:pt>
                <c:pt idx="406">
                  <c:v>1117.9999999999995</c:v>
                </c:pt>
                <c:pt idx="407">
                  <c:v>1121.9999999999995</c:v>
                </c:pt>
                <c:pt idx="408">
                  <c:v>1126.3999999999996</c:v>
                </c:pt>
                <c:pt idx="409">
                  <c:v>1131.1999999999996</c:v>
                </c:pt>
                <c:pt idx="410">
                  <c:v>1131.1999999999996</c:v>
                </c:pt>
                <c:pt idx="411">
                  <c:v>1135.1999999999996</c:v>
                </c:pt>
                <c:pt idx="412">
                  <c:v>1135.1999999999996</c:v>
                </c:pt>
                <c:pt idx="413">
                  <c:v>1135.1999999999996</c:v>
                </c:pt>
                <c:pt idx="414">
                  <c:v>1139.1999999999996</c:v>
                </c:pt>
                <c:pt idx="415">
                  <c:v>1143.1999999999996</c:v>
                </c:pt>
                <c:pt idx="416">
                  <c:v>1143.1999999999996</c:v>
                </c:pt>
                <c:pt idx="417">
                  <c:v>1147.1999999999996</c:v>
                </c:pt>
                <c:pt idx="418">
                  <c:v>1147.1999999999996</c:v>
                </c:pt>
                <c:pt idx="419">
                  <c:v>1151.1999999999996</c:v>
                </c:pt>
                <c:pt idx="420">
                  <c:v>1151.1999999999996</c:v>
                </c:pt>
                <c:pt idx="421">
                  <c:v>1151.1999999999996</c:v>
                </c:pt>
                <c:pt idx="422">
                  <c:v>1151.1999999999996</c:v>
                </c:pt>
                <c:pt idx="423">
                  <c:v>1155.1999999999996</c:v>
                </c:pt>
                <c:pt idx="424">
                  <c:v>1155.1999999999996</c:v>
                </c:pt>
                <c:pt idx="425">
                  <c:v>1159.1999999999996</c:v>
                </c:pt>
                <c:pt idx="426">
                  <c:v>1163.1999999999996</c:v>
                </c:pt>
                <c:pt idx="427">
                  <c:v>1163.1999999999996</c:v>
                </c:pt>
                <c:pt idx="428">
                  <c:v>1167.1999999999996</c:v>
                </c:pt>
                <c:pt idx="429">
                  <c:v>1167.1999999999996</c:v>
                </c:pt>
                <c:pt idx="430">
                  <c:v>1167.1999999999996</c:v>
                </c:pt>
                <c:pt idx="431">
                  <c:v>1167.1999999999996</c:v>
                </c:pt>
                <c:pt idx="432">
                  <c:v>1171.1999999999996</c:v>
                </c:pt>
                <c:pt idx="433">
                  <c:v>1175.1999999999996</c:v>
                </c:pt>
                <c:pt idx="434">
                  <c:v>1175.1999999999996</c:v>
                </c:pt>
                <c:pt idx="435">
                  <c:v>1175.1999999999996</c:v>
                </c:pt>
                <c:pt idx="436">
                  <c:v>1179.1999999999996</c:v>
                </c:pt>
                <c:pt idx="437">
                  <c:v>1183.1999999999996</c:v>
                </c:pt>
                <c:pt idx="438">
                  <c:v>1187.5999999999997</c:v>
                </c:pt>
                <c:pt idx="439">
                  <c:v>1187.5999999999997</c:v>
                </c:pt>
                <c:pt idx="440">
                  <c:v>1187.5999999999997</c:v>
                </c:pt>
                <c:pt idx="441">
                  <c:v>1191.5999999999997</c:v>
                </c:pt>
                <c:pt idx="442">
                  <c:v>1191.5999999999997</c:v>
                </c:pt>
                <c:pt idx="443">
                  <c:v>1195.5999999999997</c:v>
                </c:pt>
                <c:pt idx="444">
                  <c:v>1195.5999999999997</c:v>
                </c:pt>
                <c:pt idx="445">
                  <c:v>1199.5999999999997</c:v>
                </c:pt>
                <c:pt idx="446">
                  <c:v>1199.5999999999997</c:v>
                </c:pt>
                <c:pt idx="447">
                  <c:v>1199.5999999999997</c:v>
                </c:pt>
                <c:pt idx="448">
                  <c:v>1199.5999999999997</c:v>
                </c:pt>
                <c:pt idx="449">
                  <c:v>1199.5999999999997</c:v>
                </c:pt>
                <c:pt idx="450">
                  <c:v>1203.5999999999997</c:v>
                </c:pt>
                <c:pt idx="451">
                  <c:v>1203.5999999999997</c:v>
                </c:pt>
                <c:pt idx="452">
                  <c:v>1203.5999999999997</c:v>
                </c:pt>
                <c:pt idx="453">
                  <c:v>1203.5999999999997</c:v>
                </c:pt>
                <c:pt idx="454">
                  <c:v>1203.5999999999997</c:v>
                </c:pt>
                <c:pt idx="455">
                  <c:v>1207.5999999999997</c:v>
                </c:pt>
                <c:pt idx="456">
                  <c:v>1211.5999999999997</c:v>
                </c:pt>
                <c:pt idx="457">
                  <c:v>1215.9999999999998</c:v>
                </c:pt>
                <c:pt idx="458">
                  <c:v>1220.7999999999997</c:v>
                </c:pt>
                <c:pt idx="459">
                  <c:v>1220.7999999999997</c:v>
                </c:pt>
                <c:pt idx="460">
                  <c:v>1220.7999999999997</c:v>
                </c:pt>
                <c:pt idx="461">
                  <c:v>1220.7999999999997</c:v>
                </c:pt>
                <c:pt idx="462">
                  <c:v>1224.7999999999997</c:v>
                </c:pt>
                <c:pt idx="463">
                  <c:v>1228.7999999999997</c:v>
                </c:pt>
                <c:pt idx="464">
                  <c:v>1233.1999999999998</c:v>
                </c:pt>
                <c:pt idx="465">
                  <c:v>1233.1999999999998</c:v>
                </c:pt>
                <c:pt idx="466">
                  <c:v>1233.1999999999998</c:v>
                </c:pt>
                <c:pt idx="467">
                  <c:v>1233.1999999999998</c:v>
                </c:pt>
                <c:pt idx="468">
                  <c:v>1233.1999999999998</c:v>
                </c:pt>
                <c:pt idx="469">
                  <c:v>1237.1999999999998</c:v>
                </c:pt>
                <c:pt idx="470">
                  <c:v>1241.1999999999998</c:v>
                </c:pt>
                <c:pt idx="471">
                  <c:v>1241.1999999999998</c:v>
                </c:pt>
                <c:pt idx="472">
                  <c:v>1245.1999999999998</c:v>
                </c:pt>
                <c:pt idx="473">
                  <c:v>1245.1999999999998</c:v>
                </c:pt>
                <c:pt idx="474">
                  <c:v>1245.1999999999998</c:v>
                </c:pt>
                <c:pt idx="475">
                  <c:v>1245.1999999999998</c:v>
                </c:pt>
                <c:pt idx="476">
                  <c:v>1249.1999999999998</c:v>
                </c:pt>
                <c:pt idx="477">
                  <c:v>1253.1999999999998</c:v>
                </c:pt>
                <c:pt idx="478">
                  <c:v>1253.1999999999998</c:v>
                </c:pt>
                <c:pt idx="479">
                  <c:v>1257.1999999999998</c:v>
                </c:pt>
                <c:pt idx="480">
                  <c:v>1261.1999999999998</c:v>
                </c:pt>
                <c:pt idx="481">
                  <c:v>1265.5999999999999</c:v>
                </c:pt>
                <c:pt idx="482">
                  <c:v>1270.3999999999999</c:v>
                </c:pt>
                <c:pt idx="483">
                  <c:v>1270.3999999999999</c:v>
                </c:pt>
                <c:pt idx="484">
                  <c:v>1274.3999999999999</c:v>
                </c:pt>
                <c:pt idx="485">
                  <c:v>1278.3999999999999</c:v>
                </c:pt>
                <c:pt idx="486">
                  <c:v>1282.8</c:v>
                </c:pt>
                <c:pt idx="487">
                  <c:v>1282.8</c:v>
                </c:pt>
                <c:pt idx="488">
                  <c:v>1282.8</c:v>
                </c:pt>
                <c:pt idx="489">
                  <c:v>1286.8</c:v>
                </c:pt>
                <c:pt idx="490">
                  <c:v>1290.8</c:v>
                </c:pt>
                <c:pt idx="491">
                  <c:v>1295.2</c:v>
                </c:pt>
                <c:pt idx="492">
                  <c:v>1300</c:v>
                </c:pt>
                <c:pt idx="493">
                  <c:v>1305.2</c:v>
                </c:pt>
                <c:pt idx="494">
                  <c:v>1310.8</c:v>
                </c:pt>
                <c:pt idx="495">
                  <c:v>1316.8</c:v>
                </c:pt>
                <c:pt idx="496">
                  <c:v>1323.2</c:v>
                </c:pt>
                <c:pt idx="497">
                  <c:v>1323.2</c:v>
                </c:pt>
                <c:pt idx="498">
                  <c:v>1327.2</c:v>
                </c:pt>
                <c:pt idx="499">
                  <c:v>1331.2</c:v>
                </c:pt>
                <c:pt idx="500">
                  <c:v>1335.6000000000001</c:v>
                </c:pt>
                <c:pt idx="501">
                  <c:v>1340.4</c:v>
                </c:pt>
                <c:pt idx="502">
                  <c:v>1345.6000000000001</c:v>
                </c:pt>
                <c:pt idx="503">
                  <c:v>1345.6000000000001</c:v>
                </c:pt>
                <c:pt idx="504">
                  <c:v>1349.6000000000001</c:v>
                </c:pt>
                <c:pt idx="505">
                  <c:v>1353.6000000000001</c:v>
                </c:pt>
                <c:pt idx="506">
                  <c:v>1358.0000000000002</c:v>
                </c:pt>
                <c:pt idx="507">
                  <c:v>1358.0000000000002</c:v>
                </c:pt>
                <c:pt idx="508">
                  <c:v>1362.0000000000002</c:v>
                </c:pt>
                <c:pt idx="509">
                  <c:v>1366.0000000000002</c:v>
                </c:pt>
                <c:pt idx="510">
                  <c:v>1370.4000000000003</c:v>
                </c:pt>
                <c:pt idx="511">
                  <c:v>1375.2000000000003</c:v>
                </c:pt>
                <c:pt idx="512">
                  <c:v>1375.2000000000003</c:v>
                </c:pt>
                <c:pt idx="513">
                  <c:v>1379.2000000000003</c:v>
                </c:pt>
                <c:pt idx="514">
                  <c:v>1383.2000000000003</c:v>
                </c:pt>
                <c:pt idx="515">
                  <c:v>1383.2000000000003</c:v>
                </c:pt>
                <c:pt idx="516">
                  <c:v>1387.2000000000003</c:v>
                </c:pt>
                <c:pt idx="517">
                  <c:v>1391.2000000000003</c:v>
                </c:pt>
                <c:pt idx="518">
                  <c:v>1391.2000000000003</c:v>
                </c:pt>
                <c:pt idx="519">
                  <c:v>1391.2000000000003</c:v>
                </c:pt>
                <c:pt idx="520">
                  <c:v>1395.2000000000003</c:v>
                </c:pt>
                <c:pt idx="521">
                  <c:v>1395.2000000000003</c:v>
                </c:pt>
                <c:pt idx="522">
                  <c:v>1399.2000000000003</c:v>
                </c:pt>
                <c:pt idx="523">
                  <c:v>1403.2000000000003</c:v>
                </c:pt>
                <c:pt idx="524">
                  <c:v>1403.2000000000003</c:v>
                </c:pt>
                <c:pt idx="525">
                  <c:v>1407.2000000000003</c:v>
                </c:pt>
                <c:pt idx="526">
                  <c:v>1411.2000000000003</c:v>
                </c:pt>
                <c:pt idx="527">
                  <c:v>1411.2000000000003</c:v>
                </c:pt>
                <c:pt idx="528">
                  <c:v>1415.2000000000003</c:v>
                </c:pt>
                <c:pt idx="529">
                  <c:v>1419.2000000000003</c:v>
                </c:pt>
                <c:pt idx="530">
                  <c:v>1419.2000000000003</c:v>
                </c:pt>
                <c:pt idx="531">
                  <c:v>1419.2000000000003</c:v>
                </c:pt>
                <c:pt idx="532">
                  <c:v>1419.2000000000003</c:v>
                </c:pt>
                <c:pt idx="533">
                  <c:v>1419.2000000000003</c:v>
                </c:pt>
                <c:pt idx="534">
                  <c:v>1423.2000000000003</c:v>
                </c:pt>
                <c:pt idx="535">
                  <c:v>1423.2000000000003</c:v>
                </c:pt>
                <c:pt idx="536">
                  <c:v>1423.2000000000003</c:v>
                </c:pt>
                <c:pt idx="537">
                  <c:v>1427.2000000000003</c:v>
                </c:pt>
                <c:pt idx="538">
                  <c:v>1431.2000000000003</c:v>
                </c:pt>
                <c:pt idx="539">
                  <c:v>1431.2000000000003</c:v>
                </c:pt>
                <c:pt idx="540">
                  <c:v>1435.2000000000003</c:v>
                </c:pt>
                <c:pt idx="541">
                  <c:v>1439.2000000000003</c:v>
                </c:pt>
                <c:pt idx="542">
                  <c:v>1443.6000000000004</c:v>
                </c:pt>
                <c:pt idx="543">
                  <c:v>1443.6000000000004</c:v>
                </c:pt>
                <c:pt idx="544">
                  <c:v>1447.6000000000004</c:v>
                </c:pt>
                <c:pt idx="545">
                  <c:v>1447.6000000000004</c:v>
                </c:pt>
                <c:pt idx="546">
                  <c:v>1447.6000000000004</c:v>
                </c:pt>
                <c:pt idx="547">
                  <c:v>1447.6000000000004</c:v>
                </c:pt>
                <c:pt idx="548">
                  <c:v>1447.6000000000004</c:v>
                </c:pt>
                <c:pt idx="549">
                  <c:v>1447.6000000000004</c:v>
                </c:pt>
                <c:pt idx="550">
                  <c:v>1451.6000000000004</c:v>
                </c:pt>
                <c:pt idx="551">
                  <c:v>1451.6000000000004</c:v>
                </c:pt>
                <c:pt idx="552">
                  <c:v>1455.6000000000004</c:v>
                </c:pt>
                <c:pt idx="553">
                  <c:v>1459.6000000000004</c:v>
                </c:pt>
                <c:pt idx="554">
                  <c:v>1464.0000000000005</c:v>
                </c:pt>
                <c:pt idx="555">
                  <c:v>1468.8000000000004</c:v>
                </c:pt>
                <c:pt idx="556">
                  <c:v>1468.8000000000004</c:v>
                </c:pt>
                <c:pt idx="557">
                  <c:v>1468.8000000000004</c:v>
                </c:pt>
                <c:pt idx="558">
                  <c:v>1468.8000000000004</c:v>
                </c:pt>
                <c:pt idx="559">
                  <c:v>1468.8000000000004</c:v>
                </c:pt>
                <c:pt idx="560">
                  <c:v>1472.8000000000004</c:v>
                </c:pt>
                <c:pt idx="561">
                  <c:v>1476.8000000000004</c:v>
                </c:pt>
                <c:pt idx="562">
                  <c:v>1481.2000000000005</c:v>
                </c:pt>
                <c:pt idx="563">
                  <c:v>1486.0000000000005</c:v>
                </c:pt>
                <c:pt idx="564">
                  <c:v>1486.0000000000005</c:v>
                </c:pt>
                <c:pt idx="565">
                  <c:v>1490.0000000000005</c:v>
                </c:pt>
                <c:pt idx="566">
                  <c:v>1494.0000000000005</c:v>
                </c:pt>
                <c:pt idx="567">
                  <c:v>1498.4000000000005</c:v>
                </c:pt>
                <c:pt idx="568">
                  <c:v>1503.2000000000005</c:v>
                </c:pt>
                <c:pt idx="569">
                  <c:v>1508.4000000000005</c:v>
                </c:pt>
                <c:pt idx="570">
                  <c:v>1514.0000000000005</c:v>
                </c:pt>
                <c:pt idx="571">
                  <c:v>1520.0000000000005</c:v>
                </c:pt>
                <c:pt idx="572">
                  <c:v>1526.4000000000005</c:v>
                </c:pt>
                <c:pt idx="573">
                  <c:v>1526.4000000000005</c:v>
                </c:pt>
                <c:pt idx="574">
                  <c:v>1526.4000000000005</c:v>
                </c:pt>
                <c:pt idx="575">
                  <c:v>1530.4000000000005</c:v>
                </c:pt>
                <c:pt idx="576">
                  <c:v>1530.4000000000005</c:v>
                </c:pt>
                <c:pt idx="577">
                  <c:v>1530.4000000000005</c:v>
                </c:pt>
                <c:pt idx="578">
                  <c:v>1534.4000000000005</c:v>
                </c:pt>
                <c:pt idx="579">
                  <c:v>1534.4000000000005</c:v>
                </c:pt>
                <c:pt idx="580">
                  <c:v>1538.4000000000005</c:v>
                </c:pt>
                <c:pt idx="581">
                  <c:v>1538.4000000000005</c:v>
                </c:pt>
                <c:pt idx="582">
                  <c:v>1542.4000000000005</c:v>
                </c:pt>
                <c:pt idx="583">
                  <c:v>1542.4000000000005</c:v>
                </c:pt>
                <c:pt idx="584">
                  <c:v>1542.4000000000005</c:v>
                </c:pt>
                <c:pt idx="585">
                  <c:v>1542.4000000000005</c:v>
                </c:pt>
                <c:pt idx="586">
                  <c:v>1546.4000000000005</c:v>
                </c:pt>
                <c:pt idx="587">
                  <c:v>1546.4000000000005</c:v>
                </c:pt>
                <c:pt idx="588">
                  <c:v>1550.4000000000005</c:v>
                </c:pt>
                <c:pt idx="589">
                  <c:v>1550.4000000000005</c:v>
                </c:pt>
                <c:pt idx="590">
                  <c:v>1554.4000000000005</c:v>
                </c:pt>
                <c:pt idx="591">
                  <c:v>1554.4000000000005</c:v>
                </c:pt>
                <c:pt idx="592">
                  <c:v>1558.4000000000005</c:v>
                </c:pt>
                <c:pt idx="593">
                  <c:v>1562.4000000000005</c:v>
                </c:pt>
                <c:pt idx="594">
                  <c:v>1566.8000000000006</c:v>
                </c:pt>
                <c:pt idx="595">
                  <c:v>1571.6000000000006</c:v>
                </c:pt>
                <c:pt idx="596">
                  <c:v>1576.8000000000006</c:v>
                </c:pt>
                <c:pt idx="597">
                  <c:v>1576.8000000000006</c:v>
                </c:pt>
                <c:pt idx="598">
                  <c:v>1580.8000000000006</c:v>
                </c:pt>
                <c:pt idx="599">
                  <c:v>1580.8000000000006</c:v>
                </c:pt>
                <c:pt idx="600">
                  <c:v>1584.8000000000006</c:v>
                </c:pt>
                <c:pt idx="601">
                  <c:v>1588.8000000000006</c:v>
                </c:pt>
                <c:pt idx="602">
                  <c:v>1593.2000000000007</c:v>
                </c:pt>
                <c:pt idx="603">
                  <c:v>1598.0000000000007</c:v>
                </c:pt>
                <c:pt idx="604">
                  <c:v>1603.2000000000007</c:v>
                </c:pt>
                <c:pt idx="605">
                  <c:v>1608.8000000000006</c:v>
                </c:pt>
                <c:pt idx="606">
                  <c:v>1608.8000000000006</c:v>
                </c:pt>
                <c:pt idx="607">
                  <c:v>1612.8000000000006</c:v>
                </c:pt>
                <c:pt idx="608">
                  <c:v>1616.8000000000006</c:v>
                </c:pt>
                <c:pt idx="609">
                  <c:v>1621.2000000000007</c:v>
                </c:pt>
                <c:pt idx="610">
                  <c:v>1626.0000000000007</c:v>
                </c:pt>
                <c:pt idx="611">
                  <c:v>1631.2000000000007</c:v>
                </c:pt>
                <c:pt idx="612">
                  <c:v>1636.8000000000006</c:v>
                </c:pt>
                <c:pt idx="613">
                  <c:v>1642.8000000000006</c:v>
                </c:pt>
                <c:pt idx="614">
                  <c:v>1649.2000000000007</c:v>
                </c:pt>
                <c:pt idx="615">
                  <c:v>1649.2000000000007</c:v>
                </c:pt>
                <c:pt idx="616">
                  <c:v>1653.2000000000007</c:v>
                </c:pt>
                <c:pt idx="617">
                  <c:v>1653.2000000000007</c:v>
                </c:pt>
                <c:pt idx="618">
                  <c:v>1657.2000000000007</c:v>
                </c:pt>
                <c:pt idx="619">
                  <c:v>1661.2000000000007</c:v>
                </c:pt>
                <c:pt idx="620">
                  <c:v>1665.6000000000008</c:v>
                </c:pt>
                <c:pt idx="621">
                  <c:v>1665.6000000000008</c:v>
                </c:pt>
                <c:pt idx="622">
                  <c:v>1669.6000000000008</c:v>
                </c:pt>
                <c:pt idx="623">
                  <c:v>1669.6000000000008</c:v>
                </c:pt>
                <c:pt idx="624">
                  <c:v>1673.6000000000008</c:v>
                </c:pt>
                <c:pt idx="625">
                  <c:v>1677.6000000000008</c:v>
                </c:pt>
                <c:pt idx="626">
                  <c:v>1677.6000000000008</c:v>
                </c:pt>
                <c:pt idx="627">
                  <c:v>1677.6000000000008</c:v>
                </c:pt>
                <c:pt idx="628">
                  <c:v>1677.6000000000008</c:v>
                </c:pt>
                <c:pt idx="629">
                  <c:v>1677.6000000000008</c:v>
                </c:pt>
                <c:pt idx="630">
                  <c:v>1681.6000000000008</c:v>
                </c:pt>
                <c:pt idx="631">
                  <c:v>1681.6000000000008</c:v>
                </c:pt>
                <c:pt idx="632">
                  <c:v>1681.6000000000008</c:v>
                </c:pt>
                <c:pt idx="633">
                  <c:v>1685.6000000000008</c:v>
                </c:pt>
                <c:pt idx="634">
                  <c:v>1689.6000000000008</c:v>
                </c:pt>
                <c:pt idx="635">
                  <c:v>1689.6000000000008</c:v>
                </c:pt>
                <c:pt idx="636">
                  <c:v>1693.6000000000008</c:v>
                </c:pt>
                <c:pt idx="637">
                  <c:v>1693.6000000000008</c:v>
                </c:pt>
                <c:pt idx="638">
                  <c:v>1693.6000000000008</c:v>
                </c:pt>
                <c:pt idx="639">
                  <c:v>1693.6000000000008</c:v>
                </c:pt>
                <c:pt idx="640">
                  <c:v>1697.6000000000008</c:v>
                </c:pt>
                <c:pt idx="641">
                  <c:v>1701.6000000000008</c:v>
                </c:pt>
                <c:pt idx="642">
                  <c:v>1701.6000000000008</c:v>
                </c:pt>
                <c:pt idx="643">
                  <c:v>1705.6000000000008</c:v>
                </c:pt>
                <c:pt idx="644">
                  <c:v>1709.6000000000008</c:v>
                </c:pt>
                <c:pt idx="645">
                  <c:v>1709.6000000000008</c:v>
                </c:pt>
                <c:pt idx="646">
                  <c:v>1713.6000000000008</c:v>
                </c:pt>
                <c:pt idx="647">
                  <c:v>1713.6000000000008</c:v>
                </c:pt>
                <c:pt idx="648">
                  <c:v>1713.6000000000008</c:v>
                </c:pt>
                <c:pt idx="649">
                  <c:v>1717.6000000000008</c:v>
                </c:pt>
                <c:pt idx="650">
                  <c:v>1717.6000000000008</c:v>
                </c:pt>
                <c:pt idx="651">
                  <c:v>1721.6000000000008</c:v>
                </c:pt>
                <c:pt idx="652">
                  <c:v>1721.6000000000008</c:v>
                </c:pt>
                <c:pt idx="653">
                  <c:v>1725.6000000000008</c:v>
                </c:pt>
                <c:pt idx="654">
                  <c:v>1725.6000000000008</c:v>
                </c:pt>
                <c:pt idx="655">
                  <c:v>1729.6000000000008</c:v>
                </c:pt>
                <c:pt idx="656">
                  <c:v>1729.6000000000008</c:v>
                </c:pt>
                <c:pt idx="657">
                  <c:v>1733.6000000000008</c:v>
                </c:pt>
                <c:pt idx="658">
                  <c:v>1737.6000000000008</c:v>
                </c:pt>
                <c:pt idx="659">
                  <c:v>1737.6000000000008</c:v>
                </c:pt>
                <c:pt idx="660">
                  <c:v>1741.6000000000008</c:v>
                </c:pt>
                <c:pt idx="661">
                  <c:v>1745.6000000000008</c:v>
                </c:pt>
                <c:pt idx="662">
                  <c:v>1750.0000000000009</c:v>
                </c:pt>
                <c:pt idx="663">
                  <c:v>1754.8000000000009</c:v>
                </c:pt>
                <c:pt idx="664">
                  <c:v>1760.0000000000009</c:v>
                </c:pt>
                <c:pt idx="665">
                  <c:v>1760.0000000000009</c:v>
                </c:pt>
                <c:pt idx="666">
                  <c:v>1760.0000000000009</c:v>
                </c:pt>
                <c:pt idx="667">
                  <c:v>1760.0000000000009</c:v>
                </c:pt>
                <c:pt idx="668">
                  <c:v>1760.0000000000009</c:v>
                </c:pt>
                <c:pt idx="669">
                  <c:v>1760.0000000000009</c:v>
                </c:pt>
                <c:pt idx="670">
                  <c:v>1764.0000000000009</c:v>
                </c:pt>
                <c:pt idx="671">
                  <c:v>1768.0000000000009</c:v>
                </c:pt>
                <c:pt idx="672">
                  <c:v>1772.400000000001</c:v>
                </c:pt>
                <c:pt idx="673">
                  <c:v>1772.400000000001</c:v>
                </c:pt>
                <c:pt idx="674">
                  <c:v>1776.400000000001</c:v>
                </c:pt>
                <c:pt idx="675">
                  <c:v>1776.400000000001</c:v>
                </c:pt>
                <c:pt idx="676">
                  <c:v>1780.400000000001</c:v>
                </c:pt>
                <c:pt idx="677">
                  <c:v>1780.400000000001</c:v>
                </c:pt>
                <c:pt idx="678">
                  <c:v>1784.400000000001</c:v>
                </c:pt>
                <c:pt idx="679">
                  <c:v>1788.400000000001</c:v>
                </c:pt>
                <c:pt idx="680">
                  <c:v>1792.8000000000011</c:v>
                </c:pt>
                <c:pt idx="681">
                  <c:v>1797.600000000001</c:v>
                </c:pt>
                <c:pt idx="682">
                  <c:v>1802.8000000000011</c:v>
                </c:pt>
                <c:pt idx="683">
                  <c:v>1808.400000000001</c:v>
                </c:pt>
                <c:pt idx="684">
                  <c:v>1814.400000000001</c:v>
                </c:pt>
                <c:pt idx="685">
                  <c:v>1820.8000000000011</c:v>
                </c:pt>
                <c:pt idx="686">
                  <c:v>1827.600000000001</c:v>
                </c:pt>
                <c:pt idx="687">
                  <c:v>1834.8000000000011</c:v>
                </c:pt>
                <c:pt idx="688">
                  <c:v>1834.8000000000011</c:v>
                </c:pt>
                <c:pt idx="689">
                  <c:v>1834.8000000000011</c:v>
                </c:pt>
                <c:pt idx="690">
                  <c:v>1834.8000000000011</c:v>
                </c:pt>
                <c:pt idx="691">
                  <c:v>1834.8000000000011</c:v>
                </c:pt>
                <c:pt idx="692">
                  <c:v>1838.8000000000011</c:v>
                </c:pt>
                <c:pt idx="693">
                  <c:v>1838.8000000000011</c:v>
                </c:pt>
                <c:pt idx="694">
                  <c:v>1842.8000000000011</c:v>
                </c:pt>
                <c:pt idx="695">
                  <c:v>1842.8000000000011</c:v>
                </c:pt>
                <c:pt idx="696">
                  <c:v>1842.8000000000011</c:v>
                </c:pt>
                <c:pt idx="697">
                  <c:v>1846.8000000000011</c:v>
                </c:pt>
                <c:pt idx="698">
                  <c:v>1846.8000000000011</c:v>
                </c:pt>
                <c:pt idx="699">
                  <c:v>1846.8000000000011</c:v>
                </c:pt>
                <c:pt idx="700">
                  <c:v>1850.8000000000011</c:v>
                </c:pt>
                <c:pt idx="701">
                  <c:v>1854.8000000000011</c:v>
                </c:pt>
                <c:pt idx="702">
                  <c:v>1859.2000000000012</c:v>
                </c:pt>
                <c:pt idx="703">
                  <c:v>1864.0000000000011</c:v>
                </c:pt>
                <c:pt idx="704">
                  <c:v>1869.2000000000012</c:v>
                </c:pt>
                <c:pt idx="705">
                  <c:v>1869.2000000000012</c:v>
                </c:pt>
                <c:pt idx="706">
                  <c:v>1873.2000000000012</c:v>
                </c:pt>
                <c:pt idx="707">
                  <c:v>1877.2000000000012</c:v>
                </c:pt>
                <c:pt idx="708">
                  <c:v>1881.6000000000013</c:v>
                </c:pt>
                <c:pt idx="709">
                  <c:v>1886.4000000000012</c:v>
                </c:pt>
                <c:pt idx="710">
                  <c:v>1886.4000000000012</c:v>
                </c:pt>
                <c:pt idx="711">
                  <c:v>1890.4000000000012</c:v>
                </c:pt>
                <c:pt idx="712">
                  <c:v>1894.4000000000012</c:v>
                </c:pt>
                <c:pt idx="713">
                  <c:v>1898.8000000000013</c:v>
                </c:pt>
                <c:pt idx="714">
                  <c:v>1898.8000000000013</c:v>
                </c:pt>
                <c:pt idx="715">
                  <c:v>1898.8000000000013</c:v>
                </c:pt>
                <c:pt idx="716">
                  <c:v>1902.8000000000013</c:v>
                </c:pt>
                <c:pt idx="717">
                  <c:v>1906.8000000000013</c:v>
                </c:pt>
                <c:pt idx="718">
                  <c:v>1906.8000000000013</c:v>
                </c:pt>
                <c:pt idx="719">
                  <c:v>1906.8000000000013</c:v>
                </c:pt>
                <c:pt idx="720">
                  <c:v>1910.8000000000013</c:v>
                </c:pt>
                <c:pt idx="721">
                  <c:v>1914.8000000000013</c:v>
                </c:pt>
                <c:pt idx="722">
                  <c:v>1919.2000000000014</c:v>
                </c:pt>
                <c:pt idx="723">
                  <c:v>1924.0000000000014</c:v>
                </c:pt>
                <c:pt idx="724">
                  <c:v>1924.0000000000014</c:v>
                </c:pt>
                <c:pt idx="725">
                  <c:v>1924.0000000000014</c:v>
                </c:pt>
                <c:pt idx="726">
                  <c:v>1928.0000000000014</c:v>
                </c:pt>
                <c:pt idx="727">
                  <c:v>1932.0000000000014</c:v>
                </c:pt>
                <c:pt idx="728">
                  <c:v>1932.0000000000014</c:v>
                </c:pt>
                <c:pt idx="729">
                  <c:v>1932.0000000000014</c:v>
                </c:pt>
                <c:pt idx="730">
                  <c:v>1936.0000000000014</c:v>
                </c:pt>
                <c:pt idx="731">
                  <c:v>1936.0000000000014</c:v>
                </c:pt>
                <c:pt idx="732">
                  <c:v>1936.0000000000014</c:v>
                </c:pt>
                <c:pt idx="733">
                  <c:v>1936.0000000000014</c:v>
                </c:pt>
                <c:pt idx="734">
                  <c:v>1940.0000000000014</c:v>
                </c:pt>
                <c:pt idx="735">
                  <c:v>1944.0000000000014</c:v>
                </c:pt>
                <c:pt idx="736">
                  <c:v>1948.4000000000015</c:v>
                </c:pt>
                <c:pt idx="737">
                  <c:v>1948.4000000000015</c:v>
                </c:pt>
                <c:pt idx="738">
                  <c:v>1952.4000000000015</c:v>
                </c:pt>
                <c:pt idx="739">
                  <c:v>1956.4000000000015</c:v>
                </c:pt>
                <c:pt idx="740">
                  <c:v>1960.8000000000015</c:v>
                </c:pt>
                <c:pt idx="741">
                  <c:v>1965.6000000000015</c:v>
                </c:pt>
                <c:pt idx="742">
                  <c:v>1965.6000000000015</c:v>
                </c:pt>
                <c:pt idx="743">
                  <c:v>1969.6000000000015</c:v>
                </c:pt>
                <c:pt idx="744">
                  <c:v>1969.6000000000015</c:v>
                </c:pt>
                <c:pt idx="745">
                  <c:v>1973.6000000000015</c:v>
                </c:pt>
                <c:pt idx="746">
                  <c:v>1977.6000000000015</c:v>
                </c:pt>
                <c:pt idx="747">
                  <c:v>1982.0000000000016</c:v>
                </c:pt>
                <c:pt idx="748">
                  <c:v>1982.0000000000016</c:v>
                </c:pt>
                <c:pt idx="749">
                  <c:v>1986.0000000000016</c:v>
                </c:pt>
                <c:pt idx="750">
                  <c:v>1990.0000000000016</c:v>
                </c:pt>
                <c:pt idx="751">
                  <c:v>1994.4000000000017</c:v>
                </c:pt>
                <c:pt idx="752">
                  <c:v>1994.4000000000017</c:v>
                </c:pt>
                <c:pt idx="753">
                  <c:v>1998.4000000000017</c:v>
                </c:pt>
                <c:pt idx="754">
                  <c:v>1998.4000000000017</c:v>
                </c:pt>
                <c:pt idx="755">
                  <c:v>2002.4000000000017</c:v>
                </c:pt>
                <c:pt idx="756">
                  <c:v>2002.4000000000017</c:v>
                </c:pt>
                <c:pt idx="757">
                  <c:v>2006.4000000000017</c:v>
                </c:pt>
                <c:pt idx="758">
                  <c:v>2010.4000000000017</c:v>
                </c:pt>
                <c:pt idx="759">
                  <c:v>2014.8000000000018</c:v>
                </c:pt>
                <c:pt idx="760">
                  <c:v>2019.6000000000017</c:v>
                </c:pt>
                <c:pt idx="761">
                  <c:v>2019.6000000000017</c:v>
                </c:pt>
                <c:pt idx="762">
                  <c:v>2023.6000000000017</c:v>
                </c:pt>
                <c:pt idx="763">
                  <c:v>2023.6000000000017</c:v>
                </c:pt>
                <c:pt idx="764">
                  <c:v>2023.6000000000017</c:v>
                </c:pt>
                <c:pt idx="765">
                  <c:v>2023.6000000000017</c:v>
                </c:pt>
                <c:pt idx="766">
                  <c:v>2027.6000000000017</c:v>
                </c:pt>
                <c:pt idx="767">
                  <c:v>2027.6000000000017</c:v>
                </c:pt>
                <c:pt idx="768">
                  <c:v>2031.6000000000017</c:v>
                </c:pt>
                <c:pt idx="769">
                  <c:v>2035.6000000000017</c:v>
                </c:pt>
                <c:pt idx="770">
                  <c:v>2040.0000000000018</c:v>
                </c:pt>
                <c:pt idx="771">
                  <c:v>2040.0000000000018</c:v>
                </c:pt>
                <c:pt idx="772">
                  <c:v>2044.0000000000018</c:v>
                </c:pt>
                <c:pt idx="773">
                  <c:v>2048.0000000000018</c:v>
                </c:pt>
                <c:pt idx="774">
                  <c:v>2048.0000000000018</c:v>
                </c:pt>
                <c:pt idx="775">
                  <c:v>2052.0000000000018</c:v>
                </c:pt>
                <c:pt idx="776">
                  <c:v>2056.0000000000018</c:v>
                </c:pt>
                <c:pt idx="777">
                  <c:v>2060.4000000000019</c:v>
                </c:pt>
                <c:pt idx="778">
                  <c:v>2065.2000000000021</c:v>
                </c:pt>
                <c:pt idx="779">
                  <c:v>2070.4000000000019</c:v>
                </c:pt>
                <c:pt idx="780">
                  <c:v>2076.0000000000018</c:v>
                </c:pt>
                <c:pt idx="781">
                  <c:v>2076.0000000000018</c:v>
                </c:pt>
                <c:pt idx="782">
                  <c:v>2076.0000000000018</c:v>
                </c:pt>
                <c:pt idx="783">
                  <c:v>2080.0000000000018</c:v>
                </c:pt>
                <c:pt idx="784">
                  <c:v>2084.0000000000018</c:v>
                </c:pt>
                <c:pt idx="785">
                  <c:v>2084.0000000000018</c:v>
                </c:pt>
                <c:pt idx="786">
                  <c:v>2088.0000000000018</c:v>
                </c:pt>
                <c:pt idx="787">
                  <c:v>2092.0000000000018</c:v>
                </c:pt>
                <c:pt idx="788">
                  <c:v>2096.4000000000019</c:v>
                </c:pt>
                <c:pt idx="789">
                  <c:v>2101.2000000000021</c:v>
                </c:pt>
                <c:pt idx="790">
                  <c:v>2101.2000000000021</c:v>
                </c:pt>
                <c:pt idx="791">
                  <c:v>2105.2000000000021</c:v>
                </c:pt>
                <c:pt idx="792">
                  <c:v>2109.2000000000021</c:v>
                </c:pt>
                <c:pt idx="793">
                  <c:v>2113.6000000000022</c:v>
                </c:pt>
                <c:pt idx="794">
                  <c:v>2118.4000000000024</c:v>
                </c:pt>
                <c:pt idx="795">
                  <c:v>2123.6000000000022</c:v>
                </c:pt>
                <c:pt idx="796">
                  <c:v>2129.2000000000021</c:v>
                </c:pt>
                <c:pt idx="797">
                  <c:v>2135.2000000000021</c:v>
                </c:pt>
                <c:pt idx="798">
                  <c:v>2135.2000000000021</c:v>
                </c:pt>
                <c:pt idx="799">
                  <c:v>2139.2000000000021</c:v>
                </c:pt>
                <c:pt idx="800">
                  <c:v>2139.2000000000021</c:v>
                </c:pt>
                <c:pt idx="801">
                  <c:v>2143.2000000000021</c:v>
                </c:pt>
                <c:pt idx="802">
                  <c:v>2147.2000000000021</c:v>
                </c:pt>
                <c:pt idx="803">
                  <c:v>2147.2000000000021</c:v>
                </c:pt>
                <c:pt idx="804">
                  <c:v>2151.2000000000021</c:v>
                </c:pt>
                <c:pt idx="805">
                  <c:v>2155.2000000000021</c:v>
                </c:pt>
                <c:pt idx="806">
                  <c:v>2159.6000000000022</c:v>
                </c:pt>
                <c:pt idx="807">
                  <c:v>2164.4000000000024</c:v>
                </c:pt>
                <c:pt idx="808">
                  <c:v>2169.6000000000022</c:v>
                </c:pt>
                <c:pt idx="809">
                  <c:v>2175.2000000000021</c:v>
                </c:pt>
                <c:pt idx="810">
                  <c:v>2181.2000000000021</c:v>
                </c:pt>
                <c:pt idx="811">
                  <c:v>2187.6000000000022</c:v>
                </c:pt>
                <c:pt idx="812">
                  <c:v>2194.4000000000024</c:v>
                </c:pt>
                <c:pt idx="813">
                  <c:v>2201.6000000000022</c:v>
                </c:pt>
                <c:pt idx="814">
                  <c:v>2209.2000000000021</c:v>
                </c:pt>
                <c:pt idx="815">
                  <c:v>2209.2000000000021</c:v>
                </c:pt>
                <c:pt idx="816">
                  <c:v>2209.2000000000021</c:v>
                </c:pt>
                <c:pt idx="817">
                  <c:v>2209.2000000000021</c:v>
                </c:pt>
                <c:pt idx="818">
                  <c:v>2213.2000000000021</c:v>
                </c:pt>
                <c:pt idx="819">
                  <c:v>2217.2000000000021</c:v>
                </c:pt>
                <c:pt idx="820">
                  <c:v>2221.6000000000022</c:v>
                </c:pt>
                <c:pt idx="821">
                  <c:v>2226.4000000000024</c:v>
                </c:pt>
                <c:pt idx="822">
                  <c:v>2226.4000000000024</c:v>
                </c:pt>
                <c:pt idx="823">
                  <c:v>2226.4000000000024</c:v>
                </c:pt>
                <c:pt idx="824">
                  <c:v>2226.4000000000024</c:v>
                </c:pt>
                <c:pt idx="825">
                  <c:v>2226.4000000000024</c:v>
                </c:pt>
                <c:pt idx="826">
                  <c:v>2226.4000000000024</c:v>
                </c:pt>
                <c:pt idx="827">
                  <c:v>2226.4000000000024</c:v>
                </c:pt>
                <c:pt idx="828">
                  <c:v>2230.4000000000024</c:v>
                </c:pt>
                <c:pt idx="829">
                  <c:v>2234.4000000000024</c:v>
                </c:pt>
                <c:pt idx="830">
                  <c:v>2238.8000000000025</c:v>
                </c:pt>
                <c:pt idx="831">
                  <c:v>2238.8000000000025</c:v>
                </c:pt>
                <c:pt idx="832">
                  <c:v>2242.8000000000025</c:v>
                </c:pt>
                <c:pt idx="833">
                  <c:v>2246.8000000000025</c:v>
                </c:pt>
                <c:pt idx="834">
                  <c:v>2251.2000000000025</c:v>
                </c:pt>
                <c:pt idx="835">
                  <c:v>2256.0000000000027</c:v>
                </c:pt>
                <c:pt idx="836">
                  <c:v>2261.2000000000025</c:v>
                </c:pt>
                <c:pt idx="837">
                  <c:v>2266.8000000000025</c:v>
                </c:pt>
                <c:pt idx="838">
                  <c:v>2272.8000000000025</c:v>
                </c:pt>
                <c:pt idx="839">
                  <c:v>2272.8000000000025</c:v>
                </c:pt>
                <c:pt idx="840">
                  <c:v>2272.8000000000025</c:v>
                </c:pt>
                <c:pt idx="841">
                  <c:v>2276.8000000000025</c:v>
                </c:pt>
                <c:pt idx="842">
                  <c:v>2280.8000000000025</c:v>
                </c:pt>
                <c:pt idx="843">
                  <c:v>2285.2000000000025</c:v>
                </c:pt>
                <c:pt idx="844">
                  <c:v>2290.0000000000027</c:v>
                </c:pt>
                <c:pt idx="845">
                  <c:v>2290.0000000000027</c:v>
                </c:pt>
                <c:pt idx="846">
                  <c:v>2290.0000000000027</c:v>
                </c:pt>
                <c:pt idx="847">
                  <c:v>2294.0000000000027</c:v>
                </c:pt>
                <c:pt idx="848">
                  <c:v>2294.0000000000027</c:v>
                </c:pt>
                <c:pt idx="849">
                  <c:v>2298.0000000000027</c:v>
                </c:pt>
                <c:pt idx="850">
                  <c:v>2298.0000000000027</c:v>
                </c:pt>
                <c:pt idx="851">
                  <c:v>2298.0000000000027</c:v>
                </c:pt>
                <c:pt idx="852">
                  <c:v>2302.0000000000027</c:v>
                </c:pt>
                <c:pt idx="853">
                  <c:v>2306.0000000000027</c:v>
                </c:pt>
                <c:pt idx="854">
                  <c:v>2310.4000000000028</c:v>
                </c:pt>
                <c:pt idx="855">
                  <c:v>2315.200000000003</c:v>
                </c:pt>
                <c:pt idx="856">
                  <c:v>2315.200000000003</c:v>
                </c:pt>
                <c:pt idx="857">
                  <c:v>2319.200000000003</c:v>
                </c:pt>
                <c:pt idx="858">
                  <c:v>2319.200000000003</c:v>
                </c:pt>
                <c:pt idx="859">
                  <c:v>2319.200000000003</c:v>
                </c:pt>
                <c:pt idx="860">
                  <c:v>2323.200000000003</c:v>
                </c:pt>
                <c:pt idx="861">
                  <c:v>2323.200000000003</c:v>
                </c:pt>
                <c:pt idx="862">
                  <c:v>2327.200000000003</c:v>
                </c:pt>
                <c:pt idx="863">
                  <c:v>2331.200000000003</c:v>
                </c:pt>
                <c:pt idx="864">
                  <c:v>2331.200000000003</c:v>
                </c:pt>
                <c:pt idx="865">
                  <c:v>2335.200000000003</c:v>
                </c:pt>
                <c:pt idx="866">
                  <c:v>2339.200000000003</c:v>
                </c:pt>
                <c:pt idx="867">
                  <c:v>2343.6000000000031</c:v>
                </c:pt>
                <c:pt idx="868">
                  <c:v>2348.4000000000033</c:v>
                </c:pt>
                <c:pt idx="869">
                  <c:v>2353.6000000000031</c:v>
                </c:pt>
                <c:pt idx="870">
                  <c:v>2353.6000000000031</c:v>
                </c:pt>
                <c:pt idx="871">
                  <c:v>2357.6000000000031</c:v>
                </c:pt>
                <c:pt idx="872">
                  <c:v>2357.6000000000031</c:v>
                </c:pt>
                <c:pt idx="873">
                  <c:v>2361.6000000000031</c:v>
                </c:pt>
                <c:pt idx="874">
                  <c:v>2365.6000000000031</c:v>
                </c:pt>
                <c:pt idx="875">
                  <c:v>2370.0000000000032</c:v>
                </c:pt>
                <c:pt idx="876">
                  <c:v>2374.8000000000034</c:v>
                </c:pt>
                <c:pt idx="877">
                  <c:v>2380.0000000000032</c:v>
                </c:pt>
                <c:pt idx="878">
                  <c:v>2385.6000000000031</c:v>
                </c:pt>
                <c:pt idx="879">
                  <c:v>2385.6000000000031</c:v>
                </c:pt>
                <c:pt idx="880">
                  <c:v>2385.6000000000031</c:v>
                </c:pt>
                <c:pt idx="881">
                  <c:v>2385.6000000000031</c:v>
                </c:pt>
                <c:pt idx="882">
                  <c:v>2389.6000000000031</c:v>
                </c:pt>
                <c:pt idx="883">
                  <c:v>2393.6000000000031</c:v>
                </c:pt>
                <c:pt idx="884">
                  <c:v>2393.6000000000031</c:v>
                </c:pt>
                <c:pt idx="885">
                  <c:v>2397.6000000000031</c:v>
                </c:pt>
                <c:pt idx="886">
                  <c:v>2397.6000000000031</c:v>
                </c:pt>
                <c:pt idx="887">
                  <c:v>2401.6000000000031</c:v>
                </c:pt>
                <c:pt idx="888">
                  <c:v>2405.6000000000031</c:v>
                </c:pt>
                <c:pt idx="889">
                  <c:v>2410.0000000000032</c:v>
                </c:pt>
                <c:pt idx="890">
                  <c:v>2410.0000000000032</c:v>
                </c:pt>
                <c:pt idx="891">
                  <c:v>2414.0000000000032</c:v>
                </c:pt>
                <c:pt idx="892">
                  <c:v>2418.0000000000032</c:v>
                </c:pt>
                <c:pt idx="893">
                  <c:v>2418.0000000000032</c:v>
                </c:pt>
                <c:pt idx="894">
                  <c:v>2422.0000000000032</c:v>
                </c:pt>
                <c:pt idx="895">
                  <c:v>2426.0000000000032</c:v>
                </c:pt>
                <c:pt idx="896">
                  <c:v>2430.4000000000033</c:v>
                </c:pt>
                <c:pt idx="897">
                  <c:v>2435.2000000000035</c:v>
                </c:pt>
                <c:pt idx="898">
                  <c:v>2440.4000000000033</c:v>
                </c:pt>
                <c:pt idx="899">
                  <c:v>2446.0000000000032</c:v>
                </c:pt>
                <c:pt idx="900">
                  <c:v>2446.0000000000032</c:v>
                </c:pt>
                <c:pt idx="901">
                  <c:v>2446.0000000000032</c:v>
                </c:pt>
                <c:pt idx="902">
                  <c:v>2450.0000000000032</c:v>
                </c:pt>
                <c:pt idx="903">
                  <c:v>2450.0000000000032</c:v>
                </c:pt>
                <c:pt idx="904">
                  <c:v>2454.0000000000032</c:v>
                </c:pt>
                <c:pt idx="905">
                  <c:v>2458.0000000000032</c:v>
                </c:pt>
                <c:pt idx="906">
                  <c:v>2458.0000000000032</c:v>
                </c:pt>
                <c:pt idx="907">
                  <c:v>2462.0000000000032</c:v>
                </c:pt>
                <c:pt idx="908">
                  <c:v>2466.0000000000032</c:v>
                </c:pt>
                <c:pt idx="909">
                  <c:v>2470.4000000000033</c:v>
                </c:pt>
                <c:pt idx="910">
                  <c:v>2470.4000000000033</c:v>
                </c:pt>
                <c:pt idx="911">
                  <c:v>2474.4000000000033</c:v>
                </c:pt>
                <c:pt idx="912">
                  <c:v>2474.4000000000033</c:v>
                </c:pt>
                <c:pt idx="913">
                  <c:v>2478.4000000000033</c:v>
                </c:pt>
                <c:pt idx="914">
                  <c:v>2478.4000000000033</c:v>
                </c:pt>
                <c:pt idx="915">
                  <c:v>2478.4000000000033</c:v>
                </c:pt>
                <c:pt idx="916">
                  <c:v>2482.4000000000033</c:v>
                </c:pt>
                <c:pt idx="917">
                  <c:v>2486.4000000000033</c:v>
                </c:pt>
                <c:pt idx="918">
                  <c:v>2486.4000000000033</c:v>
                </c:pt>
                <c:pt idx="919">
                  <c:v>2490.4000000000033</c:v>
                </c:pt>
                <c:pt idx="920">
                  <c:v>2494.4000000000033</c:v>
                </c:pt>
                <c:pt idx="921">
                  <c:v>2494.4000000000033</c:v>
                </c:pt>
                <c:pt idx="922">
                  <c:v>2494.4000000000033</c:v>
                </c:pt>
                <c:pt idx="923">
                  <c:v>2498.4000000000033</c:v>
                </c:pt>
                <c:pt idx="924">
                  <c:v>2502.4000000000033</c:v>
                </c:pt>
                <c:pt idx="925">
                  <c:v>2506.8000000000034</c:v>
                </c:pt>
                <c:pt idx="926">
                  <c:v>2506.8000000000034</c:v>
                </c:pt>
                <c:pt idx="927">
                  <c:v>2510.8000000000034</c:v>
                </c:pt>
                <c:pt idx="928">
                  <c:v>2514.8000000000034</c:v>
                </c:pt>
                <c:pt idx="929">
                  <c:v>2514.8000000000034</c:v>
                </c:pt>
                <c:pt idx="930">
                  <c:v>2514.8000000000034</c:v>
                </c:pt>
                <c:pt idx="931">
                  <c:v>2518.8000000000034</c:v>
                </c:pt>
                <c:pt idx="932">
                  <c:v>2522.8000000000034</c:v>
                </c:pt>
                <c:pt idx="933">
                  <c:v>2527.2000000000035</c:v>
                </c:pt>
                <c:pt idx="934">
                  <c:v>2527.2000000000035</c:v>
                </c:pt>
                <c:pt idx="935">
                  <c:v>2527.2000000000035</c:v>
                </c:pt>
                <c:pt idx="936">
                  <c:v>2531.2000000000035</c:v>
                </c:pt>
                <c:pt idx="937">
                  <c:v>2531.2000000000035</c:v>
                </c:pt>
                <c:pt idx="938">
                  <c:v>2531.2000000000035</c:v>
                </c:pt>
                <c:pt idx="939">
                  <c:v>2535.2000000000035</c:v>
                </c:pt>
                <c:pt idx="940">
                  <c:v>2539.2000000000035</c:v>
                </c:pt>
                <c:pt idx="941">
                  <c:v>2539.2000000000035</c:v>
                </c:pt>
                <c:pt idx="942">
                  <c:v>2543.2000000000035</c:v>
                </c:pt>
                <c:pt idx="943">
                  <c:v>2543.2000000000035</c:v>
                </c:pt>
                <c:pt idx="944">
                  <c:v>2543.2000000000035</c:v>
                </c:pt>
                <c:pt idx="945">
                  <c:v>2543.2000000000035</c:v>
                </c:pt>
                <c:pt idx="946">
                  <c:v>2547.2000000000035</c:v>
                </c:pt>
                <c:pt idx="947">
                  <c:v>2547.2000000000035</c:v>
                </c:pt>
                <c:pt idx="948">
                  <c:v>2551.2000000000035</c:v>
                </c:pt>
                <c:pt idx="949">
                  <c:v>2555.2000000000035</c:v>
                </c:pt>
                <c:pt idx="950">
                  <c:v>2555.2000000000035</c:v>
                </c:pt>
                <c:pt idx="951">
                  <c:v>2555.2000000000035</c:v>
                </c:pt>
                <c:pt idx="952">
                  <c:v>2559.2000000000035</c:v>
                </c:pt>
                <c:pt idx="953">
                  <c:v>2563.2000000000035</c:v>
                </c:pt>
                <c:pt idx="954">
                  <c:v>2567.6000000000035</c:v>
                </c:pt>
                <c:pt idx="955">
                  <c:v>2567.6000000000035</c:v>
                </c:pt>
                <c:pt idx="956">
                  <c:v>2571.6000000000035</c:v>
                </c:pt>
                <c:pt idx="957">
                  <c:v>2571.6000000000035</c:v>
                </c:pt>
                <c:pt idx="958">
                  <c:v>2571.6000000000035</c:v>
                </c:pt>
                <c:pt idx="959">
                  <c:v>2571.6000000000035</c:v>
                </c:pt>
                <c:pt idx="960">
                  <c:v>2571.6000000000035</c:v>
                </c:pt>
                <c:pt idx="961">
                  <c:v>2571.6000000000035</c:v>
                </c:pt>
                <c:pt idx="962">
                  <c:v>2575.6000000000035</c:v>
                </c:pt>
                <c:pt idx="963">
                  <c:v>2579.6000000000035</c:v>
                </c:pt>
                <c:pt idx="964">
                  <c:v>2584.0000000000036</c:v>
                </c:pt>
                <c:pt idx="965">
                  <c:v>2588.8000000000038</c:v>
                </c:pt>
                <c:pt idx="966">
                  <c:v>2588.8000000000038</c:v>
                </c:pt>
                <c:pt idx="967">
                  <c:v>2592.8000000000038</c:v>
                </c:pt>
                <c:pt idx="968">
                  <c:v>2592.8000000000038</c:v>
                </c:pt>
                <c:pt idx="969">
                  <c:v>2596.8000000000038</c:v>
                </c:pt>
                <c:pt idx="970">
                  <c:v>2596.8000000000038</c:v>
                </c:pt>
                <c:pt idx="971">
                  <c:v>2596.8000000000038</c:v>
                </c:pt>
                <c:pt idx="972">
                  <c:v>2600.8000000000038</c:v>
                </c:pt>
                <c:pt idx="973">
                  <c:v>2600.8000000000038</c:v>
                </c:pt>
                <c:pt idx="974">
                  <c:v>2604.8000000000038</c:v>
                </c:pt>
                <c:pt idx="975">
                  <c:v>2604.8000000000038</c:v>
                </c:pt>
                <c:pt idx="976">
                  <c:v>2604.8000000000038</c:v>
                </c:pt>
                <c:pt idx="977">
                  <c:v>2608.8000000000038</c:v>
                </c:pt>
                <c:pt idx="978">
                  <c:v>2612.8000000000038</c:v>
                </c:pt>
                <c:pt idx="979">
                  <c:v>2617.2000000000039</c:v>
                </c:pt>
                <c:pt idx="980">
                  <c:v>2617.2000000000039</c:v>
                </c:pt>
                <c:pt idx="981">
                  <c:v>2621.2000000000039</c:v>
                </c:pt>
                <c:pt idx="982">
                  <c:v>2621.2000000000039</c:v>
                </c:pt>
                <c:pt idx="983">
                  <c:v>2621.2000000000039</c:v>
                </c:pt>
                <c:pt idx="984">
                  <c:v>2621.2000000000039</c:v>
                </c:pt>
                <c:pt idx="985">
                  <c:v>2625.2000000000039</c:v>
                </c:pt>
                <c:pt idx="986">
                  <c:v>2629.2000000000039</c:v>
                </c:pt>
                <c:pt idx="987">
                  <c:v>2633.600000000004</c:v>
                </c:pt>
                <c:pt idx="988">
                  <c:v>2638.4000000000042</c:v>
                </c:pt>
                <c:pt idx="989">
                  <c:v>2643.600000000004</c:v>
                </c:pt>
                <c:pt idx="990">
                  <c:v>2649.2000000000039</c:v>
                </c:pt>
                <c:pt idx="991">
                  <c:v>2649.2000000000039</c:v>
                </c:pt>
                <c:pt idx="992">
                  <c:v>2649.2000000000039</c:v>
                </c:pt>
                <c:pt idx="993">
                  <c:v>2653.2000000000039</c:v>
                </c:pt>
                <c:pt idx="994">
                  <c:v>2657.2000000000039</c:v>
                </c:pt>
                <c:pt idx="995">
                  <c:v>2657.2000000000039</c:v>
                </c:pt>
                <c:pt idx="996">
                  <c:v>2661.2000000000039</c:v>
                </c:pt>
                <c:pt idx="997">
                  <c:v>2661.2000000000039</c:v>
                </c:pt>
                <c:pt idx="998">
                  <c:v>2661.2000000000039</c:v>
                </c:pt>
                <c:pt idx="999">
                  <c:v>2665.2000000000039</c:v>
                </c:pt>
                <c:pt idx="1000">
                  <c:v>2669.2000000000039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40-DC47-9973-A1423D483A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6381120"/>
        <c:axId val="1066382912"/>
      </c:lineChart>
      <c:catAx>
        <c:axId val="10663811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1066382912"/>
        <c:crosses val="autoZero"/>
        <c:auto val="1"/>
        <c:lblAlgn val="ctr"/>
        <c:lblOffset val="100"/>
        <c:noMultiLvlLbl val="0"/>
      </c:catAx>
      <c:valAx>
        <c:axId val="106638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1066381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13558</xdr:colOff>
      <xdr:row>7</xdr:row>
      <xdr:rowOff>36689</xdr:rowOff>
    </xdr:from>
    <xdr:to>
      <xdr:col>11</xdr:col>
      <xdr:colOff>557389</xdr:colOff>
      <xdr:row>18</xdr:row>
      <xdr:rowOff>153941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84E1AC-46B7-5050-DD90-B657422E49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22466</xdr:colOff>
      <xdr:row>7</xdr:row>
      <xdr:rowOff>19242</xdr:rowOff>
    </xdr:from>
    <xdr:to>
      <xdr:col>18</xdr:col>
      <xdr:colOff>606136</xdr:colOff>
      <xdr:row>18</xdr:row>
      <xdr:rowOff>177527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A537446-7DC5-834A-F5C6-A7BC7D8E66FB}"/>
            </a:ext>
            <a:ext uri="{147F2762-F138-4A5C-976F-8EAC2B608ADB}">
              <a16:predDERef xmlns:a16="http://schemas.microsoft.com/office/drawing/2014/main" pred="{3284E1AC-46B7-5050-DD90-B657422E49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86C4BF-AE6F-044D-93E2-63EDC1C3B194}" name="Tableau1" displayName="Tableau1" ref="AO2:AU63" totalsRowShown="0" headerRowDxfId="86">
  <autoFilter ref="AO2:AU63" xr:uid="{4486C4BF-AE6F-044D-93E2-63EDC1C3B194}"/>
  <sortState xmlns:xlrd2="http://schemas.microsoft.com/office/spreadsheetml/2017/richdata2" ref="AO3:AU63">
    <sortCondition descending="1" ref="AU2:AU63"/>
  </sortState>
  <tableColumns count="7">
    <tableColumn id="1" xr3:uid="{91D34635-A5DB-C648-A1F9-C066511FA9AA}" name="Player id"/>
    <tableColumn id="2" xr3:uid="{CD4BAED5-E873-C04F-AE6B-0A33E81ED85E}" name="Dragon fruit"/>
    <tableColumn id="3" xr3:uid="{4528B460-F4D8-1C49-9700-B300A2988737}" name="Bamboo shoot"/>
    <tableColumn id="4" xr3:uid="{548431E4-B3C7-524F-B224-83805CC387D0}" name="Carrot"/>
    <tableColumn id="5" xr3:uid="{02FEC7AE-194E-E443-80BE-002277C3C790}" name="Phantom fruit"/>
    <tableColumn id="6" xr3:uid="{39276B89-7605-E349-83ED-B482A19A8A8E}" name="Clocko fruit"/>
    <tableColumn id="7" xr3:uid="{972A68AA-6FAC-5F46-8292-EE806861AA1E}" name="Average" dataDxfId="85">
      <calculatedColumnFormula>AVERAGE(Tableau1[[#This Row],[Dragon fruit]:[Clocko fruit]])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B8B1DE2-E3C1-1146-B270-50D85E6C4DC4}" name="Tableau2" displayName="Tableau2" ref="AW2:AX63" totalsRowShown="0" headerRowDxfId="84" dataDxfId="82" headerRowBorderDxfId="83" tableBorderDxfId="81" totalsRowBorderDxfId="80">
  <autoFilter ref="AW2:AX63" xr:uid="{2B8B1DE2-E3C1-1146-B270-50D85E6C4DC4}"/>
  <sortState xmlns:xlrd2="http://schemas.microsoft.com/office/spreadsheetml/2017/richdata2" ref="AW3:AX63">
    <sortCondition descending="1" ref="AX2:AX63"/>
  </sortState>
  <tableColumns count="2">
    <tableColumn id="1" xr3:uid="{A2E787FC-A5E1-D249-B640-6F4A571D947A}" name="Player id" dataDxfId="79"/>
    <tableColumn id="2" xr3:uid="{C7E046FE-D1B7-9945-AAEC-ECFFA21F2F05}" name="Dragon fruit" dataDxfId="7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14B4434-C1BD-FF48-9254-45F5ABD378AA}" name="Tableau3" displayName="Tableau3" ref="AY2:AZ63" totalsRowShown="0" headerRowDxfId="77" dataDxfId="75" headerRowBorderDxfId="76" tableBorderDxfId="74" totalsRowBorderDxfId="73">
  <autoFilter ref="AY2:AZ63" xr:uid="{F14B4434-C1BD-FF48-9254-45F5ABD378AA}"/>
  <sortState xmlns:xlrd2="http://schemas.microsoft.com/office/spreadsheetml/2017/richdata2" ref="AY3:AZ63">
    <sortCondition descending="1" ref="AZ2:AZ63"/>
  </sortState>
  <tableColumns count="2">
    <tableColumn id="1" xr3:uid="{B97D4C0D-A042-3E4E-92BC-4CB93CB1ECB1}" name="Player id" dataDxfId="72"/>
    <tableColumn id="2" xr3:uid="{70ADDA47-2DA7-EE4B-A70E-9A14F820A230}" name="Bamboo shoot" dataDxfId="7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251101D-F9A4-A64E-AE7D-84C329375EB3}" name="Tableau4" displayName="Tableau4" ref="BA2:BB63" totalsRowShown="0" headerRowDxfId="70" dataDxfId="68" headerRowBorderDxfId="69" tableBorderDxfId="67" totalsRowBorderDxfId="66">
  <autoFilter ref="BA2:BB63" xr:uid="{8251101D-F9A4-A64E-AE7D-84C329375EB3}"/>
  <sortState xmlns:xlrd2="http://schemas.microsoft.com/office/spreadsheetml/2017/richdata2" ref="BA3:BB63">
    <sortCondition descending="1" ref="BB2:BB63"/>
  </sortState>
  <tableColumns count="2">
    <tableColumn id="1" xr3:uid="{1EF03151-0496-8041-A1D6-D832796B7172}" name="Player id" dataDxfId="65"/>
    <tableColumn id="2" xr3:uid="{EEB04574-CD27-BF43-B160-3C0A4D7C5E3E}" name="Carrot" dataDxfId="6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CADF3EB-8EA2-404C-A4E7-00D5FFD5DA3C}" name="Tableau5" displayName="Tableau5" ref="BC2:BD63" totalsRowShown="0" headerRowDxfId="63" dataDxfId="61" headerRowBorderDxfId="62" tableBorderDxfId="60" totalsRowBorderDxfId="59">
  <autoFilter ref="BC2:BD63" xr:uid="{ECADF3EB-8EA2-404C-A4E7-00D5FFD5DA3C}"/>
  <sortState xmlns:xlrd2="http://schemas.microsoft.com/office/spreadsheetml/2017/richdata2" ref="BC3:BD63">
    <sortCondition descending="1" ref="BD2:BD63"/>
  </sortState>
  <tableColumns count="2">
    <tableColumn id="1" xr3:uid="{4EC2D3EF-F073-394D-A7CD-FBB76FEB709A}" name="Player id" dataDxfId="58"/>
    <tableColumn id="2" xr3:uid="{A3E7287B-EA8B-0D4E-BFB6-12EBE7FFB9C3}" name="Phantom fruit" dataDxfId="57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5ABDD0B-7F8F-8A43-9BDD-F4F7C3F5BF7C}" name="Tableau6" displayName="Tableau6" ref="BE2:BF63" totalsRowShown="0" headerRowDxfId="56" dataDxfId="54" headerRowBorderDxfId="55" tableBorderDxfId="53" totalsRowBorderDxfId="52">
  <autoFilter ref="BE2:BF63" xr:uid="{05ABDD0B-7F8F-8A43-9BDD-F4F7C3F5BF7C}"/>
  <sortState xmlns:xlrd2="http://schemas.microsoft.com/office/spreadsheetml/2017/richdata2" ref="BE3:BF63">
    <sortCondition descending="1" ref="BF2:BF63"/>
  </sortState>
  <tableColumns count="2">
    <tableColumn id="1" xr3:uid="{626A6D84-49CC-234F-9D49-5B06369D3FBB}" name="Player id" dataDxfId="51"/>
    <tableColumn id="2" xr3:uid="{6A01E90B-4BC8-314D-A273-BEBD09E8F9C2}" name="Clocko fruit" dataDxfId="5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3D2E99D-6E8A-1249-917E-8AD4308A492A}" name="Tableau18" displayName="Tableau18" ref="B2:I63" totalsRowShown="0" headerRowDxfId="49">
  <autoFilter ref="B2:I63" xr:uid="{93D2E99D-6E8A-1249-917E-8AD4308A492A}"/>
  <sortState xmlns:xlrd2="http://schemas.microsoft.com/office/spreadsheetml/2017/richdata2" ref="B3:I63">
    <sortCondition descending="1" ref="I2:I63"/>
  </sortState>
  <tableColumns count="8">
    <tableColumn id="1" xr3:uid="{157BE217-E842-0C47-A85B-7234BD1DDC78}" name="Player id"/>
    <tableColumn id="2" xr3:uid="{6CB70E47-6161-7D4F-BBF3-08DE868D3158}" name="Bamboo shoot" dataDxfId="48"/>
    <tableColumn id="3" xr3:uid="{6547ED81-2726-B043-8EE2-9C5946140AAC}" name="Dragon fruit" dataDxfId="47"/>
    <tableColumn id="4" xr3:uid="{67A86883-65B1-6B4C-9EC4-65756A247A06}" name="Phantom fruit" dataDxfId="46"/>
    <tableColumn id="8" xr3:uid="{40450F16-90B6-614D-AA97-A47385AD9B98}" name="Carrot" dataDxfId="45"/>
    <tableColumn id="5" xr3:uid="{5332D852-F6AD-D547-8E18-F87E6C4D5D28}" name="Cherry" dataDxfId="44"/>
    <tableColumn id="6" xr3:uid="{EDAE5DBF-50CC-3F42-BD00-F1E0C7B24BAA}" name="Clocko fruit" dataDxfId="43"/>
    <tableColumn id="7" xr3:uid="{D40CC9F0-3BD6-3542-A1F1-484BD6845719}" name="Average" dataDxfId="42">
      <calculatedColumnFormula>AVERAGE(Tableau18[[#This Row],[Bamboo shoot]:[Clocko fruit]])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35F0CDE-46D7-514A-AC46-10C602B7CD5F}" name="Tableau29" displayName="Tableau29" ref="K2:L63" totalsRowShown="0" headerRowDxfId="41" dataDxfId="39" headerRowBorderDxfId="40" tableBorderDxfId="38" totalsRowBorderDxfId="37">
  <autoFilter ref="K2:L63" xr:uid="{235F0CDE-46D7-514A-AC46-10C602B7CD5F}"/>
  <sortState xmlns:xlrd2="http://schemas.microsoft.com/office/spreadsheetml/2017/richdata2" ref="K3:L63">
    <sortCondition descending="1" ref="L2:L63"/>
  </sortState>
  <tableColumns count="2">
    <tableColumn id="1" xr3:uid="{99ED7C60-E6A2-B644-AF43-EDB36230968C}" name="Player id" dataDxfId="36"/>
    <tableColumn id="2" xr3:uid="{FEBA44CD-D210-B44C-8714-B06B09D5E98A}" name="Bamboo shoot" dataDxfId="35">
      <calculatedColumnFormula>VLOOKUP(Tableau29[[#This Row],[Player id]],Tableau18[[Player id]:[Clocko fruit]],2,0)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99589D5-0812-AE48-81B2-C34602D02B1E}" name="Tableau310" displayName="Tableau310" ref="M2:N63" totalsRowShown="0" headerRowDxfId="34" dataDxfId="32" headerRowBorderDxfId="33" tableBorderDxfId="31" totalsRowBorderDxfId="30">
  <autoFilter ref="M2:N63" xr:uid="{399589D5-0812-AE48-81B2-C34602D02B1E}"/>
  <sortState xmlns:xlrd2="http://schemas.microsoft.com/office/spreadsheetml/2017/richdata2" ref="M3:N63">
    <sortCondition descending="1" ref="N2:N63"/>
  </sortState>
  <tableColumns count="2">
    <tableColumn id="1" xr3:uid="{AC28EE11-47FB-FA46-92B5-1E2A9B158E8F}" name="Player id" dataDxfId="29"/>
    <tableColumn id="2" xr3:uid="{08E6D857-C519-A842-8971-28885E00ED64}" name="Dragon fruit" dataDxfId="28">
      <calculatedColumnFormula>VLOOKUP(Tableau310[[#This Row],[Player id]],Tableau18[[Player id]:[Clocko fruit]],3,0)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11C71C8-A654-7342-B192-8ADC1AF0AF64}" name="Tableau411" displayName="Tableau411" ref="O2:P63" totalsRowShown="0" headerRowDxfId="27" dataDxfId="25" headerRowBorderDxfId="26" tableBorderDxfId="24" totalsRowBorderDxfId="23">
  <autoFilter ref="O2:P63" xr:uid="{711C71C8-A654-7342-B192-8ADC1AF0AF64}"/>
  <sortState xmlns:xlrd2="http://schemas.microsoft.com/office/spreadsheetml/2017/richdata2" ref="O3:P63">
    <sortCondition descending="1" ref="P2:P63"/>
  </sortState>
  <tableColumns count="2">
    <tableColumn id="1" xr3:uid="{612F406D-1CDA-A14D-9C50-DC63F3A35BC9}" name="Player id" dataDxfId="22"/>
    <tableColumn id="2" xr3:uid="{F09C6223-C78E-E44D-9AB9-1B999DD99E92}" name="Phantom fruit" dataDxfId="21">
      <calculatedColumnFormula>VLOOKUP(Tableau411[[#This Row],[Player id]],Tableau18[[Player id]:[Clocko fruit]],4,0)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BF52AE8-9581-7A4F-8C89-414A6CB32F71}" name="Tableau512" displayName="Tableau512" ref="Q2:R63" totalsRowShown="0" headerRowDxfId="20" dataDxfId="18" headerRowBorderDxfId="19" tableBorderDxfId="17" totalsRowBorderDxfId="16">
  <autoFilter ref="Q2:R63" xr:uid="{5BF52AE8-9581-7A4F-8C89-414A6CB32F71}"/>
  <sortState xmlns:xlrd2="http://schemas.microsoft.com/office/spreadsheetml/2017/richdata2" ref="Q3:R63">
    <sortCondition descending="1" ref="R2:R63"/>
  </sortState>
  <tableColumns count="2">
    <tableColumn id="1" xr3:uid="{A51A37A4-40E5-AE49-A374-3F8A0E345484}" name="Player id" dataDxfId="15"/>
    <tableColumn id="2" xr3:uid="{4BE695CE-4561-4C49-8134-CD2000660677}" name="Carrot" dataDxfId="14">
      <calculatedColumnFormula>VLOOKUP(Tableau512[[#This Row],[Player id]],Tableau18[[Player id]:[Clocko fruit]],5,0)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25224AA-42C6-EF43-BD02-58006A70B26A}" name="Tableau613" displayName="Tableau613" ref="S2:T63" totalsRowShown="0" headerRowDxfId="13" dataDxfId="11" headerRowBorderDxfId="12" tableBorderDxfId="10" totalsRowBorderDxfId="9">
  <autoFilter ref="S2:T63" xr:uid="{725224AA-42C6-EF43-BD02-58006A70B26A}"/>
  <sortState xmlns:xlrd2="http://schemas.microsoft.com/office/spreadsheetml/2017/richdata2" ref="S3:T63">
    <sortCondition descending="1" ref="T2:T63"/>
  </sortState>
  <tableColumns count="2">
    <tableColumn id="1" xr3:uid="{073A69D0-7EE3-EB48-BA96-4FB9E3D13B1A}" name="Player id" dataDxfId="8"/>
    <tableColumn id="2" xr3:uid="{BEA6B22A-CAE8-D840-9A40-3A17545AC997}" name="Cherry" dataDxfId="7">
      <calculatedColumnFormula>VLOOKUP(Tableau613[[#This Row],[Player id]],Tableau18[[Player id]:[Clocko fruit]],5,0)</calculatedColumnFormula>
    </tableColumn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2FF64F0-520A-3F4C-8B84-0C9917BB4FE6}" name="Tableau61314" displayName="Tableau61314" ref="U2:V63" totalsRowShown="0" headerRowDxfId="6" dataDxfId="4" headerRowBorderDxfId="5" tableBorderDxfId="3" totalsRowBorderDxfId="2">
  <autoFilter ref="U2:V63" xr:uid="{D2FF64F0-520A-3F4C-8B84-0C9917BB4FE6}"/>
  <sortState xmlns:xlrd2="http://schemas.microsoft.com/office/spreadsheetml/2017/richdata2" ref="U3:V63">
    <sortCondition descending="1" ref="V2:V63"/>
  </sortState>
  <tableColumns count="2">
    <tableColumn id="1" xr3:uid="{95668D2D-2437-4944-A53F-032D5AB99ED8}" name="Player id" dataDxfId="1"/>
    <tableColumn id="2" xr3:uid="{09FF6434-8F0E-8748-990B-19CBF00DD927}" name="Clocko fruit" dataDxfId="0">
      <calculatedColumnFormula>VLOOKUP(Tableau61314[[#This Row],[Player id]],Tableau18[[Player id]:[Clocko fruit]],6,0)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93A99-B024-554B-9882-ED2604C9D809}">
  <dimension ref="A1:AR218"/>
  <sheetViews>
    <sheetView zoomScaleNormal="150" zoomScaleSheetLayoutView="100" workbookViewId="0">
      <selection activeCell="AL4" sqref="AL4"/>
    </sheetView>
  </sheetViews>
  <sheetFormatPr defaultColWidth="8.609375" defaultRowHeight="15" x14ac:dyDescent="0.2"/>
  <cols>
    <col min="1" max="1" width="11.02734375" bestFit="1" customWidth="1"/>
    <col min="2" max="3" width="8.875" bestFit="1" customWidth="1"/>
    <col min="12" max="12" width="6.05078125" bestFit="1" customWidth="1"/>
    <col min="13" max="13" width="6.9921875" bestFit="1" customWidth="1"/>
    <col min="14" max="14" width="6.9921875" customWidth="1"/>
    <col min="15" max="15" width="4.03515625" bestFit="1" customWidth="1"/>
    <col min="16" max="16" width="5.109375" bestFit="1" customWidth="1"/>
    <col min="17" max="17" width="3.359375" bestFit="1" customWidth="1"/>
    <col min="18" max="18" width="4.4375" bestFit="1" customWidth="1"/>
    <col min="19" max="19" width="8.33984375" bestFit="1" customWidth="1"/>
    <col min="25" max="25" width="6.58984375" hidden="1" customWidth="1"/>
    <col min="26" max="26" width="5.91796875" bestFit="1" customWidth="1"/>
    <col min="27" max="27" width="5.37890625" hidden="1" customWidth="1"/>
    <col min="28" max="28" width="6.1875" bestFit="1" customWidth="1"/>
    <col min="29" max="29" width="6.1875" hidden="1" customWidth="1"/>
    <col min="30" max="30" width="7.26171875" bestFit="1" customWidth="1"/>
    <col min="31" max="31" width="6.1875" hidden="1" customWidth="1"/>
    <col min="32" max="32" width="7.26171875" bestFit="1" customWidth="1"/>
    <col min="33" max="33" width="6.1875" hidden="1" customWidth="1"/>
    <col min="34" max="34" width="8.203125" bestFit="1" customWidth="1"/>
    <col min="35" max="35" width="7.26171875" hidden="1" customWidth="1"/>
    <col min="36" max="36" width="8.203125" bestFit="1" customWidth="1"/>
    <col min="38" max="38" width="9.55078125" bestFit="1" customWidth="1"/>
  </cols>
  <sheetData>
    <row r="1" spans="1:44" ht="15.75" thickBot="1" x14ac:dyDescent="0.25">
      <c r="A1" t="s">
        <v>30</v>
      </c>
      <c r="B1" t="s">
        <v>31</v>
      </c>
      <c r="C1">
        <v>1</v>
      </c>
      <c r="D1">
        <v>2</v>
      </c>
      <c r="E1">
        <v>3</v>
      </c>
      <c r="F1">
        <v>5</v>
      </c>
      <c r="G1">
        <v>10</v>
      </c>
      <c r="H1">
        <v>20</v>
      </c>
      <c r="I1" t="s">
        <v>33</v>
      </c>
      <c r="L1" s="71" t="s">
        <v>59</v>
      </c>
      <c r="M1" s="72"/>
      <c r="N1" s="72"/>
      <c r="O1" s="72"/>
      <c r="P1" s="72"/>
      <c r="Q1" s="72"/>
      <c r="R1" s="72"/>
      <c r="S1" s="73"/>
    </row>
    <row r="2" spans="1:44" ht="15.75" thickBot="1" x14ac:dyDescent="0.25">
      <c r="A2" t="s">
        <v>0</v>
      </c>
      <c r="B2" s="1">
        <v>0.43480000000000002</v>
      </c>
      <c r="D2" s="1"/>
      <c r="E2" s="1"/>
      <c r="F2" s="1"/>
      <c r="G2" s="1"/>
      <c r="I2">
        <f>SUMPRODUCT(C2:H2,C$1:H$1)*B2</f>
        <v>0</v>
      </c>
      <c r="L2" s="29" t="s">
        <v>60</v>
      </c>
      <c r="M2" s="30" t="s">
        <v>61</v>
      </c>
      <c r="N2" s="31" t="s">
        <v>65</v>
      </c>
      <c r="O2" s="16" t="s">
        <v>58</v>
      </c>
      <c r="P2" s="17" t="s">
        <v>57</v>
      </c>
      <c r="Q2" s="17" t="s">
        <v>63</v>
      </c>
      <c r="R2" s="17" t="s">
        <v>64</v>
      </c>
      <c r="S2" s="18" t="s">
        <v>62</v>
      </c>
    </row>
    <row r="3" spans="1:44" x14ac:dyDescent="0.2">
      <c r="A3" t="s">
        <v>1</v>
      </c>
      <c r="B3" s="1">
        <v>0.28989999999999999</v>
      </c>
      <c r="D3" s="1"/>
      <c r="E3" s="1"/>
      <c r="F3" s="1"/>
      <c r="G3" s="1"/>
      <c r="I3">
        <f t="shared" ref="I3:I32" si="0">SUMPRODUCT(C3:H3,C$1:H$1)*B3</f>
        <v>0</v>
      </c>
      <c r="L3" s="32">
        <v>80</v>
      </c>
      <c r="M3" s="27">
        <f>SUM(L$3:L3)</f>
        <v>80</v>
      </c>
      <c r="N3" s="33">
        <f>M3*0.255*4</f>
        <v>81.599999999999994</v>
      </c>
      <c r="O3" s="51" t="str">
        <f>IF(_xlfn.TEXTAFTER($S3," ")="PB",_xlfn.TEXTBEFORE($S3," "),0)</f>
        <v>80</v>
      </c>
      <c r="P3" s="52" t="str">
        <f>O3</f>
        <v>80</v>
      </c>
      <c r="Q3" s="52">
        <f>IF(_xlfn.TEXTAFTER($S3," ")="CP",_xlfn.TEXTBEFORE($S3," "),0)</f>
        <v>0</v>
      </c>
      <c r="R3" s="52">
        <f>Q3</f>
        <v>0</v>
      </c>
      <c r="S3" s="53" t="s">
        <v>173</v>
      </c>
      <c r="W3" s="27"/>
      <c r="X3" s="27" t="s">
        <v>203</v>
      </c>
      <c r="Y3" s="27" t="s">
        <v>182</v>
      </c>
      <c r="Z3" s="27" t="s">
        <v>204</v>
      </c>
      <c r="AA3" s="27" t="s">
        <v>187</v>
      </c>
      <c r="AB3" s="27" t="s">
        <v>205</v>
      </c>
      <c r="AC3" s="27" t="s">
        <v>202</v>
      </c>
      <c r="AD3" s="27" t="s">
        <v>206</v>
      </c>
      <c r="AE3" s="27" t="s">
        <v>201</v>
      </c>
      <c r="AF3" s="27" t="s">
        <v>207</v>
      </c>
      <c r="AG3" s="27" t="s">
        <v>200</v>
      </c>
      <c r="AH3" s="27" t="s">
        <v>208</v>
      </c>
      <c r="AI3" s="27" t="s">
        <v>199</v>
      </c>
      <c r="AJ3" s="27" t="s">
        <v>209</v>
      </c>
      <c r="AL3" s="27" t="s">
        <v>211</v>
      </c>
      <c r="AM3" s="27" t="str">
        <f>Z3</f>
        <v>Candy</v>
      </c>
      <c r="AN3" s="27" t="str">
        <f>AB3</f>
        <v>Card</v>
      </c>
      <c r="AO3" s="27" t="str">
        <f>AD3</f>
        <v>Raid</v>
      </c>
      <c r="AP3" s="27" t="str">
        <f>AF3</f>
        <v>Duel</v>
      </c>
      <c r="AQ3" s="27" t="str">
        <f>AH3</f>
        <v>Feed</v>
      </c>
      <c r="AR3" s="27" t="str">
        <f>AJ3</f>
        <v>Visit</v>
      </c>
    </row>
    <row r="4" spans="1:44" x14ac:dyDescent="0.2">
      <c r="A4" t="s">
        <v>2</v>
      </c>
      <c r="B4" s="1">
        <v>0.21740000000000001</v>
      </c>
      <c r="D4" s="1"/>
      <c r="E4" s="1"/>
      <c r="F4" s="1"/>
      <c r="G4" s="1"/>
      <c r="I4">
        <f t="shared" si="0"/>
        <v>0</v>
      </c>
      <c r="L4" s="32">
        <v>70</v>
      </c>
      <c r="M4" s="27">
        <f>SUM(L$3:L4)</f>
        <v>150</v>
      </c>
      <c r="N4" s="33">
        <f t="shared" ref="N4:N42" si="1">M4*0.255*4</f>
        <v>153</v>
      </c>
      <c r="O4" s="54">
        <f t="shared" ref="O4:O54" si="2">IF(_xlfn.TEXTAFTER(S4," ")="PB",_xlfn.TEXTBEFORE(S4," "),0)</f>
        <v>0</v>
      </c>
      <c r="P4" s="55">
        <f>P3+O4</f>
        <v>80</v>
      </c>
      <c r="Q4" s="55">
        <f t="shared" ref="Q4:Q67" si="3">IF(_xlfn.TEXTAFTER($S4," ")="CP",_xlfn.TEXTBEFORE($S4," "),0)</f>
        <v>0</v>
      </c>
      <c r="R4" s="55">
        <f>R3+Q4</f>
        <v>0</v>
      </c>
      <c r="S4" s="56" t="s">
        <v>182</v>
      </c>
      <c r="W4" s="27" t="str">
        <f>TRUNC((X4+6)*10/80)&amp;"-"&amp;((X4+6)/8-TRUNC((X4+6)/8))*80</f>
        <v>0-70</v>
      </c>
      <c r="X4" s="12">
        <v>1</v>
      </c>
      <c r="Y4" s="12"/>
      <c r="Z4" s="12">
        <f>1</f>
        <v>1</v>
      </c>
      <c r="AA4" s="12"/>
      <c r="AB4" s="12">
        <f>AA4</f>
        <v>0</v>
      </c>
      <c r="AC4" s="12"/>
      <c r="AD4" s="12">
        <f>AC4</f>
        <v>0</v>
      </c>
      <c r="AE4" s="12"/>
      <c r="AF4" s="12">
        <f>AE4</f>
        <v>0</v>
      </c>
      <c r="AG4" s="12"/>
      <c r="AH4" s="12">
        <f>AG4</f>
        <v>0</v>
      </c>
      <c r="AI4" s="12"/>
      <c r="AJ4" s="12">
        <f>AI4</f>
        <v>0</v>
      </c>
      <c r="AL4" s="27" t="s">
        <v>224</v>
      </c>
      <c r="AM4" s="12">
        <f>VLOOKUP($AL4,$W$3:$AJ$218,4,0)</f>
        <v>38.200000000000003</v>
      </c>
      <c r="AN4" s="12">
        <f>VLOOKUP($AL4,$W$3:$AJ$218,6,0)</f>
        <v>47900</v>
      </c>
      <c r="AO4" s="12">
        <f>VLOOKUP($AL4,$W$3:$AJ$218,8,0)</f>
        <v>202200</v>
      </c>
      <c r="AP4" s="12">
        <f>VLOOKUP($AL4,$W$3:$AJ$218,10,0)</f>
        <v>153100</v>
      </c>
      <c r="AQ4" s="12">
        <f>VLOOKUP($AL4,$W$3:$AJ$218,12,0)</f>
        <v>792000</v>
      </c>
      <c r="AR4" s="12">
        <f>VLOOKUP($AL4,$W$3:$AJ$218,14,0)</f>
        <v>1234000</v>
      </c>
    </row>
    <row r="5" spans="1:44" x14ac:dyDescent="0.2">
      <c r="A5" t="s">
        <v>3</v>
      </c>
      <c r="B5" s="1">
        <v>0.1739</v>
      </c>
      <c r="D5" s="1"/>
      <c r="E5" s="1"/>
      <c r="F5" s="1"/>
      <c r="G5" s="1"/>
      <c r="I5">
        <f t="shared" si="0"/>
        <v>0</v>
      </c>
      <c r="L5" s="32">
        <v>150</v>
      </c>
      <c r="M5" s="27">
        <f>SUM(L$3:L5)</f>
        <v>300</v>
      </c>
      <c r="N5" s="33">
        <f t="shared" si="1"/>
        <v>306</v>
      </c>
      <c r="O5" s="54">
        <f t="shared" si="2"/>
        <v>0</v>
      </c>
      <c r="P5" s="55">
        <f t="shared" ref="P5:P42" si="4">P4+O5</f>
        <v>80</v>
      </c>
      <c r="Q5" s="55" t="str">
        <f t="shared" si="3"/>
        <v>5</v>
      </c>
      <c r="R5" s="55">
        <f t="shared" ref="R5:R42" si="5">R4+Q5</f>
        <v>5</v>
      </c>
      <c r="S5" s="56" t="s">
        <v>180</v>
      </c>
      <c r="W5" s="27" t="str">
        <f>TRUNC((X5+6)*10/80)&amp;"-"&amp;((X5+6)/8-TRUNC((X5+6)/8))*80</f>
        <v>1-0</v>
      </c>
      <c r="X5" s="12">
        <v>2</v>
      </c>
      <c r="Y5" s="12"/>
      <c r="Z5" s="12">
        <f>Y5+Z4</f>
        <v>1</v>
      </c>
      <c r="AA5" s="12"/>
      <c r="AB5" s="12">
        <f>AA5+AB4</f>
        <v>0</v>
      </c>
      <c r="AC5" s="12"/>
      <c r="AD5" s="12">
        <f>AC5+AD4</f>
        <v>0</v>
      </c>
      <c r="AE5" s="12"/>
      <c r="AF5" s="12">
        <f>AE5+AF4</f>
        <v>0</v>
      </c>
      <c r="AG5" s="12"/>
      <c r="AH5" s="12">
        <f>AG5+AH4</f>
        <v>0</v>
      </c>
      <c r="AI5" s="12"/>
      <c r="AJ5" s="12">
        <f>AI5+AJ4</f>
        <v>0</v>
      </c>
      <c r="AL5" s="27" t="s">
        <v>211</v>
      </c>
      <c r="AM5" s="12" t="str">
        <f>Z3</f>
        <v>Candy</v>
      </c>
      <c r="AN5" s="12" t="str">
        <f>AB3</f>
        <v>Card</v>
      </c>
      <c r="AO5" s="12" t="str">
        <f>AD3</f>
        <v>Raid</v>
      </c>
      <c r="AP5" s="12" t="str">
        <f>AF3</f>
        <v>Duel</v>
      </c>
      <c r="AQ5" s="12" t="str">
        <f>AH3</f>
        <v>Feed</v>
      </c>
      <c r="AR5" s="12" t="str">
        <f>AJ3</f>
        <v>Visit</v>
      </c>
    </row>
    <row r="6" spans="1:44" x14ac:dyDescent="0.2">
      <c r="A6" t="s">
        <v>4</v>
      </c>
      <c r="B6" s="1">
        <v>0.1739</v>
      </c>
      <c r="C6" s="1"/>
      <c r="D6" s="1"/>
      <c r="E6" s="1"/>
      <c r="F6" s="1"/>
      <c r="G6" s="1"/>
      <c r="I6">
        <f t="shared" si="0"/>
        <v>0</v>
      </c>
      <c r="L6" s="32">
        <v>100</v>
      </c>
      <c r="M6" s="27">
        <f>SUM(L$3:L6)</f>
        <v>400</v>
      </c>
      <c r="N6" s="33">
        <f t="shared" si="1"/>
        <v>408</v>
      </c>
      <c r="O6" s="54">
        <f t="shared" si="2"/>
        <v>0</v>
      </c>
      <c r="P6" s="55">
        <f t="shared" si="4"/>
        <v>80</v>
      </c>
      <c r="Q6" s="55">
        <f t="shared" si="3"/>
        <v>0</v>
      </c>
      <c r="R6" s="55">
        <f t="shared" si="5"/>
        <v>5</v>
      </c>
      <c r="S6" s="56" t="s">
        <v>182</v>
      </c>
      <c r="W6" s="27" t="str">
        <f>TRUNC((X6+6)*10/80)&amp;"-"&amp;((X6+6)/8-TRUNC((X6+6)/8))*80</f>
        <v>1-10</v>
      </c>
      <c r="X6" s="12">
        <v>3</v>
      </c>
      <c r="Y6" s="12"/>
      <c r="Z6" s="12">
        <f t="shared" ref="Z6:AF69" si="6">Y6+Z5</f>
        <v>1</v>
      </c>
      <c r="AA6" s="58"/>
      <c r="AB6" s="12">
        <f t="shared" si="6"/>
        <v>0</v>
      </c>
      <c r="AC6" s="12"/>
      <c r="AD6" s="12">
        <f t="shared" si="6"/>
        <v>0</v>
      </c>
      <c r="AE6" s="12"/>
      <c r="AF6" s="12">
        <f t="shared" si="6"/>
        <v>0</v>
      </c>
      <c r="AG6" s="12"/>
      <c r="AH6" s="12">
        <f t="shared" ref="AH6:AJ69" si="7">AG6+AH5</f>
        <v>0</v>
      </c>
      <c r="AI6" s="12"/>
      <c r="AJ6" s="12">
        <f t="shared" si="7"/>
        <v>0</v>
      </c>
      <c r="AL6" s="27" t="s">
        <v>225</v>
      </c>
      <c r="AM6" s="12">
        <f>VLOOKUP($AL6,$W$3:$AJ$218,4,0)</f>
        <v>46.7</v>
      </c>
      <c r="AN6" s="12">
        <f>VLOOKUP($AL6,$W$3:$AJ$218,6,0)</f>
        <v>67900</v>
      </c>
      <c r="AO6" s="12">
        <f>VLOOKUP($AL6,$W$3:$AJ$218,8,0)</f>
        <v>287200</v>
      </c>
      <c r="AP6" s="12">
        <f>VLOOKUP($AL6,$W$3:$AJ$218,10,0)</f>
        <v>217100</v>
      </c>
      <c r="AQ6" s="12">
        <f>VLOOKUP($AL6,$W$3:$AJ$218,12,0)</f>
        <v>1224000</v>
      </c>
      <c r="AR6" s="12">
        <f>VLOOKUP($AL6,$W$3:$AJ$218,14,0)</f>
        <v>1809000</v>
      </c>
    </row>
    <row r="7" spans="1:44" x14ac:dyDescent="0.2">
      <c r="A7" t="s">
        <v>5</v>
      </c>
      <c r="B7" s="1">
        <v>0.1449</v>
      </c>
      <c r="C7" s="1"/>
      <c r="D7" s="1"/>
      <c r="E7" s="1"/>
      <c r="F7" s="1"/>
      <c r="G7" s="1"/>
      <c r="I7">
        <f t="shared" si="0"/>
        <v>0</v>
      </c>
      <c r="L7" s="32">
        <v>200</v>
      </c>
      <c r="M7" s="27">
        <f>SUM(L$3:L7)</f>
        <v>600</v>
      </c>
      <c r="N7" s="33">
        <f t="shared" si="1"/>
        <v>612</v>
      </c>
      <c r="O7" s="54" t="str">
        <f t="shared" si="2"/>
        <v>120</v>
      </c>
      <c r="P7" s="55">
        <f t="shared" si="4"/>
        <v>200</v>
      </c>
      <c r="Q7" s="55">
        <f t="shared" si="3"/>
        <v>0</v>
      </c>
      <c r="R7" s="55">
        <f t="shared" si="5"/>
        <v>5</v>
      </c>
      <c r="S7" s="56" t="s">
        <v>174</v>
      </c>
      <c r="W7" s="27" t="str">
        <f>TRUNC((X7+6)*10/80)&amp;"-"&amp;((X7+6)/8-TRUNC((X7+6)/8))*80</f>
        <v>1-20</v>
      </c>
      <c r="X7" s="12">
        <v>4</v>
      </c>
      <c r="Y7" s="58">
        <v>0.5</v>
      </c>
      <c r="Z7" s="12">
        <f t="shared" si="6"/>
        <v>1.5</v>
      </c>
      <c r="AA7" s="12"/>
      <c r="AB7" s="12">
        <f t="shared" si="6"/>
        <v>0</v>
      </c>
      <c r="AC7" s="12"/>
      <c r="AD7" s="12">
        <f t="shared" si="6"/>
        <v>0</v>
      </c>
      <c r="AE7" s="12"/>
      <c r="AF7" s="12">
        <f t="shared" si="6"/>
        <v>0</v>
      </c>
      <c r="AG7" s="12"/>
      <c r="AH7" s="12">
        <f t="shared" si="7"/>
        <v>0</v>
      </c>
      <c r="AI7" s="12"/>
      <c r="AJ7" s="12">
        <f t="shared" si="7"/>
        <v>0</v>
      </c>
      <c r="AL7" s="27" t="s">
        <v>210</v>
      </c>
      <c r="AM7" s="57" t="str">
        <f>"+"&amp;TRUNC(((AM6/AM4)-1)*100)&amp;"%"</f>
        <v>+22%</v>
      </c>
      <c r="AN7" s="57" t="str">
        <f>"+"&amp;TRUNC(((AN6/AN4)-1)*100)&amp;"%"</f>
        <v>+41%</v>
      </c>
      <c r="AO7" s="57" t="str">
        <f>"+"&amp;TRUNC(((AO6/AO4)-1)*100)&amp;"%"</f>
        <v>+42%</v>
      </c>
      <c r="AP7" s="57" t="str">
        <f>"+"&amp;TRUNC(((AP6/AP4)-1)*100)&amp;"%"</f>
        <v>+41%</v>
      </c>
      <c r="AQ7" s="57" t="str">
        <f>"+"&amp;TRUNC(((AQ6/AQ4)-1)*100)&amp;"%"</f>
        <v>+54%</v>
      </c>
      <c r="AR7" s="57" t="str">
        <f>"+"&amp;TRUNC(((AR6/AR4)-1)*100)&amp;"%"</f>
        <v>+46%</v>
      </c>
    </row>
    <row r="8" spans="1:44" x14ac:dyDescent="0.2">
      <c r="A8" t="s">
        <v>6</v>
      </c>
      <c r="B8" s="1">
        <v>0.1449</v>
      </c>
      <c r="C8" s="1"/>
      <c r="D8" s="1"/>
      <c r="E8" s="1"/>
      <c r="F8" s="1"/>
      <c r="G8" s="1"/>
      <c r="I8">
        <f t="shared" si="0"/>
        <v>0</v>
      </c>
      <c r="L8" s="32">
        <v>220</v>
      </c>
      <c r="M8" s="27">
        <f>SUM(L$3:L8)</f>
        <v>820</v>
      </c>
      <c r="N8" s="33">
        <f t="shared" si="1"/>
        <v>836.4</v>
      </c>
      <c r="O8" s="54">
        <f t="shared" si="2"/>
        <v>0</v>
      </c>
      <c r="P8" s="55">
        <f t="shared" si="4"/>
        <v>200</v>
      </c>
      <c r="Q8" s="55" t="str">
        <f t="shared" si="3"/>
        <v>5</v>
      </c>
      <c r="R8" s="55">
        <f t="shared" si="5"/>
        <v>10</v>
      </c>
      <c r="S8" s="56" t="s">
        <v>180</v>
      </c>
      <c r="W8" s="27" t="str">
        <f>TRUNC((X8+6)*10/80)&amp;"-"&amp;((X8+6)/8-TRUNC((X8+6)/8))*80</f>
        <v>1-30</v>
      </c>
      <c r="X8" s="12">
        <v>5</v>
      </c>
      <c r="Y8" s="12"/>
      <c r="Z8" s="12">
        <f t="shared" si="6"/>
        <v>1.5</v>
      </c>
      <c r="AA8" s="12">
        <v>500</v>
      </c>
      <c r="AB8" s="12">
        <f t="shared" si="6"/>
        <v>500</v>
      </c>
      <c r="AC8" s="12"/>
      <c r="AD8" s="12">
        <f t="shared" si="6"/>
        <v>0</v>
      </c>
      <c r="AE8" s="12"/>
      <c r="AF8" s="12">
        <f t="shared" si="6"/>
        <v>0</v>
      </c>
      <c r="AG8" s="12"/>
      <c r="AH8" s="12">
        <f t="shared" si="7"/>
        <v>0</v>
      </c>
      <c r="AI8" s="12"/>
      <c r="AJ8" s="12">
        <f t="shared" si="7"/>
        <v>0</v>
      </c>
    </row>
    <row r="9" spans="1:44" x14ac:dyDescent="0.2">
      <c r="A9" t="s">
        <v>7</v>
      </c>
      <c r="B9" s="1">
        <v>0.1242</v>
      </c>
      <c r="C9" s="1"/>
      <c r="D9" s="1"/>
      <c r="E9" s="1"/>
      <c r="F9" s="1"/>
      <c r="G9" s="1"/>
      <c r="I9">
        <f t="shared" si="0"/>
        <v>0</v>
      </c>
      <c r="L9" s="32">
        <v>300</v>
      </c>
      <c r="M9" s="27">
        <f>SUM(L$3:L9)</f>
        <v>1120</v>
      </c>
      <c r="N9" s="33">
        <f t="shared" si="1"/>
        <v>1142.4000000000001</v>
      </c>
      <c r="O9" s="54">
        <f t="shared" si="2"/>
        <v>0</v>
      </c>
      <c r="P9" s="55">
        <f t="shared" si="4"/>
        <v>200</v>
      </c>
      <c r="Q9" s="55">
        <f t="shared" si="3"/>
        <v>0</v>
      </c>
      <c r="R9" s="55">
        <f t="shared" si="5"/>
        <v>10</v>
      </c>
      <c r="S9" s="56" t="s">
        <v>183</v>
      </c>
      <c r="W9" s="27" t="str">
        <f>TRUNC((X9+6)*10/80)&amp;"-"&amp;((X9+6)/8-TRUNC((X9+6)/8))*80</f>
        <v>1-40</v>
      </c>
      <c r="X9" s="12">
        <v>6</v>
      </c>
      <c r="Y9" s="12"/>
      <c r="Z9" s="12">
        <f t="shared" si="6"/>
        <v>1.5</v>
      </c>
      <c r="AA9" s="12"/>
      <c r="AB9" s="12">
        <f t="shared" si="6"/>
        <v>500</v>
      </c>
      <c r="AC9" s="12"/>
      <c r="AD9" s="12">
        <f t="shared" si="6"/>
        <v>0</v>
      </c>
      <c r="AE9" s="12"/>
      <c r="AF9" s="12">
        <f t="shared" si="6"/>
        <v>0</v>
      </c>
      <c r="AG9" s="12"/>
      <c r="AH9" s="12">
        <f t="shared" si="7"/>
        <v>0</v>
      </c>
      <c r="AI9" s="12"/>
      <c r="AJ9" s="12">
        <f t="shared" si="7"/>
        <v>0</v>
      </c>
    </row>
    <row r="10" spans="1:44" x14ac:dyDescent="0.2">
      <c r="A10" t="s">
        <v>8</v>
      </c>
      <c r="B10" s="1">
        <v>0.1242</v>
      </c>
      <c r="C10" s="1"/>
      <c r="D10" s="1"/>
      <c r="E10" s="1"/>
      <c r="F10" s="1"/>
      <c r="G10" s="1"/>
      <c r="I10">
        <f t="shared" si="0"/>
        <v>0</v>
      </c>
      <c r="L10" s="32">
        <v>120</v>
      </c>
      <c r="M10" s="27">
        <f>SUM(L$3:L10)</f>
        <v>1240</v>
      </c>
      <c r="N10" s="33">
        <f t="shared" si="1"/>
        <v>1264.8</v>
      </c>
      <c r="O10" s="54">
        <f t="shared" si="2"/>
        <v>0</v>
      </c>
      <c r="P10" s="55">
        <f t="shared" si="4"/>
        <v>200</v>
      </c>
      <c r="Q10" s="55">
        <f t="shared" si="3"/>
        <v>0</v>
      </c>
      <c r="R10" s="55">
        <f t="shared" si="5"/>
        <v>10</v>
      </c>
      <c r="S10" s="56" t="s">
        <v>184</v>
      </c>
      <c r="W10" s="27" t="str">
        <f>TRUNC((X10+6)*10/80)&amp;"-"&amp;((X10+6)/8-TRUNC((X10+6)/8))*80</f>
        <v>1-50</v>
      </c>
      <c r="X10" s="12">
        <v>7</v>
      </c>
      <c r="Y10" s="12"/>
      <c r="Z10" s="12">
        <f t="shared" si="6"/>
        <v>1.5</v>
      </c>
      <c r="AA10" s="12"/>
      <c r="AB10" s="12">
        <f t="shared" si="6"/>
        <v>500</v>
      </c>
      <c r="AC10" s="12">
        <v>2100</v>
      </c>
      <c r="AD10" s="12">
        <f t="shared" si="6"/>
        <v>2100</v>
      </c>
      <c r="AE10" s="12"/>
      <c r="AF10" s="12">
        <f t="shared" si="6"/>
        <v>0</v>
      </c>
      <c r="AG10" s="12"/>
      <c r="AH10" s="12">
        <f t="shared" si="7"/>
        <v>0</v>
      </c>
      <c r="AI10" s="12"/>
      <c r="AJ10" s="12">
        <f t="shared" si="7"/>
        <v>0</v>
      </c>
    </row>
    <row r="11" spans="1:44" x14ac:dyDescent="0.2">
      <c r="A11" t="s">
        <v>9</v>
      </c>
      <c r="B11" s="1">
        <v>0.1087</v>
      </c>
      <c r="C11" s="1"/>
      <c r="D11" s="1"/>
      <c r="E11" s="1"/>
      <c r="F11" s="1"/>
      <c r="G11" s="1"/>
      <c r="I11">
        <f t="shared" si="0"/>
        <v>0</v>
      </c>
      <c r="L11" s="32">
        <v>400</v>
      </c>
      <c r="M11" s="27">
        <f>SUM(L$3:L11)</f>
        <v>1640</v>
      </c>
      <c r="N11" s="33">
        <f t="shared" si="1"/>
        <v>1672.8</v>
      </c>
      <c r="O11" s="54" t="str">
        <f t="shared" si="2"/>
        <v>200</v>
      </c>
      <c r="P11" s="55">
        <f t="shared" si="4"/>
        <v>400</v>
      </c>
      <c r="Q11" s="55">
        <f t="shared" si="3"/>
        <v>0</v>
      </c>
      <c r="R11" s="55">
        <f t="shared" si="5"/>
        <v>10</v>
      </c>
      <c r="S11" s="56" t="s">
        <v>175</v>
      </c>
      <c r="W11" s="27" t="str">
        <f>TRUNC((X11+6)*10/80)&amp;"-"&amp;((X11+6)/8-TRUNC((X11+6)/8))*80</f>
        <v>1-60</v>
      </c>
      <c r="X11" s="12">
        <v>8</v>
      </c>
      <c r="Y11" s="12"/>
      <c r="Z11" s="12">
        <f t="shared" si="6"/>
        <v>1.5</v>
      </c>
      <c r="AA11" s="12"/>
      <c r="AB11" s="12">
        <f t="shared" si="6"/>
        <v>500</v>
      </c>
      <c r="AC11" s="12"/>
      <c r="AD11" s="12">
        <f t="shared" si="6"/>
        <v>2100</v>
      </c>
      <c r="AE11" s="12"/>
      <c r="AF11" s="12">
        <f t="shared" si="6"/>
        <v>0</v>
      </c>
      <c r="AG11" s="12"/>
      <c r="AH11" s="12">
        <f t="shared" si="7"/>
        <v>0</v>
      </c>
      <c r="AI11" s="12"/>
      <c r="AJ11" s="12">
        <f t="shared" si="7"/>
        <v>0</v>
      </c>
    </row>
    <row r="12" spans="1:44" x14ac:dyDescent="0.2">
      <c r="A12" t="s">
        <v>10</v>
      </c>
      <c r="B12" s="1">
        <v>0.1087</v>
      </c>
      <c r="C12" s="1"/>
      <c r="D12" s="1"/>
      <c r="E12" s="1"/>
      <c r="F12" s="1"/>
      <c r="G12" s="1"/>
      <c r="I12">
        <f t="shared" si="0"/>
        <v>0</v>
      </c>
      <c r="L12" s="32">
        <v>250</v>
      </c>
      <c r="M12" s="27">
        <f>SUM(L$3:L12)</f>
        <v>1890</v>
      </c>
      <c r="N12" s="33">
        <f t="shared" si="1"/>
        <v>1927.8</v>
      </c>
      <c r="O12" s="54">
        <f t="shared" si="2"/>
        <v>0</v>
      </c>
      <c r="P12" s="55">
        <f t="shared" si="4"/>
        <v>400</v>
      </c>
      <c r="Q12" s="55">
        <f t="shared" si="3"/>
        <v>0</v>
      </c>
      <c r="R12" s="55">
        <f t="shared" si="5"/>
        <v>10</v>
      </c>
      <c r="S12" s="56" t="s">
        <v>185</v>
      </c>
      <c r="W12" s="27" t="str">
        <f>TRUNC((X12+6)*10/80)&amp;"-"&amp;((X12+6)/8-TRUNC((X12+6)/8))*80</f>
        <v>1-70</v>
      </c>
      <c r="X12" s="12">
        <v>9</v>
      </c>
      <c r="Y12" s="12"/>
      <c r="Z12" s="12">
        <f t="shared" si="6"/>
        <v>1.5</v>
      </c>
      <c r="AA12" s="12"/>
      <c r="AB12" s="12">
        <f t="shared" si="6"/>
        <v>500</v>
      </c>
      <c r="AC12" s="12"/>
      <c r="AD12" s="12">
        <f t="shared" si="6"/>
        <v>2100</v>
      </c>
      <c r="AE12" s="12"/>
      <c r="AF12" s="12">
        <f t="shared" si="6"/>
        <v>0</v>
      </c>
      <c r="AG12" s="12"/>
      <c r="AH12" s="12">
        <f t="shared" si="7"/>
        <v>0</v>
      </c>
      <c r="AI12" s="12"/>
      <c r="AJ12" s="12">
        <f t="shared" si="7"/>
        <v>0</v>
      </c>
    </row>
    <row r="13" spans="1:44" x14ac:dyDescent="0.2">
      <c r="A13" t="s">
        <v>11</v>
      </c>
      <c r="B13" s="1">
        <v>8.6999999999999994E-2</v>
      </c>
      <c r="C13" s="1">
        <v>0.1</v>
      </c>
      <c r="D13" s="1"/>
      <c r="E13" s="1"/>
      <c r="F13" s="1"/>
      <c r="G13" s="1"/>
      <c r="I13">
        <f t="shared" si="0"/>
        <v>8.6999999999999994E-3</v>
      </c>
      <c r="L13" s="32">
        <v>890</v>
      </c>
      <c r="M13" s="27">
        <f>SUM(L$3:L13)</f>
        <v>2780</v>
      </c>
      <c r="N13" s="33">
        <f t="shared" si="1"/>
        <v>2835.6</v>
      </c>
      <c r="O13" s="54">
        <f t="shared" si="2"/>
        <v>0</v>
      </c>
      <c r="P13" s="55">
        <f t="shared" si="4"/>
        <v>400</v>
      </c>
      <c r="Q13" s="55" t="str">
        <f t="shared" si="3"/>
        <v>20</v>
      </c>
      <c r="R13" s="55">
        <f t="shared" si="5"/>
        <v>30</v>
      </c>
      <c r="S13" s="56" t="s">
        <v>181</v>
      </c>
      <c r="W13" s="27" t="str">
        <f>TRUNC((X13+6)*10/80)&amp;"-"&amp;((X13+6)/8-TRUNC((X13+6)/8))*80</f>
        <v>2-0</v>
      </c>
      <c r="X13" s="12">
        <v>10</v>
      </c>
      <c r="Y13" s="58">
        <v>0.6</v>
      </c>
      <c r="Z13" s="12">
        <f t="shared" si="6"/>
        <v>2.1</v>
      </c>
      <c r="AA13" s="12"/>
      <c r="AB13" s="12">
        <f t="shared" si="6"/>
        <v>500</v>
      </c>
      <c r="AC13" s="12"/>
      <c r="AD13" s="12">
        <f t="shared" si="6"/>
        <v>2100</v>
      </c>
      <c r="AE13" s="12"/>
      <c r="AF13" s="12">
        <f t="shared" si="6"/>
        <v>0</v>
      </c>
      <c r="AG13" s="12"/>
      <c r="AH13" s="12">
        <f t="shared" si="7"/>
        <v>0</v>
      </c>
      <c r="AI13" s="12"/>
      <c r="AJ13" s="12">
        <f t="shared" si="7"/>
        <v>0</v>
      </c>
    </row>
    <row r="14" spans="1:44" x14ac:dyDescent="0.2">
      <c r="A14" t="s">
        <v>12</v>
      </c>
      <c r="B14" s="1">
        <v>8.6999999999999994E-2</v>
      </c>
      <c r="C14" s="1">
        <v>0.1</v>
      </c>
      <c r="D14" s="1"/>
      <c r="E14" s="1"/>
      <c r="F14" s="1"/>
      <c r="G14" s="1"/>
      <c r="I14">
        <f t="shared" si="0"/>
        <v>8.6999999999999994E-3</v>
      </c>
      <c r="L14" s="32">
        <v>160</v>
      </c>
      <c r="M14" s="27">
        <f>SUM(L$3:L14)</f>
        <v>2940</v>
      </c>
      <c r="N14" s="33">
        <f t="shared" si="1"/>
        <v>2998.8</v>
      </c>
      <c r="O14" s="54" t="str">
        <f t="shared" si="2"/>
        <v>80</v>
      </c>
      <c r="P14" s="55">
        <f t="shared" si="4"/>
        <v>480</v>
      </c>
      <c r="Q14" s="55">
        <f t="shared" si="3"/>
        <v>0</v>
      </c>
      <c r="R14" s="55">
        <f t="shared" si="5"/>
        <v>30</v>
      </c>
      <c r="S14" s="56" t="s">
        <v>173</v>
      </c>
      <c r="W14" s="27" t="str">
        <f>TRUNC((X14+6)*10/80)&amp;"-"&amp;((X14+6)/8-TRUNC((X14+6)/8))*80</f>
        <v>2-10</v>
      </c>
      <c r="X14" s="12">
        <v>11</v>
      </c>
      <c r="Y14" s="12"/>
      <c r="Z14" s="12">
        <f t="shared" si="6"/>
        <v>2.1</v>
      </c>
      <c r="AA14" s="12"/>
      <c r="AB14" s="12">
        <f t="shared" si="6"/>
        <v>500</v>
      </c>
      <c r="AC14" s="12"/>
      <c r="AD14" s="12">
        <f t="shared" si="6"/>
        <v>2100</v>
      </c>
      <c r="AE14" s="12">
        <v>1600</v>
      </c>
      <c r="AF14" s="12">
        <f t="shared" si="6"/>
        <v>1600</v>
      </c>
      <c r="AG14" s="12"/>
      <c r="AH14" s="12">
        <f t="shared" si="7"/>
        <v>0</v>
      </c>
      <c r="AI14" s="12"/>
      <c r="AJ14" s="12">
        <f t="shared" si="7"/>
        <v>0</v>
      </c>
    </row>
    <row r="15" spans="1:44" x14ac:dyDescent="0.2">
      <c r="A15" t="s">
        <v>13</v>
      </c>
      <c r="B15" s="1">
        <v>7.2499999999999995E-2</v>
      </c>
      <c r="C15" s="1">
        <v>0.11</v>
      </c>
      <c r="D15" s="1"/>
      <c r="E15" s="1"/>
      <c r="F15" s="1"/>
      <c r="G15" s="1"/>
      <c r="I15">
        <f t="shared" si="0"/>
        <v>7.9749999999999995E-3</v>
      </c>
      <c r="L15" s="32">
        <v>130</v>
      </c>
      <c r="M15" s="27">
        <f>SUM(L$3:L15)</f>
        <v>3070</v>
      </c>
      <c r="N15" s="33">
        <f t="shared" si="1"/>
        <v>3131.4</v>
      </c>
      <c r="O15" s="54">
        <f t="shared" si="2"/>
        <v>0</v>
      </c>
      <c r="P15" s="55">
        <f t="shared" si="4"/>
        <v>480</v>
      </c>
      <c r="Q15" s="55">
        <f t="shared" si="3"/>
        <v>0</v>
      </c>
      <c r="R15" s="55">
        <f t="shared" si="5"/>
        <v>30</v>
      </c>
      <c r="S15" s="56" t="s">
        <v>34</v>
      </c>
      <c r="W15" s="27" t="str">
        <f>TRUNC((X15+6)*10/80)&amp;"-"&amp;((X15+6)/8-TRUNC((X15+6)/8))*80</f>
        <v>2-20</v>
      </c>
      <c r="X15" s="12">
        <v>12</v>
      </c>
      <c r="Y15" s="12"/>
      <c r="Z15" s="12">
        <f t="shared" si="6"/>
        <v>2.1</v>
      </c>
      <c r="AA15" s="12"/>
      <c r="AB15" s="12">
        <f t="shared" si="6"/>
        <v>500</v>
      </c>
      <c r="AC15" s="12"/>
      <c r="AD15" s="12">
        <f t="shared" si="6"/>
        <v>2100</v>
      </c>
      <c r="AE15" s="12"/>
      <c r="AF15" s="12">
        <f t="shared" si="6"/>
        <v>1600</v>
      </c>
      <c r="AG15" s="12"/>
      <c r="AH15" s="12">
        <f t="shared" si="7"/>
        <v>0</v>
      </c>
      <c r="AI15" s="12"/>
      <c r="AJ15" s="12">
        <f t="shared" si="7"/>
        <v>0</v>
      </c>
    </row>
    <row r="16" spans="1:44" x14ac:dyDescent="0.2">
      <c r="A16" t="s">
        <v>14</v>
      </c>
      <c r="B16" s="1">
        <v>7.2499999999999995E-2</v>
      </c>
      <c r="C16" s="1">
        <v>0.11</v>
      </c>
      <c r="D16" s="1"/>
      <c r="E16" s="1"/>
      <c r="F16" s="1"/>
      <c r="G16" s="1"/>
      <c r="I16">
        <f t="shared" si="0"/>
        <v>7.9749999999999995E-3</v>
      </c>
      <c r="L16" s="32">
        <v>300</v>
      </c>
      <c r="M16" s="27">
        <f>SUM(L$3:L16)</f>
        <v>3370</v>
      </c>
      <c r="N16" s="33">
        <f t="shared" si="1"/>
        <v>3437.4</v>
      </c>
      <c r="O16" s="54" t="str">
        <f t="shared" si="2"/>
        <v>120</v>
      </c>
      <c r="P16" s="55">
        <f t="shared" si="4"/>
        <v>600</v>
      </c>
      <c r="Q16" s="55">
        <f t="shared" si="3"/>
        <v>0</v>
      </c>
      <c r="R16" s="55">
        <f t="shared" si="5"/>
        <v>30</v>
      </c>
      <c r="S16" s="56" t="s">
        <v>174</v>
      </c>
      <c r="W16" s="27" t="str">
        <f>TRUNC((X16+6)*10/80)&amp;"-"&amp;((X16+6)/8-TRUNC((X16+6)/8))*80</f>
        <v>2-30</v>
      </c>
      <c r="X16" s="12">
        <v>13</v>
      </c>
      <c r="Y16" s="12"/>
      <c r="Z16" s="12">
        <f t="shared" si="6"/>
        <v>2.1</v>
      </c>
      <c r="AA16" s="12"/>
      <c r="AB16" s="12">
        <f t="shared" si="6"/>
        <v>500</v>
      </c>
      <c r="AC16" s="12"/>
      <c r="AD16" s="12">
        <f t="shared" si="6"/>
        <v>2100</v>
      </c>
      <c r="AE16" s="12"/>
      <c r="AF16" s="12">
        <f t="shared" si="6"/>
        <v>1600</v>
      </c>
      <c r="AG16" s="12">
        <v>9000</v>
      </c>
      <c r="AH16" s="12">
        <f t="shared" si="7"/>
        <v>9000</v>
      </c>
      <c r="AI16" s="12"/>
      <c r="AJ16" s="12">
        <f t="shared" si="7"/>
        <v>0</v>
      </c>
    </row>
    <row r="17" spans="1:36" x14ac:dyDescent="0.2">
      <c r="A17" t="s">
        <v>15</v>
      </c>
      <c r="B17" s="1">
        <v>5.6599999999999998E-2</v>
      </c>
      <c r="C17" s="1">
        <v>0.15</v>
      </c>
      <c r="D17" s="1"/>
      <c r="E17" s="1"/>
      <c r="F17" s="1"/>
      <c r="G17" s="1"/>
      <c r="I17">
        <f t="shared" si="0"/>
        <v>8.4899999999999993E-3</v>
      </c>
      <c r="L17" s="32">
        <v>220</v>
      </c>
      <c r="M17" s="27">
        <f>SUM(L$3:L17)</f>
        <v>3590</v>
      </c>
      <c r="N17" s="33">
        <f t="shared" si="1"/>
        <v>3661.8</v>
      </c>
      <c r="O17" s="54">
        <f t="shared" si="2"/>
        <v>0</v>
      </c>
      <c r="P17" s="55">
        <f t="shared" si="4"/>
        <v>600</v>
      </c>
      <c r="Q17" s="55" t="str">
        <f t="shared" si="3"/>
        <v>5</v>
      </c>
      <c r="R17" s="55">
        <f t="shared" si="5"/>
        <v>35</v>
      </c>
      <c r="S17" s="56" t="s">
        <v>180</v>
      </c>
      <c r="W17" s="27" t="str">
        <f>TRUNC((X17+6)*10/80)&amp;"-"&amp;((X17+6)/8-TRUNC((X17+6)/8))*80</f>
        <v>2-40</v>
      </c>
      <c r="X17" s="12">
        <v>14</v>
      </c>
      <c r="Y17" s="12"/>
      <c r="Z17" s="12">
        <f t="shared" si="6"/>
        <v>2.1</v>
      </c>
      <c r="AA17" s="12"/>
      <c r="AB17" s="12">
        <f t="shared" si="6"/>
        <v>500</v>
      </c>
      <c r="AC17" s="12"/>
      <c r="AD17" s="12">
        <f t="shared" si="6"/>
        <v>2100</v>
      </c>
      <c r="AE17" s="12"/>
      <c r="AF17" s="12">
        <f t="shared" si="6"/>
        <v>1600</v>
      </c>
      <c r="AG17" s="12"/>
      <c r="AH17" s="12">
        <f t="shared" si="7"/>
        <v>9000</v>
      </c>
      <c r="AI17" s="12"/>
      <c r="AJ17" s="12">
        <f t="shared" si="7"/>
        <v>0</v>
      </c>
    </row>
    <row r="18" spans="1:36" x14ac:dyDescent="0.2">
      <c r="A18" t="s">
        <v>16</v>
      </c>
      <c r="B18" s="1">
        <v>5.6599999999999998E-2</v>
      </c>
      <c r="C18" s="1">
        <v>0.19</v>
      </c>
      <c r="D18" s="1"/>
      <c r="E18" s="1"/>
      <c r="F18" s="1"/>
      <c r="G18" s="1"/>
      <c r="I18">
        <f t="shared" si="0"/>
        <v>1.0754E-2</v>
      </c>
      <c r="L18" s="32">
        <v>200</v>
      </c>
      <c r="M18" s="27">
        <f>SUM(L$3:L18)</f>
        <v>3790</v>
      </c>
      <c r="N18" s="33">
        <f t="shared" si="1"/>
        <v>3865.8</v>
      </c>
      <c r="O18" s="54">
        <f t="shared" si="2"/>
        <v>0</v>
      </c>
      <c r="P18" s="55">
        <f t="shared" si="4"/>
        <v>600</v>
      </c>
      <c r="Q18" s="55">
        <f t="shared" si="3"/>
        <v>0</v>
      </c>
      <c r="R18" s="55">
        <f t="shared" si="5"/>
        <v>35</v>
      </c>
      <c r="S18" s="56" t="s">
        <v>186</v>
      </c>
      <c r="W18" s="27" t="str">
        <f>TRUNC((X18+6)*10/80)&amp;"-"&amp;((X18+6)/8-TRUNC((X18+6)/8))*80</f>
        <v>2-50</v>
      </c>
      <c r="X18" s="12">
        <v>15</v>
      </c>
      <c r="Y18" s="12"/>
      <c r="Z18" s="12">
        <f t="shared" si="6"/>
        <v>2.1</v>
      </c>
      <c r="AA18" s="12"/>
      <c r="AB18" s="12">
        <f t="shared" si="6"/>
        <v>500</v>
      </c>
      <c r="AC18" s="12"/>
      <c r="AD18" s="12">
        <f t="shared" si="6"/>
        <v>2100</v>
      </c>
      <c r="AE18" s="12"/>
      <c r="AF18" s="12">
        <f t="shared" si="6"/>
        <v>1600</v>
      </c>
      <c r="AG18" s="12"/>
      <c r="AH18" s="12">
        <f t="shared" si="7"/>
        <v>9000</v>
      </c>
      <c r="AI18" s="12">
        <v>14000</v>
      </c>
      <c r="AJ18" s="12">
        <f t="shared" si="7"/>
        <v>14000</v>
      </c>
    </row>
    <row r="19" spans="1:36" x14ac:dyDescent="0.2">
      <c r="A19" t="s">
        <v>17</v>
      </c>
      <c r="B19" s="1">
        <v>4.3299999999999998E-2</v>
      </c>
      <c r="C19" s="1">
        <v>0.19</v>
      </c>
      <c r="D19" s="1"/>
      <c r="E19" s="1"/>
      <c r="F19" s="1"/>
      <c r="G19" s="1"/>
      <c r="I19">
        <f t="shared" si="0"/>
        <v>8.2269999999999999E-3</v>
      </c>
      <c r="L19" s="32">
        <v>220</v>
      </c>
      <c r="M19" s="27">
        <f>SUM(L$3:L19)</f>
        <v>4010</v>
      </c>
      <c r="N19" s="33">
        <f t="shared" si="1"/>
        <v>4090.2000000000003</v>
      </c>
      <c r="O19" s="54">
        <f t="shared" si="2"/>
        <v>0</v>
      </c>
      <c r="P19" s="55">
        <f t="shared" si="4"/>
        <v>600</v>
      </c>
      <c r="Q19" s="55" t="str">
        <f t="shared" si="3"/>
        <v>5</v>
      </c>
      <c r="R19" s="55">
        <f t="shared" si="5"/>
        <v>40</v>
      </c>
      <c r="S19" s="56" t="s">
        <v>180</v>
      </c>
      <c r="W19" s="27" t="str">
        <f>TRUNC((X19+6)*10/80)&amp;"-"&amp;((X19+6)/8-TRUNC((X19+6)/8))*80</f>
        <v>2-60</v>
      </c>
      <c r="X19" s="12">
        <v>16</v>
      </c>
      <c r="Y19" s="58">
        <v>0.6</v>
      </c>
      <c r="Z19" s="12">
        <f t="shared" si="6"/>
        <v>2.7</v>
      </c>
      <c r="AA19" s="12"/>
      <c r="AB19" s="12">
        <f t="shared" si="6"/>
        <v>500</v>
      </c>
      <c r="AC19" s="12"/>
      <c r="AD19" s="12">
        <f t="shared" si="6"/>
        <v>2100</v>
      </c>
      <c r="AE19" s="12"/>
      <c r="AF19" s="12">
        <f t="shared" si="6"/>
        <v>1600</v>
      </c>
      <c r="AG19" s="12"/>
      <c r="AH19" s="12">
        <f t="shared" si="7"/>
        <v>9000</v>
      </c>
      <c r="AI19" s="12"/>
      <c r="AJ19" s="12">
        <f t="shared" si="7"/>
        <v>14000</v>
      </c>
    </row>
    <row r="20" spans="1:36" x14ac:dyDescent="0.2">
      <c r="A20" t="s">
        <v>18</v>
      </c>
      <c r="B20" s="1">
        <v>4.3299999999999998E-2</v>
      </c>
      <c r="C20" s="1">
        <v>0.23</v>
      </c>
      <c r="D20" s="1"/>
      <c r="E20" s="1"/>
      <c r="F20" s="1"/>
      <c r="G20" s="1"/>
      <c r="I20">
        <f t="shared" si="0"/>
        <v>9.9590000000000008E-3</v>
      </c>
      <c r="L20" s="32">
        <v>200</v>
      </c>
      <c r="M20" s="27">
        <f>SUM(L$3:L20)</f>
        <v>4210</v>
      </c>
      <c r="N20" s="33">
        <f t="shared" si="1"/>
        <v>4294.2</v>
      </c>
      <c r="O20" s="54">
        <f t="shared" si="2"/>
        <v>0</v>
      </c>
      <c r="P20" s="55">
        <f t="shared" si="4"/>
        <v>600</v>
      </c>
      <c r="Q20" s="55">
        <f t="shared" si="3"/>
        <v>0</v>
      </c>
      <c r="R20" s="55">
        <f t="shared" si="5"/>
        <v>40</v>
      </c>
      <c r="S20" s="56" t="s">
        <v>185</v>
      </c>
      <c r="W20" s="27" t="str">
        <f>TRUNC((X20+6)*10/80)&amp;"-"&amp;((X20+6)/8-TRUNC((X20+6)/8))*80</f>
        <v>3-0</v>
      </c>
      <c r="X20" s="12">
        <v>18</v>
      </c>
      <c r="Y20" s="12"/>
      <c r="Z20" s="12">
        <f t="shared" si="6"/>
        <v>2.7</v>
      </c>
      <c r="AA20" s="12"/>
      <c r="AB20" s="12">
        <f t="shared" si="6"/>
        <v>500</v>
      </c>
      <c r="AC20" s="12"/>
      <c r="AD20" s="12">
        <f t="shared" si="6"/>
        <v>2100</v>
      </c>
      <c r="AE20" s="12"/>
      <c r="AF20" s="12">
        <f t="shared" si="6"/>
        <v>1600</v>
      </c>
      <c r="AG20" s="12"/>
      <c r="AH20" s="12">
        <f t="shared" si="7"/>
        <v>9000</v>
      </c>
      <c r="AI20" s="12"/>
      <c r="AJ20" s="12">
        <f t="shared" si="7"/>
        <v>14000</v>
      </c>
    </row>
    <row r="21" spans="1:36" x14ac:dyDescent="0.2">
      <c r="A21" t="s">
        <v>19</v>
      </c>
      <c r="B21" s="1">
        <v>3.6600000000000001E-2</v>
      </c>
      <c r="C21" s="1">
        <v>0.23</v>
      </c>
      <c r="D21" s="1"/>
      <c r="E21" s="1"/>
      <c r="F21" s="1"/>
      <c r="G21" s="1"/>
      <c r="I21">
        <f t="shared" si="0"/>
        <v>8.4180000000000001E-3</v>
      </c>
      <c r="L21" s="32">
        <v>1000</v>
      </c>
      <c r="M21" s="27">
        <f>SUM(L$3:L21)</f>
        <v>5210</v>
      </c>
      <c r="N21" s="33">
        <f t="shared" si="1"/>
        <v>5314.2</v>
      </c>
      <c r="O21" s="54" t="str">
        <f t="shared" si="2"/>
        <v>500</v>
      </c>
      <c r="P21" s="55">
        <f t="shared" si="4"/>
        <v>1100</v>
      </c>
      <c r="Q21" s="55">
        <f t="shared" si="3"/>
        <v>0</v>
      </c>
      <c r="R21" s="55">
        <f t="shared" si="5"/>
        <v>40</v>
      </c>
      <c r="S21" s="56" t="s">
        <v>176</v>
      </c>
      <c r="W21" s="27" t="str">
        <f>TRUNC((X21+6)*10/80)&amp;"-"&amp;((X21+6)/8-TRUNC((X21+6)/8))*80</f>
        <v>3-20</v>
      </c>
      <c r="X21" s="12">
        <v>20</v>
      </c>
      <c r="Y21" s="12"/>
      <c r="Z21" s="12">
        <f t="shared" si="6"/>
        <v>2.7</v>
      </c>
      <c r="AA21" s="12"/>
      <c r="AB21" s="12">
        <f t="shared" si="6"/>
        <v>500</v>
      </c>
      <c r="AC21" s="12"/>
      <c r="AD21" s="12">
        <f t="shared" si="6"/>
        <v>2100</v>
      </c>
      <c r="AE21" s="12"/>
      <c r="AF21" s="12">
        <f t="shared" si="6"/>
        <v>1600</v>
      </c>
      <c r="AG21" s="12"/>
      <c r="AH21" s="12">
        <f t="shared" si="7"/>
        <v>9000</v>
      </c>
      <c r="AI21" s="12"/>
      <c r="AJ21" s="12">
        <f t="shared" si="7"/>
        <v>14000</v>
      </c>
    </row>
    <row r="22" spans="1:36" x14ac:dyDescent="0.2">
      <c r="A22" t="s">
        <v>20</v>
      </c>
      <c r="B22" s="1">
        <v>3.6600000000000001E-2</v>
      </c>
      <c r="C22" s="1">
        <v>0.23</v>
      </c>
      <c r="D22" s="1"/>
      <c r="E22" s="1"/>
      <c r="F22" s="1"/>
      <c r="G22" s="1"/>
      <c r="I22">
        <f t="shared" si="0"/>
        <v>8.4180000000000001E-3</v>
      </c>
      <c r="L22" s="32">
        <v>340</v>
      </c>
      <c r="M22" s="27">
        <f>SUM(L$3:L22)</f>
        <v>5550</v>
      </c>
      <c r="N22" s="33">
        <f t="shared" si="1"/>
        <v>5661</v>
      </c>
      <c r="O22" s="54">
        <f t="shared" si="2"/>
        <v>0</v>
      </c>
      <c r="P22" s="55">
        <f t="shared" si="4"/>
        <v>1100</v>
      </c>
      <c r="Q22" s="55">
        <f t="shared" si="3"/>
        <v>0</v>
      </c>
      <c r="R22" s="55">
        <f t="shared" si="5"/>
        <v>40</v>
      </c>
      <c r="S22" s="56" t="s">
        <v>35</v>
      </c>
      <c r="W22" s="27" t="str">
        <f>TRUNC((X22+6)*10/80)&amp;"-"&amp;((X22+6)/8-TRUNC((X22+6)/8))*80</f>
        <v>3-40</v>
      </c>
      <c r="X22" s="12">
        <v>22</v>
      </c>
      <c r="Y22" s="12"/>
      <c r="Z22" s="12">
        <f t="shared" si="6"/>
        <v>2.7</v>
      </c>
      <c r="AA22" s="12">
        <v>1000</v>
      </c>
      <c r="AB22" s="12">
        <f t="shared" si="6"/>
        <v>1500</v>
      </c>
      <c r="AC22" s="12"/>
      <c r="AD22" s="12">
        <f t="shared" si="6"/>
        <v>2100</v>
      </c>
      <c r="AE22" s="12"/>
      <c r="AF22" s="12">
        <f t="shared" si="6"/>
        <v>1600</v>
      </c>
      <c r="AG22" s="12"/>
      <c r="AH22" s="12">
        <f t="shared" si="7"/>
        <v>9000</v>
      </c>
      <c r="AI22" s="12"/>
      <c r="AJ22" s="12">
        <f t="shared" si="7"/>
        <v>14000</v>
      </c>
    </row>
    <row r="23" spans="1:36" x14ac:dyDescent="0.2">
      <c r="A23" t="s">
        <v>21</v>
      </c>
      <c r="B23" s="1">
        <v>2.2200000000000001E-2</v>
      </c>
      <c r="C23" s="1">
        <v>0.37</v>
      </c>
      <c r="D23" s="1"/>
      <c r="E23" s="1"/>
      <c r="F23" s="1"/>
      <c r="G23" s="1"/>
      <c r="I23">
        <f t="shared" si="0"/>
        <v>8.2140000000000008E-3</v>
      </c>
      <c r="L23" s="32">
        <v>190</v>
      </c>
      <c r="M23" s="27">
        <f>SUM(L$3:L23)</f>
        <v>5740</v>
      </c>
      <c r="N23" s="33">
        <f t="shared" si="1"/>
        <v>5854.8</v>
      </c>
      <c r="O23" s="54">
        <f t="shared" si="2"/>
        <v>0</v>
      </c>
      <c r="P23" s="55">
        <f t="shared" si="4"/>
        <v>1100</v>
      </c>
      <c r="Q23" s="55" t="str">
        <f t="shared" si="3"/>
        <v>5</v>
      </c>
      <c r="R23" s="55">
        <f t="shared" si="5"/>
        <v>45</v>
      </c>
      <c r="S23" s="56" t="s">
        <v>180</v>
      </c>
      <c r="W23" s="27" t="str">
        <f>TRUNC((X23+6)*10/80)&amp;"-"&amp;((X23+6)/8-TRUNC((X23+6)/8))*80</f>
        <v>3-60</v>
      </c>
      <c r="X23" s="12">
        <v>24</v>
      </c>
      <c r="Y23" s="12"/>
      <c r="Z23" s="12">
        <f t="shared" si="6"/>
        <v>2.7</v>
      </c>
      <c r="AA23" s="12"/>
      <c r="AB23" s="12">
        <f t="shared" si="6"/>
        <v>1500</v>
      </c>
      <c r="AC23" s="12">
        <v>4200</v>
      </c>
      <c r="AD23" s="12">
        <f t="shared" si="6"/>
        <v>6300</v>
      </c>
      <c r="AE23" s="12"/>
      <c r="AF23" s="12">
        <f t="shared" si="6"/>
        <v>1600</v>
      </c>
      <c r="AG23" s="12"/>
      <c r="AH23" s="12">
        <f t="shared" si="7"/>
        <v>9000</v>
      </c>
      <c r="AI23" s="12"/>
      <c r="AJ23" s="12">
        <f t="shared" si="7"/>
        <v>14000</v>
      </c>
    </row>
    <row r="24" spans="1:36" x14ac:dyDescent="0.2">
      <c r="A24" t="s">
        <v>22</v>
      </c>
      <c r="B24" s="1">
        <v>2.2200000000000001E-2</v>
      </c>
      <c r="C24" s="1">
        <v>0.37</v>
      </c>
      <c r="D24" s="1"/>
      <c r="E24" s="1"/>
      <c r="F24" s="1"/>
      <c r="G24" s="1"/>
      <c r="I24">
        <f t="shared" si="0"/>
        <v>8.2140000000000008E-3</v>
      </c>
      <c r="L24" s="32">
        <v>250</v>
      </c>
      <c r="M24" s="27">
        <f>SUM(L$3:L24)</f>
        <v>5990</v>
      </c>
      <c r="N24" s="33">
        <f t="shared" si="1"/>
        <v>6109.8</v>
      </c>
      <c r="O24" s="54">
        <f t="shared" si="2"/>
        <v>0</v>
      </c>
      <c r="P24" s="55">
        <f t="shared" si="4"/>
        <v>1100</v>
      </c>
      <c r="Q24" s="55">
        <f t="shared" si="3"/>
        <v>0</v>
      </c>
      <c r="R24" s="55">
        <f t="shared" si="5"/>
        <v>45</v>
      </c>
      <c r="S24" s="56" t="s">
        <v>182</v>
      </c>
      <c r="W24" s="27" t="str">
        <f>TRUNC((X24+6)*10/80)&amp;"-"&amp;((X24+6)/8-TRUNC((X24+6)/8))*80</f>
        <v>4-0</v>
      </c>
      <c r="X24" s="12">
        <v>26</v>
      </c>
      <c r="Y24" s="12"/>
      <c r="Z24" s="12">
        <f t="shared" si="6"/>
        <v>2.7</v>
      </c>
      <c r="AA24" s="12"/>
      <c r="AB24" s="12">
        <f t="shared" si="6"/>
        <v>1500</v>
      </c>
      <c r="AC24" s="12"/>
      <c r="AD24" s="12">
        <f t="shared" si="6"/>
        <v>6300</v>
      </c>
      <c r="AE24" s="12">
        <v>3200</v>
      </c>
      <c r="AF24" s="12">
        <f t="shared" si="6"/>
        <v>4800</v>
      </c>
      <c r="AG24" s="12"/>
      <c r="AH24" s="12">
        <f t="shared" si="7"/>
        <v>9000</v>
      </c>
      <c r="AI24" s="12"/>
      <c r="AJ24" s="12">
        <f t="shared" si="7"/>
        <v>14000</v>
      </c>
    </row>
    <row r="25" spans="1:36" x14ac:dyDescent="0.2">
      <c r="A25" t="s">
        <v>23</v>
      </c>
      <c r="B25" s="1">
        <v>8.3000000000000001E-3</v>
      </c>
      <c r="C25" s="1">
        <v>1</v>
      </c>
      <c r="D25" s="1"/>
      <c r="E25" s="1"/>
      <c r="F25" s="1"/>
      <c r="G25" s="1"/>
      <c r="I25">
        <f t="shared" si="0"/>
        <v>8.3000000000000001E-3</v>
      </c>
      <c r="L25" s="32">
        <v>220</v>
      </c>
      <c r="M25" s="27">
        <f>SUM(L$3:L25)</f>
        <v>6210</v>
      </c>
      <c r="N25" s="33">
        <f t="shared" si="1"/>
        <v>6334.2</v>
      </c>
      <c r="O25" s="54">
        <f t="shared" si="2"/>
        <v>0</v>
      </c>
      <c r="P25" s="55">
        <f t="shared" si="4"/>
        <v>1100</v>
      </c>
      <c r="Q25" s="55" t="str">
        <f t="shared" si="3"/>
        <v>5</v>
      </c>
      <c r="R25" s="55">
        <f t="shared" si="5"/>
        <v>50</v>
      </c>
      <c r="S25" s="56" t="s">
        <v>180</v>
      </c>
      <c r="W25" s="27" t="str">
        <f>TRUNC((X25+6)*10/80)&amp;"-"&amp;((X25+6)/8-TRUNC((X25+6)/8))*80</f>
        <v>4-20</v>
      </c>
      <c r="X25" s="12">
        <v>28</v>
      </c>
      <c r="Y25" s="12"/>
      <c r="Z25" s="12">
        <f t="shared" si="6"/>
        <v>2.7</v>
      </c>
      <c r="AA25" s="12"/>
      <c r="AB25" s="12">
        <f t="shared" si="6"/>
        <v>1500</v>
      </c>
      <c r="AC25" s="12"/>
      <c r="AD25" s="12">
        <f t="shared" si="6"/>
        <v>6300</v>
      </c>
      <c r="AE25" s="12"/>
      <c r="AF25" s="12">
        <f t="shared" si="6"/>
        <v>4800</v>
      </c>
      <c r="AG25" s="12"/>
      <c r="AH25" s="12">
        <f>AG25+AH24</f>
        <v>9000</v>
      </c>
      <c r="AI25" s="12"/>
      <c r="AJ25" s="12">
        <f t="shared" si="7"/>
        <v>14000</v>
      </c>
    </row>
    <row r="26" spans="1:36" x14ac:dyDescent="0.2">
      <c r="A26" t="s">
        <v>32</v>
      </c>
      <c r="B26" s="1">
        <v>7.4999999999999997E-3</v>
      </c>
      <c r="C26" s="1">
        <v>0.88</v>
      </c>
      <c r="D26" s="1">
        <v>0.12</v>
      </c>
      <c r="E26" s="1"/>
      <c r="F26" s="1"/>
      <c r="G26" s="1"/>
      <c r="I26">
        <f t="shared" si="0"/>
        <v>8.4000000000000012E-3</v>
      </c>
      <c r="L26" s="32">
        <v>250</v>
      </c>
      <c r="M26" s="27">
        <f>SUM(L$3:L26)</f>
        <v>6460</v>
      </c>
      <c r="N26" s="33">
        <f t="shared" si="1"/>
        <v>6589.2</v>
      </c>
      <c r="O26" s="54">
        <f t="shared" si="2"/>
        <v>0</v>
      </c>
      <c r="P26" s="55">
        <f t="shared" si="4"/>
        <v>1100</v>
      </c>
      <c r="Q26" s="55">
        <f t="shared" si="3"/>
        <v>0</v>
      </c>
      <c r="R26" s="55">
        <f t="shared" si="5"/>
        <v>50</v>
      </c>
      <c r="S26" s="56" t="s">
        <v>187</v>
      </c>
      <c r="W26" s="27" t="str">
        <f>TRUNC((X26+6)*10/80)&amp;"-"&amp;((X26+6)/8-TRUNC((X26+6)/8))*80</f>
        <v>4-40</v>
      </c>
      <c r="X26" s="12">
        <v>30</v>
      </c>
      <c r="Y26" s="12"/>
      <c r="Z26" s="12">
        <f t="shared" si="6"/>
        <v>2.7</v>
      </c>
      <c r="AA26" s="12"/>
      <c r="AB26" s="12">
        <f t="shared" si="6"/>
        <v>1500</v>
      </c>
      <c r="AC26" s="12"/>
      <c r="AD26" s="12">
        <f t="shared" si="6"/>
        <v>6300</v>
      </c>
      <c r="AE26" s="12"/>
      <c r="AF26" s="12">
        <f t="shared" si="6"/>
        <v>4800</v>
      </c>
      <c r="AG26" s="12"/>
      <c r="AH26" s="12">
        <f t="shared" si="7"/>
        <v>9000</v>
      </c>
      <c r="AI26" s="12"/>
      <c r="AJ26" s="12">
        <f t="shared" si="7"/>
        <v>14000</v>
      </c>
    </row>
    <row r="27" spans="1:36" x14ac:dyDescent="0.2">
      <c r="A27" t="s">
        <v>24</v>
      </c>
      <c r="B27" s="1">
        <v>6.7000000000000002E-3</v>
      </c>
      <c r="C27" s="1">
        <v>0.8</v>
      </c>
      <c r="D27" s="1">
        <v>0.15</v>
      </c>
      <c r="E27" s="1">
        <v>0.05</v>
      </c>
      <c r="F27" s="1"/>
      <c r="G27" s="1"/>
      <c r="I27">
        <f>SUMPRODUCT(C27:H27,C$1:H$1)*B27</f>
        <v>8.3750000000000005E-3</v>
      </c>
      <c r="L27" s="32">
        <v>220</v>
      </c>
      <c r="M27" s="27">
        <f>SUM(L$3:L27)</f>
        <v>6680</v>
      </c>
      <c r="N27" s="33">
        <f t="shared" si="1"/>
        <v>6813.6</v>
      </c>
      <c r="O27" s="54">
        <f t="shared" si="2"/>
        <v>0</v>
      </c>
      <c r="P27" s="55">
        <f t="shared" si="4"/>
        <v>1100</v>
      </c>
      <c r="Q27" s="55" t="str">
        <f t="shared" si="3"/>
        <v>5</v>
      </c>
      <c r="R27" s="55">
        <f t="shared" si="5"/>
        <v>55</v>
      </c>
      <c r="S27" s="56" t="s">
        <v>180</v>
      </c>
      <c r="W27" s="27" t="str">
        <f>TRUNC((X27+6)*10/80)&amp;"-"&amp;((X27+6)/8-TRUNC((X27+6)/8))*80</f>
        <v>4-60</v>
      </c>
      <c r="X27" s="12">
        <v>32</v>
      </c>
      <c r="Y27" s="12"/>
      <c r="Z27" s="12">
        <f t="shared" si="6"/>
        <v>2.7</v>
      </c>
      <c r="AA27" s="12"/>
      <c r="AB27" s="12">
        <f t="shared" si="6"/>
        <v>1500</v>
      </c>
      <c r="AC27" s="12"/>
      <c r="AD27" s="12">
        <f t="shared" si="6"/>
        <v>6300</v>
      </c>
      <c r="AE27" s="12"/>
      <c r="AF27" s="12">
        <f t="shared" si="6"/>
        <v>4800</v>
      </c>
      <c r="AG27" s="12">
        <v>18000</v>
      </c>
      <c r="AH27" s="12">
        <f>AG27+AH26</f>
        <v>27000</v>
      </c>
      <c r="AI27" s="12"/>
      <c r="AJ27" s="12">
        <f t="shared" si="7"/>
        <v>14000</v>
      </c>
    </row>
    <row r="28" spans="1:36" x14ac:dyDescent="0.2">
      <c r="A28" t="s">
        <v>25</v>
      </c>
      <c r="B28" s="1">
        <v>5.8999999999999999E-3</v>
      </c>
      <c r="C28" s="1">
        <v>0.7</v>
      </c>
      <c r="D28" s="1">
        <v>0.18</v>
      </c>
      <c r="E28" s="1">
        <v>0.1</v>
      </c>
      <c r="F28" s="1">
        <v>0.02</v>
      </c>
      <c r="G28" s="1"/>
      <c r="I28">
        <f t="shared" si="0"/>
        <v>8.6140000000000001E-3</v>
      </c>
      <c r="L28" s="32">
        <v>250</v>
      </c>
      <c r="M28" s="27">
        <f>SUM(L$3:L28)</f>
        <v>6930</v>
      </c>
      <c r="N28" s="33">
        <f t="shared" si="1"/>
        <v>7068.6</v>
      </c>
      <c r="O28" s="54">
        <f t="shared" si="2"/>
        <v>0</v>
      </c>
      <c r="P28" s="55">
        <f t="shared" si="4"/>
        <v>1100</v>
      </c>
      <c r="Q28" s="55">
        <f t="shared" si="3"/>
        <v>0</v>
      </c>
      <c r="R28" s="55">
        <f t="shared" si="5"/>
        <v>55</v>
      </c>
      <c r="S28" s="56" t="s">
        <v>185</v>
      </c>
      <c r="W28" s="27" t="str">
        <f>TRUNC((X28+6)*10/80)&amp;"-"&amp;((X28+6)/8-TRUNC((X28+6)/8))*80</f>
        <v>5-0</v>
      </c>
      <c r="X28" s="12">
        <v>34</v>
      </c>
      <c r="Y28" s="12"/>
      <c r="Z28" s="12">
        <f t="shared" si="6"/>
        <v>2.7</v>
      </c>
      <c r="AA28" s="12"/>
      <c r="AB28" s="12">
        <f t="shared" si="6"/>
        <v>1500</v>
      </c>
      <c r="AC28" s="12"/>
      <c r="AD28" s="12">
        <f t="shared" si="6"/>
        <v>6300</v>
      </c>
      <c r="AE28" s="12"/>
      <c r="AF28" s="12">
        <f t="shared" si="6"/>
        <v>4800</v>
      </c>
      <c r="AG28" s="12"/>
      <c r="AH28" s="12">
        <f t="shared" si="7"/>
        <v>27000</v>
      </c>
      <c r="AI28" s="12">
        <v>28000</v>
      </c>
      <c r="AJ28" s="12">
        <f t="shared" si="7"/>
        <v>42000</v>
      </c>
    </row>
    <row r="29" spans="1:36" x14ac:dyDescent="0.2">
      <c r="A29" t="s">
        <v>26</v>
      </c>
      <c r="B29" s="1">
        <v>5.0000000000000001E-3</v>
      </c>
      <c r="C29" s="1">
        <v>0.55000000000000004</v>
      </c>
      <c r="D29" s="1">
        <v>0.25</v>
      </c>
      <c r="E29" s="1">
        <v>0.15</v>
      </c>
      <c r="F29" s="1">
        <v>0.05</v>
      </c>
      <c r="G29" s="1"/>
      <c r="I29">
        <f t="shared" si="0"/>
        <v>8.7500000000000008E-3</v>
      </c>
      <c r="L29" s="32">
        <v>1000</v>
      </c>
      <c r="M29" s="27">
        <f>SUM(L$3:L29)</f>
        <v>7930</v>
      </c>
      <c r="N29" s="33">
        <f t="shared" si="1"/>
        <v>8088.6</v>
      </c>
      <c r="O29" s="54" t="str">
        <f t="shared" si="2"/>
        <v>500</v>
      </c>
      <c r="P29" s="55">
        <f t="shared" si="4"/>
        <v>1600</v>
      </c>
      <c r="Q29" s="55">
        <f t="shared" si="3"/>
        <v>0</v>
      </c>
      <c r="R29" s="55">
        <f t="shared" si="5"/>
        <v>55</v>
      </c>
      <c r="S29" s="56" t="s">
        <v>176</v>
      </c>
      <c r="W29" s="27" t="str">
        <f>TRUNC((X29+6)*10/80)&amp;"-"&amp;((X29+6)/8-TRUNC((X29+6)/8))*80</f>
        <v>5-20</v>
      </c>
      <c r="X29" s="12">
        <v>36</v>
      </c>
      <c r="Y29" s="58">
        <v>0.8</v>
      </c>
      <c r="Z29" s="12">
        <f t="shared" si="6"/>
        <v>3.5</v>
      </c>
      <c r="AA29" s="12"/>
      <c r="AB29" s="12">
        <f t="shared" si="6"/>
        <v>1500</v>
      </c>
      <c r="AC29" s="12"/>
      <c r="AD29" s="12">
        <f t="shared" si="6"/>
        <v>6300</v>
      </c>
      <c r="AE29" s="12"/>
      <c r="AF29" s="12">
        <f t="shared" si="6"/>
        <v>4800</v>
      </c>
      <c r="AG29" s="12"/>
      <c r="AH29" s="12">
        <f t="shared" si="7"/>
        <v>27000</v>
      </c>
      <c r="AI29" s="12"/>
      <c r="AJ29" s="12">
        <f t="shared" si="7"/>
        <v>42000</v>
      </c>
    </row>
    <row r="30" spans="1:36" x14ac:dyDescent="0.2">
      <c r="A30" t="s">
        <v>27</v>
      </c>
      <c r="B30" s="1">
        <v>4.1000000000000003E-3</v>
      </c>
      <c r="C30" s="1">
        <v>0.4</v>
      </c>
      <c r="D30" s="1">
        <v>0.3</v>
      </c>
      <c r="E30" s="1">
        <v>0.2</v>
      </c>
      <c r="F30" s="1">
        <v>0.08</v>
      </c>
      <c r="G30" s="1">
        <v>0.02</v>
      </c>
      <c r="I30">
        <f t="shared" si="0"/>
        <v>9.020000000000002E-3</v>
      </c>
      <c r="L30" s="32">
        <v>220</v>
      </c>
      <c r="M30" s="27">
        <f>SUM(L$3:L30)</f>
        <v>8150</v>
      </c>
      <c r="N30" s="33">
        <f t="shared" si="1"/>
        <v>8313</v>
      </c>
      <c r="O30" s="54">
        <f t="shared" si="2"/>
        <v>0</v>
      </c>
      <c r="P30" s="55">
        <f t="shared" si="4"/>
        <v>1600</v>
      </c>
      <c r="Q30" s="55" t="str">
        <f t="shared" si="3"/>
        <v>5</v>
      </c>
      <c r="R30" s="55">
        <f t="shared" si="5"/>
        <v>60</v>
      </c>
      <c r="S30" s="56" t="s">
        <v>180</v>
      </c>
      <c r="W30" s="27" t="str">
        <f>TRUNC((X30+6)*10/80)&amp;"-"&amp;((X30+6)/8-TRUNC((X30+6)/8))*80</f>
        <v>5-40</v>
      </c>
      <c r="X30" s="12">
        <v>38</v>
      </c>
      <c r="Y30" s="58"/>
      <c r="Z30" s="12">
        <f t="shared" si="6"/>
        <v>3.5</v>
      </c>
      <c r="AA30" s="12"/>
      <c r="AB30" s="12">
        <f t="shared" si="6"/>
        <v>1500</v>
      </c>
      <c r="AC30" s="12"/>
      <c r="AD30" s="12">
        <f t="shared" si="6"/>
        <v>6300</v>
      </c>
      <c r="AE30" s="12"/>
      <c r="AF30" s="12">
        <f t="shared" si="6"/>
        <v>4800</v>
      </c>
      <c r="AG30" s="12"/>
      <c r="AH30" s="12">
        <f t="shared" si="7"/>
        <v>27000</v>
      </c>
      <c r="AI30" s="12"/>
      <c r="AJ30" s="12">
        <f t="shared" si="7"/>
        <v>42000</v>
      </c>
    </row>
    <row r="31" spans="1:36" x14ac:dyDescent="0.2">
      <c r="A31" t="s">
        <v>28</v>
      </c>
      <c r="B31" s="1">
        <v>3.3E-3</v>
      </c>
      <c r="C31" s="1">
        <v>0.25</v>
      </c>
      <c r="D31" s="1">
        <v>0.3</v>
      </c>
      <c r="E31" s="1">
        <v>0.25</v>
      </c>
      <c r="F31" s="1">
        <v>0.1</v>
      </c>
      <c r="G31" s="1">
        <v>0.1</v>
      </c>
      <c r="I31">
        <f t="shared" si="0"/>
        <v>1.023E-2</v>
      </c>
      <c r="L31" s="32">
        <v>240</v>
      </c>
      <c r="M31" s="27">
        <f>SUM(L$3:L31)</f>
        <v>8390</v>
      </c>
      <c r="N31" s="33">
        <f t="shared" si="1"/>
        <v>8557.7999999999993</v>
      </c>
      <c r="O31" s="54" t="str">
        <f t="shared" si="2"/>
        <v>120</v>
      </c>
      <c r="P31" s="55">
        <f t="shared" si="4"/>
        <v>1720</v>
      </c>
      <c r="Q31" s="55">
        <f t="shared" si="3"/>
        <v>0</v>
      </c>
      <c r="R31" s="55">
        <f t="shared" si="5"/>
        <v>60</v>
      </c>
      <c r="S31" s="56" t="s">
        <v>174</v>
      </c>
      <c r="W31" s="27" t="str">
        <f>TRUNC((X31+6)*10/80)&amp;"-"&amp;((X31+6)/8-TRUNC((X31+6)/8))*80</f>
        <v>5-60</v>
      </c>
      <c r="X31" s="12">
        <v>40</v>
      </c>
      <c r="Y31" s="12"/>
      <c r="Z31" s="12">
        <f t="shared" si="6"/>
        <v>3.5</v>
      </c>
      <c r="AA31" s="12"/>
      <c r="AB31" s="12">
        <f t="shared" si="6"/>
        <v>1500</v>
      </c>
      <c r="AC31" s="12"/>
      <c r="AD31" s="12">
        <f t="shared" si="6"/>
        <v>6300</v>
      </c>
      <c r="AE31" s="12"/>
      <c r="AF31" s="12">
        <f t="shared" si="6"/>
        <v>4800</v>
      </c>
      <c r="AG31" s="12"/>
      <c r="AH31" s="12">
        <f t="shared" si="7"/>
        <v>27000</v>
      </c>
      <c r="AI31" s="12"/>
      <c r="AJ31" s="12">
        <f t="shared" si="7"/>
        <v>42000</v>
      </c>
    </row>
    <row r="32" spans="1:36" x14ac:dyDescent="0.2">
      <c r="A32" t="s">
        <v>29</v>
      </c>
      <c r="B32" s="1">
        <v>2.5000000000000001E-3</v>
      </c>
      <c r="C32" s="1"/>
      <c r="D32" s="1">
        <v>0.3</v>
      </c>
      <c r="E32" s="1">
        <v>0.35</v>
      </c>
      <c r="F32" s="1">
        <v>0.24</v>
      </c>
      <c r="G32" s="1">
        <v>0.1</v>
      </c>
      <c r="H32" s="1">
        <v>0.01</v>
      </c>
      <c r="I32">
        <f t="shared" si="0"/>
        <v>1.0125E-2</v>
      </c>
      <c r="L32" s="32">
        <v>330</v>
      </c>
      <c r="M32" s="27">
        <f>SUM(L$3:L32)</f>
        <v>8720</v>
      </c>
      <c r="N32" s="33">
        <f t="shared" si="1"/>
        <v>8894.4</v>
      </c>
      <c r="O32" s="54">
        <f t="shared" si="2"/>
        <v>0</v>
      </c>
      <c r="P32" s="55">
        <f t="shared" si="4"/>
        <v>1720</v>
      </c>
      <c r="Q32" s="55">
        <f t="shared" si="3"/>
        <v>0</v>
      </c>
      <c r="R32" s="55">
        <f t="shared" si="5"/>
        <v>60</v>
      </c>
      <c r="S32" s="56" t="s">
        <v>182</v>
      </c>
      <c r="W32" s="27" t="str">
        <f>TRUNC((X32+6)*10/80)&amp;"-"&amp;((X32+6)/8-TRUNC((X32+6)/8))*80</f>
        <v>6-10</v>
      </c>
      <c r="X32" s="12">
        <v>43</v>
      </c>
      <c r="Y32" s="12"/>
      <c r="Z32" s="12">
        <f t="shared" si="6"/>
        <v>3.5</v>
      </c>
      <c r="AA32" s="12">
        <v>800</v>
      </c>
      <c r="AB32" s="12">
        <f t="shared" si="6"/>
        <v>2300</v>
      </c>
      <c r="AC32" s="12"/>
      <c r="AD32" s="12">
        <f t="shared" si="6"/>
        <v>6300</v>
      </c>
      <c r="AE32" s="12"/>
      <c r="AF32" s="12">
        <f t="shared" si="6"/>
        <v>4800</v>
      </c>
      <c r="AG32" s="12"/>
      <c r="AH32" s="12">
        <f t="shared" si="7"/>
        <v>27000</v>
      </c>
      <c r="AI32" s="12"/>
      <c r="AJ32" s="12">
        <f t="shared" si="7"/>
        <v>42000</v>
      </c>
    </row>
    <row r="33" spans="12:36" x14ac:dyDescent="0.2">
      <c r="L33" s="32">
        <v>600</v>
      </c>
      <c r="M33" s="27">
        <f>SUM(L$3:L33)</f>
        <v>9320</v>
      </c>
      <c r="N33" s="33">
        <f t="shared" si="1"/>
        <v>9506.4</v>
      </c>
      <c r="O33" s="54">
        <f t="shared" si="2"/>
        <v>0</v>
      </c>
      <c r="P33" s="55">
        <f t="shared" si="4"/>
        <v>1720</v>
      </c>
      <c r="Q33" s="55">
        <f t="shared" si="3"/>
        <v>0</v>
      </c>
      <c r="R33" s="55">
        <f t="shared" si="5"/>
        <v>60</v>
      </c>
      <c r="S33" s="56" t="s">
        <v>183</v>
      </c>
      <c r="W33" s="27" t="str">
        <f>TRUNC((X33+6)*10/80)&amp;"-"&amp;((X33+6)/8-TRUNC((X33+6)/8))*80</f>
        <v>6-40</v>
      </c>
      <c r="X33" s="12">
        <v>46</v>
      </c>
      <c r="Y33" s="12"/>
      <c r="Z33" s="12">
        <f t="shared" si="6"/>
        <v>3.5</v>
      </c>
      <c r="AA33" s="12"/>
      <c r="AB33" s="12">
        <f t="shared" si="6"/>
        <v>2300</v>
      </c>
      <c r="AC33" s="12"/>
      <c r="AD33" s="12">
        <f t="shared" si="6"/>
        <v>6300</v>
      </c>
      <c r="AE33" s="12"/>
      <c r="AF33" s="12">
        <f t="shared" si="6"/>
        <v>4800</v>
      </c>
      <c r="AG33" s="12"/>
      <c r="AH33" s="12">
        <f t="shared" si="7"/>
        <v>27000</v>
      </c>
      <c r="AI33" s="12"/>
      <c r="AJ33" s="12">
        <f t="shared" si="7"/>
        <v>42000</v>
      </c>
    </row>
    <row r="34" spans="12:36" x14ac:dyDescent="0.2">
      <c r="L34" s="32">
        <v>240</v>
      </c>
      <c r="M34" s="27">
        <f>SUM(L$3:L34)</f>
        <v>9560</v>
      </c>
      <c r="N34" s="33">
        <f t="shared" si="1"/>
        <v>9751.2000000000007</v>
      </c>
      <c r="O34" s="54">
        <f t="shared" si="2"/>
        <v>0</v>
      </c>
      <c r="P34" s="55">
        <f t="shared" si="4"/>
        <v>1720</v>
      </c>
      <c r="Q34" s="55">
        <f t="shared" si="3"/>
        <v>0</v>
      </c>
      <c r="R34" s="55">
        <f t="shared" si="5"/>
        <v>60</v>
      </c>
      <c r="S34" s="56" t="s">
        <v>36</v>
      </c>
      <c r="W34" s="27" t="str">
        <f>TRUNC((X34+6)*10/80)&amp;"-"&amp;((X34+6)/8-TRUNC((X34+6)/8))*80</f>
        <v>6-70</v>
      </c>
      <c r="X34" s="12">
        <v>49</v>
      </c>
      <c r="Y34" s="12"/>
      <c r="Z34" s="12">
        <f t="shared" si="6"/>
        <v>3.5</v>
      </c>
      <c r="AA34" s="12"/>
      <c r="AB34" s="12">
        <f t="shared" si="6"/>
        <v>2300</v>
      </c>
      <c r="AC34" s="12">
        <v>3500</v>
      </c>
      <c r="AD34" s="12">
        <f t="shared" si="6"/>
        <v>9800</v>
      </c>
      <c r="AE34" s="12"/>
      <c r="AF34" s="12">
        <f t="shared" si="6"/>
        <v>4800</v>
      </c>
      <c r="AG34" s="12"/>
      <c r="AH34" s="12">
        <f t="shared" si="7"/>
        <v>27000</v>
      </c>
      <c r="AI34" s="12"/>
      <c r="AJ34" s="12">
        <f t="shared" si="7"/>
        <v>42000</v>
      </c>
    </row>
    <row r="35" spans="12:36" x14ac:dyDescent="0.2">
      <c r="L35" s="32">
        <v>1120</v>
      </c>
      <c r="M35" s="27">
        <f>SUM(L$3:L35)</f>
        <v>10680</v>
      </c>
      <c r="N35" s="33">
        <f t="shared" si="1"/>
        <v>10893.6</v>
      </c>
      <c r="O35" s="54">
        <f t="shared" si="2"/>
        <v>0</v>
      </c>
      <c r="P35" s="55">
        <f t="shared" si="4"/>
        <v>1720</v>
      </c>
      <c r="Q35" s="55" t="str">
        <f t="shared" si="3"/>
        <v>25</v>
      </c>
      <c r="R35" s="55">
        <f t="shared" si="5"/>
        <v>85</v>
      </c>
      <c r="S35" s="56" t="s">
        <v>178</v>
      </c>
      <c r="W35" s="27" t="str">
        <f>TRUNC((X35+6)*10/80)&amp;"-"&amp;((X35+6)/8-TRUNC((X35+6)/8))*80</f>
        <v>7-20</v>
      </c>
      <c r="X35" s="12">
        <v>52</v>
      </c>
      <c r="Y35" s="12"/>
      <c r="Z35" s="12">
        <f t="shared" si="6"/>
        <v>3.5</v>
      </c>
      <c r="AA35" s="12"/>
      <c r="AB35" s="12">
        <f t="shared" si="6"/>
        <v>2300</v>
      </c>
      <c r="AC35" s="12"/>
      <c r="AD35" s="12">
        <f t="shared" si="6"/>
        <v>9800</v>
      </c>
      <c r="AE35" s="12">
        <v>2500</v>
      </c>
      <c r="AF35" s="12">
        <f t="shared" si="6"/>
        <v>7300</v>
      </c>
      <c r="AG35" s="12"/>
      <c r="AH35" s="12">
        <f t="shared" si="7"/>
        <v>27000</v>
      </c>
      <c r="AI35" s="12"/>
      <c r="AJ35" s="12">
        <f t="shared" si="7"/>
        <v>42000</v>
      </c>
    </row>
    <row r="36" spans="12:36" x14ac:dyDescent="0.2">
      <c r="L36" s="32">
        <v>240</v>
      </c>
      <c r="M36" s="27">
        <f>SUM(L$3:L36)</f>
        <v>10920</v>
      </c>
      <c r="N36" s="33">
        <f t="shared" si="1"/>
        <v>11138.4</v>
      </c>
      <c r="O36" s="54" t="str">
        <f t="shared" si="2"/>
        <v>120</v>
      </c>
      <c r="P36" s="55">
        <f t="shared" si="4"/>
        <v>1840</v>
      </c>
      <c r="Q36" s="55">
        <f t="shared" si="3"/>
        <v>0</v>
      </c>
      <c r="R36" s="55">
        <f t="shared" si="5"/>
        <v>85</v>
      </c>
      <c r="S36" s="56" t="s">
        <v>174</v>
      </c>
      <c r="W36" s="27" t="str">
        <f>TRUNC((X36+6)*10/80)&amp;"-"&amp;((X36+6)/8-TRUNC((X36+6)/8))*80</f>
        <v>7-50</v>
      </c>
      <c r="X36" s="12">
        <v>55</v>
      </c>
      <c r="Y36" s="12"/>
      <c r="Z36" s="12">
        <f t="shared" si="6"/>
        <v>3.5</v>
      </c>
      <c r="AA36" s="12"/>
      <c r="AB36" s="12">
        <f t="shared" si="6"/>
        <v>2300</v>
      </c>
      <c r="AC36" s="12"/>
      <c r="AD36" s="12">
        <f t="shared" si="6"/>
        <v>9800</v>
      </c>
      <c r="AE36" s="12"/>
      <c r="AF36" s="12">
        <f t="shared" si="6"/>
        <v>7300</v>
      </c>
      <c r="AG36" s="12">
        <v>15000</v>
      </c>
      <c r="AH36" s="12">
        <f t="shared" si="7"/>
        <v>42000</v>
      </c>
      <c r="AI36" s="12"/>
      <c r="AJ36" s="12">
        <f t="shared" si="7"/>
        <v>42000</v>
      </c>
    </row>
    <row r="37" spans="12:36" x14ac:dyDescent="0.2">
      <c r="L37" s="32">
        <v>290</v>
      </c>
      <c r="M37" s="27">
        <f>SUM(L$3:L37)</f>
        <v>11210</v>
      </c>
      <c r="N37" s="33">
        <f t="shared" si="1"/>
        <v>11434.2</v>
      </c>
      <c r="O37" s="54">
        <f t="shared" si="2"/>
        <v>0</v>
      </c>
      <c r="P37" s="55">
        <f t="shared" si="4"/>
        <v>1840</v>
      </c>
      <c r="Q37" s="55">
        <f t="shared" si="3"/>
        <v>0</v>
      </c>
      <c r="R37" s="55">
        <f t="shared" si="5"/>
        <v>85</v>
      </c>
      <c r="S37" s="56" t="s">
        <v>185</v>
      </c>
      <c r="W37" s="27" t="str">
        <f>TRUNC((X37+6)*10/80)&amp;"-"&amp;((X37+6)/8-TRUNC((X37+6)/8))*80</f>
        <v>8-0</v>
      </c>
      <c r="X37" s="12">
        <v>58</v>
      </c>
      <c r="Y37" s="12"/>
      <c r="Z37" s="12">
        <f t="shared" si="6"/>
        <v>3.5</v>
      </c>
      <c r="AA37" s="12"/>
      <c r="AB37" s="12">
        <f t="shared" si="6"/>
        <v>2300</v>
      </c>
      <c r="AC37" s="12"/>
      <c r="AD37" s="12">
        <f t="shared" si="6"/>
        <v>9800</v>
      </c>
      <c r="AE37" s="12"/>
      <c r="AF37" s="12">
        <f t="shared" si="6"/>
        <v>7300</v>
      </c>
      <c r="AG37" s="12"/>
      <c r="AH37" s="12">
        <f t="shared" si="7"/>
        <v>42000</v>
      </c>
      <c r="AI37" s="12">
        <v>22000</v>
      </c>
      <c r="AJ37" s="12">
        <f t="shared" si="7"/>
        <v>64000</v>
      </c>
    </row>
    <row r="38" spans="12:36" x14ac:dyDescent="0.2">
      <c r="L38" s="32">
        <v>260</v>
      </c>
      <c r="M38" s="27">
        <f>SUM(L$3:L38)</f>
        <v>11470</v>
      </c>
      <c r="N38" s="33">
        <f t="shared" si="1"/>
        <v>11699.4</v>
      </c>
      <c r="O38" s="54">
        <f t="shared" si="2"/>
        <v>0</v>
      </c>
      <c r="P38" s="55">
        <f t="shared" si="4"/>
        <v>1840</v>
      </c>
      <c r="Q38" s="55" t="str">
        <f t="shared" si="3"/>
        <v>5</v>
      </c>
      <c r="R38" s="55">
        <f t="shared" si="5"/>
        <v>90</v>
      </c>
      <c r="S38" s="56" t="s">
        <v>180</v>
      </c>
      <c r="W38" s="27" t="str">
        <f>TRUNC((X38+6)*10/80)&amp;"-"&amp;((X38+6)/8-TRUNC((X38+6)/8))*80</f>
        <v>8-30</v>
      </c>
      <c r="X38" s="12">
        <v>61</v>
      </c>
      <c r="Y38" s="58">
        <v>0.8</v>
      </c>
      <c r="Z38" s="12">
        <f t="shared" si="6"/>
        <v>4.3</v>
      </c>
      <c r="AA38" s="12"/>
      <c r="AB38" s="12">
        <f t="shared" si="6"/>
        <v>2300</v>
      </c>
      <c r="AC38" s="12"/>
      <c r="AD38" s="12">
        <f t="shared" si="6"/>
        <v>9800</v>
      </c>
      <c r="AE38" s="12"/>
      <c r="AF38" s="12">
        <f t="shared" si="6"/>
        <v>7300</v>
      </c>
      <c r="AG38" s="12"/>
      <c r="AH38" s="12">
        <f t="shared" si="7"/>
        <v>42000</v>
      </c>
      <c r="AI38" s="12"/>
      <c r="AJ38" s="12">
        <f t="shared" si="7"/>
        <v>64000</v>
      </c>
    </row>
    <row r="39" spans="12:36" x14ac:dyDescent="0.2">
      <c r="L39" s="32">
        <v>290</v>
      </c>
      <c r="M39" s="27">
        <f>SUM(L$3:L39)</f>
        <v>11760</v>
      </c>
      <c r="N39" s="33">
        <f t="shared" si="1"/>
        <v>11995.2</v>
      </c>
      <c r="O39" s="54">
        <f t="shared" si="2"/>
        <v>0</v>
      </c>
      <c r="P39" s="55">
        <f t="shared" si="4"/>
        <v>1840</v>
      </c>
      <c r="Q39" s="55">
        <f t="shared" si="3"/>
        <v>0</v>
      </c>
      <c r="R39" s="55">
        <f t="shared" si="5"/>
        <v>90</v>
      </c>
      <c r="S39" s="56" t="s">
        <v>182</v>
      </c>
      <c r="W39" s="27" t="str">
        <f>TRUNC((X39+6)*10/80)&amp;"-"&amp;((X39+6)/8-TRUNC((X39+6)/8))*80</f>
        <v>8-60</v>
      </c>
      <c r="X39" s="12">
        <v>64</v>
      </c>
      <c r="Y39" s="12"/>
      <c r="Z39" s="12">
        <f t="shared" si="6"/>
        <v>4.3</v>
      </c>
      <c r="AA39" s="12">
        <v>800</v>
      </c>
      <c r="AB39" s="12">
        <f t="shared" si="6"/>
        <v>3100</v>
      </c>
      <c r="AC39" s="12"/>
      <c r="AD39" s="12">
        <f t="shared" si="6"/>
        <v>9800</v>
      </c>
      <c r="AE39" s="12"/>
      <c r="AF39" s="12">
        <f t="shared" si="6"/>
        <v>7300</v>
      </c>
      <c r="AG39" s="12"/>
      <c r="AH39" s="12">
        <f t="shared" si="7"/>
        <v>42000</v>
      </c>
      <c r="AI39" s="12"/>
      <c r="AJ39" s="12">
        <f t="shared" si="7"/>
        <v>64000</v>
      </c>
    </row>
    <row r="40" spans="12:36" x14ac:dyDescent="0.2">
      <c r="L40" s="32">
        <v>530</v>
      </c>
      <c r="M40" s="27">
        <f>SUM(L$3:L40)</f>
        <v>12290</v>
      </c>
      <c r="N40" s="33">
        <f t="shared" si="1"/>
        <v>12535.800000000001</v>
      </c>
      <c r="O40" s="54">
        <f t="shared" si="2"/>
        <v>0</v>
      </c>
      <c r="P40" s="55">
        <f t="shared" si="4"/>
        <v>1840</v>
      </c>
      <c r="Q40" s="55" t="str">
        <f t="shared" si="3"/>
        <v>10</v>
      </c>
      <c r="R40" s="55">
        <f t="shared" si="5"/>
        <v>100</v>
      </c>
      <c r="S40" s="56" t="s">
        <v>179</v>
      </c>
      <c r="W40" s="27" t="str">
        <f>TRUNC((X40+6)*10/80)&amp;"-"&amp;((X40+6)/8-TRUNC((X40+6)/8))*80</f>
        <v>9-10</v>
      </c>
      <c r="X40" s="12">
        <v>67</v>
      </c>
      <c r="Y40" s="12"/>
      <c r="Z40" s="12">
        <f t="shared" si="6"/>
        <v>4.3</v>
      </c>
      <c r="AA40" s="12"/>
      <c r="AB40" s="12">
        <f t="shared" si="6"/>
        <v>3100</v>
      </c>
      <c r="AC40" s="12">
        <v>3500</v>
      </c>
      <c r="AD40" s="12">
        <f t="shared" si="6"/>
        <v>13300</v>
      </c>
      <c r="AE40" s="12"/>
      <c r="AF40" s="12">
        <f t="shared" si="6"/>
        <v>7300</v>
      </c>
      <c r="AG40" s="12"/>
      <c r="AH40" s="12">
        <f t="shared" si="7"/>
        <v>42000</v>
      </c>
      <c r="AI40" s="12"/>
      <c r="AJ40" s="12">
        <f t="shared" si="7"/>
        <v>64000</v>
      </c>
    </row>
    <row r="41" spans="12:36" x14ac:dyDescent="0.2">
      <c r="L41" s="32">
        <v>290</v>
      </c>
      <c r="M41" s="27">
        <f>SUM(L$3:L41)</f>
        <v>12580</v>
      </c>
      <c r="N41" s="33">
        <f t="shared" si="1"/>
        <v>12831.6</v>
      </c>
      <c r="O41" s="54">
        <f t="shared" si="2"/>
        <v>0</v>
      </c>
      <c r="P41" s="55">
        <f t="shared" si="4"/>
        <v>1840</v>
      </c>
      <c r="Q41" s="55">
        <f t="shared" si="3"/>
        <v>0</v>
      </c>
      <c r="R41" s="55">
        <f t="shared" si="5"/>
        <v>100</v>
      </c>
      <c r="S41" s="56" t="s">
        <v>182</v>
      </c>
      <c r="W41" s="27" t="str">
        <f>TRUNC((X41+6)*10/80)&amp;"-"&amp;((X41+6)/8-TRUNC((X41+6)/8))*80</f>
        <v>9-40</v>
      </c>
      <c r="X41" s="12">
        <v>70</v>
      </c>
      <c r="Y41" s="12"/>
      <c r="Z41" s="12">
        <f t="shared" si="6"/>
        <v>4.3</v>
      </c>
      <c r="AA41" s="12"/>
      <c r="AB41" s="12">
        <f t="shared" si="6"/>
        <v>3100</v>
      </c>
      <c r="AC41" s="12"/>
      <c r="AD41" s="12">
        <f t="shared" si="6"/>
        <v>13300</v>
      </c>
      <c r="AE41" s="12"/>
      <c r="AF41" s="12">
        <f t="shared" si="6"/>
        <v>7300</v>
      </c>
      <c r="AG41" s="12"/>
      <c r="AH41" s="12">
        <f t="shared" si="7"/>
        <v>42000</v>
      </c>
      <c r="AI41" s="12"/>
      <c r="AJ41" s="12">
        <f t="shared" si="7"/>
        <v>64000</v>
      </c>
    </row>
    <row r="42" spans="12:36" x14ac:dyDescent="0.2">
      <c r="L42" s="32">
        <v>1310</v>
      </c>
      <c r="M42" s="27">
        <f>SUM(L$3:L42)</f>
        <v>13890</v>
      </c>
      <c r="N42" s="33">
        <f t="shared" si="1"/>
        <v>14167.800000000001</v>
      </c>
      <c r="O42" s="54">
        <f t="shared" si="2"/>
        <v>0</v>
      </c>
      <c r="P42" s="55">
        <f t="shared" si="4"/>
        <v>1840</v>
      </c>
      <c r="Q42" s="55" t="str">
        <f t="shared" si="3"/>
        <v>25</v>
      </c>
      <c r="R42" s="55">
        <f t="shared" si="5"/>
        <v>125</v>
      </c>
      <c r="S42" s="56" t="s">
        <v>178</v>
      </c>
      <c r="W42" s="27" t="str">
        <f>TRUNC((X42+6)*10/80)&amp;"-"&amp;((X42+6)/8-TRUNC((X42+6)/8))*80</f>
        <v>9-70</v>
      </c>
      <c r="X42" s="12">
        <v>73</v>
      </c>
      <c r="Y42" s="12"/>
      <c r="Z42" s="12">
        <f t="shared" si="6"/>
        <v>4.3</v>
      </c>
      <c r="AA42" s="12"/>
      <c r="AB42" s="12">
        <f t="shared" si="6"/>
        <v>3100</v>
      </c>
      <c r="AC42" s="12"/>
      <c r="AD42" s="12">
        <f t="shared" si="6"/>
        <v>13300</v>
      </c>
      <c r="AE42" s="12">
        <v>2500</v>
      </c>
      <c r="AF42" s="12">
        <f t="shared" si="6"/>
        <v>9800</v>
      </c>
      <c r="AG42" s="12"/>
      <c r="AH42" s="12">
        <f t="shared" si="7"/>
        <v>42000</v>
      </c>
      <c r="AI42" s="12"/>
      <c r="AJ42" s="12">
        <f t="shared" si="7"/>
        <v>64000</v>
      </c>
    </row>
    <row r="43" spans="12:36" x14ac:dyDescent="0.2">
      <c r="L43" s="32">
        <v>710</v>
      </c>
      <c r="M43" s="27">
        <f>SUM(L$3:L43)</f>
        <v>14600</v>
      </c>
      <c r="N43" s="33">
        <f t="shared" ref="N43:N54" si="8">M43*0.255*4</f>
        <v>14892</v>
      </c>
      <c r="O43" s="54" t="str">
        <f t="shared" si="2"/>
        <v>300</v>
      </c>
      <c r="P43" s="55">
        <f t="shared" ref="P43:P54" si="9">P42+O43</f>
        <v>2140</v>
      </c>
      <c r="Q43" s="55">
        <f t="shared" si="3"/>
        <v>0</v>
      </c>
      <c r="R43" s="55">
        <f t="shared" ref="R43:R54" si="10">R42+Q43</f>
        <v>125</v>
      </c>
      <c r="S43" s="56" t="s">
        <v>177</v>
      </c>
      <c r="W43" s="27" t="str">
        <f>TRUNC((X43+6)*10/80)&amp;"-"&amp;((X43+6)/8-TRUNC((X43+6)/8))*80</f>
        <v>10-20</v>
      </c>
      <c r="X43" s="12">
        <v>76</v>
      </c>
      <c r="Y43" s="12"/>
      <c r="Z43" s="12">
        <f t="shared" si="6"/>
        <v>4.3</v>
      </c>
      <c r="AA43" s="12"/>
      <c r="AB43" s="12">
        <f t="shared" si="6"/>
        <v>3100</v>
      </c>
      <c r="AC43" s="12"/>
      <c r="AD43" s="12">
        <f t="shared" si="6"/>
        <v>13300</v>
      </c>
      <c r="AE43" s="12"/>
      <c r="AF43" s="12">
        <f t="shared" si="6"/>
        <v>9800</v>
      </c>
      <c r="AG43" s="12">
        <v>15000</v>
      </c>
      <c r="AH43" s="12">
        <f t="shared" si="7"/>
        <v>57000</v>
      </c>
      <c r="AI43" s="12"/>
      <c r="AJ43" s="12">
        <f t="shared" si="7"/>
        <v>64000</v>
      </c>
    </row>
    <row r="44" spans="12:36" x14ac:dyDescent="0.2">
      <c r="L44" s="32">
        <v>580</v>
      </c>
      <c r="M44" s="27">
        <f>SUM(L$3:L44)</f>
        <v>15180</v>
      </c>
      <c r="N44" s="33">
        <f t="shared" si="8"/>
        <v>15483.6</v>
      </c>
      <c r="O44" s="54">
        <f t="shared" si="2"/>
        <v>0</v>
      </c>
      <c r="P44" s="55">
        <f t="shared" si="9"/>
        <v>2140</v>
      </c>
      <c r="Q44" s="55">
        <f t="shared" si="3"/>
        <v>0</v>
      </c>
      <c r="R44" s="55">
        <f t="shared" si="10"/>
        <v>125</v>
      </c>
      <c r="S44" s="56" t="s">
        <v>172</v>
      </c>
      <c r="W44" s="27" t="str">
        <f>TRUNC((X44+6)*10/80)&amp;"-"&amp;((X44+6)/8-TRUNC((X44+6)/8))*80</f>
        <v>10-50</v>
      </c>
      <c r="X44" s="12">
        <v>79</v>
      </c>
      <c r="Y44" s="12"/>
      <c r="Z44" s="12">
        <f t="shared" si="6"/>
        <v>4.3</v>
      </c>
      <c r="AA44" s="12"/>
      <c r="AB44" s="12">
        <f t="shared" si="6"/>
        <v>3100</v>
      </c>
      <c r="AC44" s="12"/>
      <c r="AD44" s="12">
        <f t="shared" si="6"/>
        <v>13300</v>
      </c>
      <c r="AE44" s="12"/>
      <c r="AF44" s="12">
        <f t="shared" si="6"/>
        <v>9800</v>
      </c>
      <c r="AG44" s="12"/>
      <c r="AH44" s="12">
        <f t="shared" si="7"/>
        <v>57000</v>
      </c>
      <c r="AI44" s="12">
        <v>22000</v>
      </c>
      <c r="AJ44" s="12">
        <f t="shared" si="7"/>
        <v>86000</v>
      </c>
    </row>
    <row r="45" spans="12:36" x14ac:dyDescent="0.2">
      <c r="L45" s="32">
        <v>1310</v>
      </c>
      <c r="M45" s="27">
        <f>SUM(L$3:L45)</f>
        <v>16490</v>
      </c>
      <c r="N45" s="33">
        <f t="shared" si="8"/>
        <v>16819.8</v>
      </c>
      <c r="O45" s="54">
        <f t="shared" si="2"/>
        <v>0</v>
      </c>
      <c r="P45" s="55">
        <f t="shared" si="9"/>
        <v>2140</v>
      </c>
      <c r="Q45" s="55" t="str">
        <f t="shared" si="3"/>
        <v>25</v>
      </c>
      <c r="R45" s="55">
        <f t="shared" si="10"/>
        <v>150</v>
      </c>
      <c r="S45" s="56" t="s">
        <v>178</v>
      </c>
      <c r="W45" s="27" t="str">
        <f>TRUNC((X45+6)*10/80)&amp;"-"&amp;((X45+6)/8-TRUNC((X45+6)/8))*80</f>
        <v>11-0</v>
      </c>
      <c r="X45" s="12">
        <v>82</v>
      </c>
      <c r="Y45" s="58">
        <v>0.8</v>
      </c>
      <c r="Z45" s="12">
        <f t="shared" si="6"/>
        <v>5.0999999999999996</v>
      </c>
      <c r="AA45" s="12"/>
      <c r="AB45" s="12">
        <f t="shared" si="6"/>
        <v>3100</v>
      </c>
      <c r="AC45" s="12"/>
      <c r="AD45" s="12">
        <f t="shared" si="6"/>
        <v>13300</v>
      </c>
      <c r="AE45" s="12"/>
      <c r="AF45" s="12">
        <f t="shared" si="6"/>
        <v>9800</v>
      </c>
      <c r="AG45" s="12"/>
      <c r="AH45" s="12">
        <f t="shared" si="7"/>
        <v>57000</v>
      </c>
      <c r="AI45" s="12"/>
      <c r="AJ45" s="12">
        <f t="shared" si="7"/>
        <v>86000</v>
      </c>
    </row>
    <row r="46" spans="12:36" x14ac:dyDescent="0.2">
      <c r="L46" s="32">
        <v>710</v>
      </c>
      <c r="M46" s="27">
        <f>SUM(L$3:L46)</f>
        <v>17200</v>
      </c>
      <c r="N46" s="33">
        <f t="shared" si="8"/>
        <v>17544</v>
      </c>
      <c r="O46" s="54" t="str">
        <f t="shared" si="2"/>
        <v>300</v>
      </c>
      <c r="P46" s="55">
        <f t="shared" si="9"/>
        <v>2440</v>
      </c>
      <c r="Q46" s="55">
        <f t="shared" si="3"/>
        <v>0</v>
      </c>
      <c r="R46" s="55">
        <f t="shared" si="10"/>
        <v>150</v>
      </c>
      <c r="S46" s="56" t="s">
        <v>177</v>
      </c>
      <c r="W46" s="27" t="str">
        <f>TRUNC((X46+6)*10/80)&amp;"-"&amp;((X46+6)/8-TRUNC((X46+6)/8))*80</f>
        <v>11-30</v>
      </c>
      <c r="X46" s="12">
        <v>85</v>
      </c>
      <c r="Y46" s="12"/>
      <c r="Z46" s="12">
        <f t="shared" si="6"/>
        <v>5.0999999999999996</v>
      </c>
      <c r="AA46" s="12">
        <v>800</v>
      </c>
      <c r="AB46" s="12">
        <f t="shared" si="6"/>
        <v>3900</v>
      </c>
      <c r="AC46" s="12"/>
      <c r="AD46" s="12">
        <f t="shared" si="6"/>
        <v>13300</v>
      </c>
      <c r="AE46" s="12"/>
      <c r="AF46" s="12">
        <f t="shared" si="6"/>
        <v>9800</v>
      </c>
      <c r="AG46" s="12"/>
      <c r="AH46" s="12">
        <f t="shared" si="7"/>
        <v>57000</v>
      </c>
      <c r="AI46" s="12"/>
      <c r="AJ46" s="12">
        <f t="shared" si="7"/>
        <v>86000</v>
      </c>
    </row>
    <row r="47" spans="12:36" x14ac:dyDescent="0.2">
      <c r="L47" s="32">
        <v>290</v>
      </c>
      <c r="M47" s="27">
        <f>SUM(L$3:L47)</f>
        <v>17490</v>
      </c>
      <c r="N47" s="33">
        <f t="shared" si="8"/>
        <v>17839.8</v>
      </c>
      <c r="O47" s="54">
        <f t="shared" si="2"/>
        <v>0</v>
      </c>
      <c r="P47" s="55">
        <f t="shared" si="9"/>
        <v>2440</v>
      </c>
      <c r="Q47" s="55">
        <f t="shared" si="3"/>
        <v>0</v>
      </c>
      <c r="R47" s="55">
        <f t="shared" si="10"/>
        <v>150</v>
      </c>
      <c r="S47" s="56" t="s">
        <v>189</v>
      </c>
      <c r="W47" s="27" t="str">
        <f>TRUNC((X47+6)*10/80)&amp;"-"&amp;((X47+6)/8-TRUNC((X47+6)/8))*80</f>
        <v>11-60</v>
      </c>
      <c r="X47" s="12">
        <v>88</v>
      </c>
      <c r="Y47" s="12"/>
      <c r="Z47" s="12">
        <f t="shared" si="6"/>
        <v>5.0999999999999996</v>
      </c>
      <c r="AA47" s="12"/>
      <c r="AB47" s="12">
        <f t="shared" si="6"/>
        <v>3900</v>
      </c>
      <c r="AC47" s="12">
        <v>3500</v>
      </c>
      <c r="AD47" s="12">
        <f t="shared" si="6"/>
        <v>16800</v>
      </c>
      <c r="AE47" s="12"/>
      <c r="AF47" s="12">
        <f t="shared" si="6"/>
        <v>9800</v>
      </c>
      <c r="AG47" s="12"/>
      <c r="AH47" s="12">
        <f t="shared" si="7"/>
        <v>57000</v>
      </c>
      <c r="AI47" s="12"/>
      <c r="AJ47" s="12">
        <f t="shared" si="7"/>
        <v>86000</v>
      </c>
    </row>
    <row r="48" spans="12:36" x14ac:dyDescent="0.2">
      <c r="L48" s="32">
        <v>260</v>
      </c>
      <c r="M48" s="27">
        <f>SUM(L$3:L48)</f>
        <v>17750</v>
      </c>
      <c r="N48" s="33">
        <f t="shared" si="8"/>
        <v>18105</v>
      </c>
      <c r="O48" s="54">
        <f t="shared" si="2"/>
        <v>0</v>
      </c>
      <c r="P48" s="55">
        <f t="shared" si="9"/>
        <v>2440</v>
      </c>
      <c r="Q48" s="55" t="str">
        <f t="shared" si="3"/>
        <v>5</v>
      </c>
      <c r="R48" s="55">
        <f t="shared" si="10"/>
        <v>155</v>
      </c>
      <c r="S48" s="56" t="s">
        <v>180</v>
      </c>
      <c r="W48" s="27" t="str">
        <f>TRUNC((X48+6)*10/80)&amp;"-"&amp;((X48+6)/8-TRUNC((X48+6)/8))*80</f>
        <v>12-10</v>
      </c>
      <c r="X48" s="12">
        <v>91</v>
      </c>
      <c r="Y48" s="12"/>
      <c r="Z48" s="12">
        <f t="shared" si="6"/>
        <v>5.0999999999999996</v>
      </c>
      <c r="AA48" s="12"/>
      <c r="AB48" s="12">
        <f t="shared" si="6"/>
        <v>3900</v>
      </c>
      <c r="AC48" s="12"/>
      <c r="AD48" s="12">
        <f t="shared" si="6"/>
        <v>16800</v>
      </c>
      <c r="AE48" s="12">
        <v>2500</v>
      </c>
      <c r="AF48" s="12">
        <f t="shared" si="6"/>
        <v>12300</v>
      </c>
      <c r="AG48" s="12"/>
      <c r="AH48" s="12">
        <f t="shared" si="7"/>
        <v>57000</v>
      </c>
      <c r="AI48" s="12"/>
      <c r="AJ48" s="12">
        <f t="shared" si="7"/>
        <v>86000</v>
      </c>
    </row>
    <row r="49" spans="12:36" x14ac:dyDescent="0.2">
      <c r="L49" s="32">
        <v>580</v>
      </c>
      <c r="M49" s="27">
        <f>SUM(L$3:L49)</f>
        <v>18330</v>
      </c>
      <c r="N49" s="33">
        <f t="shared" si="8"/>
        <v>18696.599999999999</v>
      </c>
      <c r="O49" s="54">
        <f t="shared" si="2"/>
        <v>0</v>
      </c>
      <c r="P49" s="55">
        <f t="shared" si="9"/>
        <v>2440</v>
      </c>
      <c r="Q49" s="55">
        <f t="shared" si="3"/>
        <v>0</v>
      </c>
      <c r="R49" s="55">
        <f t="shared" si="10"/>
        <v>155</v>
      </c>
      <c r="S49" s="56" t="s">
        <v>182</v>
      </c>
      <c r="W49" s="27" t="str">
        <f>TRUNC((X49+6)*10/80)&amp;"-"&amp;((X49+6)/8-TRUNC((X49+6)/8))*80</f>
        <v>12-40</v>
      </c>
      <c r="X49" s="12">
        <v>94</v>
      </c>
      <c r="Y49" s="12"/>
      <c r="Z49" s="12">
        <f t="shared" si="6"/>
        <v>5.0999999999999996</v>
      </c>
      <c r="AA49" s="12"/>
      <c r="AB49" s="12">
        <f t="shared" si="6"/>
        <v>3900</v>
      </c>
      <c r="AC49" s="12"/>
      <c r="AD49" s="12">
        <f t="shared" si="6"/>
        <v>16800</v>
      </c>
      <c r="AE49" s="12"/>
      <c r="AF49" s="12">
        <f t="shared" si="6"/>
        <v>12300</v>
      </c>
      <c r="AG49" s="12">
        <v>15000</v>
      </c>
      <c r="AH49" s="12">
        <f t="shared" si="7"/>
        <v>72000</v>
      </c>
      <c r="AI49" s="12"/>
      <c r="AJ49" s="12">
        <f t="shared" si="7"/>
        <v>86000</v>
      </c>
    </row>
    <row r="50" spans="12:36" x14ac:dyDescent="0.2">
      <c r="L50" s="32">
        <v>2860</v>
      </c>
      <c r="M50" s="27">
        <f>SUM(L$3:L50)</f>
        <v>21190</v>
      </c>
      <c r="N50" s="33">
        <f t="shared" si="8"/>
        <v>21613.8</v>
      </c>
      <c r="O50" s="54" t="str">
        <f t="shared" si="2"/>
        <v>1000</v>
      </c>
      <c r="P50" s="55">
        <f t="shared" si="9"/>
        <v>3440</v>
      </c>
      <c r="Q50" s="55">
        <f t="shared" si="3"/>
        <v>0</v>
      </c>
      <c r="R50" s="55">
        <f t="shared" si="10"/>
        <v>155</v>
      </c>
      <c r="S50" s="56" t="s">
        <v>188</v>
      </c>
      <c r="W50" s="27" t="str">
        <f>TRUNC((X50+6)*10/80)&amp;"-"&amp;((X50+6)/8-TRUNC((X50+6)/8))*80</f>
        <v>12-70</v>
      </c>
      <c r="X50" s="12">
        <v>97</v>
      </c>
      <c r="Y50" s="12"/>
      <c r="Z50" s="12">
        <f t="shared" si="6"/>
        <v>5.0999999999999996</v>
      </c>
      <c r="AA50" s="12"/>
      <c r="AB50" s="12">
        <f t="shared" si="6"/>
        <v>3900</v>
      </c>
      <c r="AC50" s="12"/>
      <c r="AD50" s="12">
        <f t="shared" si="6"/>
        <v>16800</v>
      </c>
      <c r="AE50" s="12"/>
      <c r="AF50" s="12">
        <f t="shared" si="6"/>
        <v>12300</v>
      </c>
      <c r="AG50" s="12"/>
      <c r="AH50" s="12">
        <f t="shared" si="7"/>
        <v>72000</v>
      </c>
      <c r="AI50" s="12"/>
      <c r="AJ50" s="12">
        <f t="shared" si="7"/>
        <v>86000</v>
      </c>
    </row>
    <row r="51" spans="12:36" x14ac:dyDescent="0.2">
      <c r="L51" s="32">
        <v>320</v>
      </c>
      <c r="M51" s="27">
        <f>SUM(L$3:L51)</f>
        <v>21510</v>
      </c>
      <c r="N51" s="33">
        <f t="shared" si="8"/>
        <v>21940.2</v>
      </c>
      <c r="O51" s="54">
        <f t="shared" si="2"/>
        <v>0</v>
      </c>
      <c r="P51" s="55">
        <f t="shared" si="9"/>
        <v>3440</v>
      </c>
      <c r="Q51" s="55" t="str">
        <f t="shared" si="3"/>
        <v>5</v>
      </c>
      <c r="R51" s="55">
        <f t="shared" si="10"/>
        <v>160</v>
      </c>
      <c r="S51" s="56" t="s">
        <v>180</v>
      </c>
      <c r="W51" s="27" t="str">
        <f>TRUNC((X51+6)*10/80)&amp;"-"&amp;((X51+6)/8-TRUNC((X51+6)/8))*80</f>
        <v>13-20</v>
      </c>
      <c r="X51" s="12">
        <v>100</v>
      </c>
      <c r="Y51" s="12"/>
      <c r="Z51" s="12">
        <f t="shared" si="6"/>
        <v>5.0999999999999996</v>
      </c>
      <c r="AA51" s="12"/>
      <c r="AB51" s="12">
        <f t="shared" si="6"/>
        <v>3900</v>
      </c>
      <c r="AC51" s="12"/>
      <c r="AD51" s="12">
        <f t="shared" si="6"/>
        <v>16800</v>
      </c>
      <c r="AE51" s="12"/>
      <c r="AF51" s="12">
        <f t="shared" si="6"/>
        <v>12300</v>
      </c>
      <c r="AG51" s="12"/>
      <c r="AH51" s="12">
        <f t="shared" si="7"/>
        <v>72000</v>
      </c>
      <c r="AI51" s="12">
        <v>22000</v>
      </c>
      <c r="AJ51" s="12">
        <f t="shared" si="7"/>
        <v>108000</v>
      </c>
    </row>
    <row r="52" spans="12:36" x14ac:dyDescent="0.2">
      <c r="L52" s="32">
        <v>350</v>
      </c>
      <c r="M52" s="27">
        <f>SUM(L$3:L52)</f>
        <v>21860</v>
      </c>
      <c r="N52" s="33">
        <f t="shared" si="8"/>
        <v>22297.200000000001</v>
      </c>
      <c r="O52" s="54">
        <f t="shared" si="2"/>
        <v>0</v>
      </c>
      <c r="P52" s="55">
        <f t="shared" si="9"/>
        <v>3440</v>
      </c>
      <c r="Q52" s="55">
        <f t="shared" si="3"/>
        <v>0</v>
      </c>
      <c r="R52" s="55">
        <f t="shared" si="10"/>
        <v>160</v>
      </c>
      <c r="S52" s="56" t="s">
        <v>185</v>
      </c>
      <c r="W52" s="27" t="str">
        <f>TRUNC((X52+6)*10/80)&amp;"-"&amp;((X52+6)/8-TRUNC((X52+6)/8))*80</f>
        <v>13-50</v>
      </c>
      <c r="X52" s="12">
        <v>103</v>
      </c>
      <c r="Y52" s="58">
        <v>0.8</v>
      </c>
      <c r="Z52" s="12">
        <f t="shared" si="6"/>
        <v>5.8999999999999995</v>
      </c>
      <c r="AA52" s="12"/>
      <c r="AB52" s="12">
        <f t="shared" si="6"/>
        <v>3900</v>
      </c>
      <c r="AC52" s="12"/>
      <c r="AD52" s="12">
        <f t="shared" si="6"/>
        <v>16800</v>
      </c>
      <c r="AE52" s="12"/>
      <c r="AF52" s="12">
        <f t="shared" si="6"/>
        <v>12300</v>
      </c>
      <c r="AG52" s="12"/>
      <c r="AH52" s="12">
        <f t="shared" si="7"/>
        <v>72000</v>
      </c>
      <c r="AI52" s="12"/>
      <c r="AJ52" s="12">
        <f t="shared" si="7"/>
        <v>108000</v>
      </c>
    </row>
    <row r="53" spans="12:36" x14ac:dyDescent="0.2">
      <c r="L53" s="32">
        <v>400</v>
      </c>
      <c r="M53" s="27">
        <f>SUM(L$3:L53)</f>
        <v>22260</v>
      </c>
      <c r="N53" s="33">
        <f t="shared" si="8"/>
        <v>22705.200000000001</v>
      </c>
      <c r="O53" s="54" t="str">
        <f t="shared" si="2"/>
        <v>140</v>
      </c>
      <c r="P53" s="55">
        <f t="shared" si="9"/>
        <v>3580</v>
      </c>
      <c r="Q53" s="55">
        <f t="shared" si="3"/>
        <v>0</v>
      </c>
      <c r="R53" s="55">
        <f t="shared" si="10"/>
        <v>160</v>
      </c>
      <c r="S53" s="56" t="s">
        <v>190</v>
      </c>
      <c r="W53" s="27" t="str">
        <f>TRUNC((X53+6)*10/80)&amp;"-"&amp;((X53+6)/8-TRUNC((X53+6)/8))*80</f>
        <v>14-0</v>
      </c>
      <c r="X53" s="12">
        <v>106</v>
      </c>
      <c r="Y53" s="12"/>
      <c r="Z53" s="12">
        <f t="shared" si="6"/>
        <v>5.8999999999999995</v>
      </c>
      <c r="AA53" s="12">
        <v>1000</v>
      </c>
      <c r="AB53" s="12">
        <f t="shared" si="6"/>
        <v>4900</v>
      </c>
      <c r="AC53" s="12"/>
      <c r="AD53" s="12">
        <f t="shared" si="6"/>
        <v>16800</v>
      </c>
      <c r="AE53" s="12"/>
      <c r="AF53" s="12">
        <f t="shared" si="6"/>
        <v>12300</v>
      </c>
      <c r="AG53" s="12"/>
      <c r="AH53" s="12">
        <f t="shared" si="7"/>
        <v>72000</v>
      </c>
      <c r="AI53" s="12"/>
      <c r="AJ53" s="12">
        <f t="shared" si="7"/>
        <v>108000</v>
      </c>
    </row>
    <row r="54" spans="12:36" x14ac:dyDescent="0.2">
      <c r="L54" s="32">
        <v>700</v>
      </c>
      <c r="M54" s="27">
        <f>SUM(L$3:L54)</f>
        <v>22960</v>
      </c>
      <c r="N54" s="33">
        <f t="shared" ref="N54:N80" si="11">M54*0.255*4</f>
        <v>23419.200000000001</v>
      </c>
      <c r="O54" s="54">
        <f t="shared" ref="O54:O80" si="12">IF(_xlfn.TEXTAFTER(S54," ")="PB",_xlfn.TEXTBEFORE(S54," "),0)</f>
        <v>0</v>
      </c>
      <c r="P54" s="55">
        <f t="shared" ref="P54:P80" si="13">P53+O54</f>
        <v>3580</v>
      </c>
      <c r="Q54" s="55">
        <f t="shared" si="3"/>
        <v>0</v>
      </c>
      <c r="R54" s="55">
        <f t="shared" ref="R54:R80" si="14">R53+Q54</f>
        <v>160</v>
      </c>
      <c r="S54" s="56" t="s">
        <v>182</v>
      </c>
      <c r="W54" s="27" t="str">
        <f>TRUNC((X54+6)*10/80)&amp;"-"&amp;((X54+6)/8-TRUNC((X54+6)/8))*80</f>
        <v>14-30</v>
      </c>
      <c r="X54" s="12">
        <v>109</v>
      </c>
      <c r="Y54" s="12"/>
      <c r="Z54" s="12">
        <f t="shared" si="6"/>
        <v>5.8999999999999995</v>
      </c>
      <c r="AA54" s="12"/>
      <c r="AB54" s="12">
        <f t="shared" si="6"/>
        <v>4900</v>
      </c>
      <c r="AC54" s="12">
        <v>4200</v>
      </c>
      <c r="AD54" s="12">
        <f t="shared" si="6"/>
        <v>21000</v>
      </c>
      <c r="AE54" s="12"/>
      <c r="AF54" s="12">
        <f t="shared" si="6"/>
        <v>12300</v>
      </c>
      <c r="AG54" s="12"/>
      <c r="AH54" s="12">
        <f t="shared" si="7"/>
        <v>72000</v>
      </c>
      <c r="AI54" s="12"/>
      <c r="AJ54" s="12">
        <f t="shared" si="7"/>
        <v>108000</v>
      </c>
    </row>
    <row r="55" spans="12:36" x14ac:dyDescent="0.2">
      <c r="L55" s="32">
        <v>320</v>
      </c>
      <c r="M55" s="27">
        <f>SUM(L$3:L55)</f>
        <v>23280</v>
      </c>
      <c r="N55" s="33">
        <f t="shared" si="11"/>
        <v>23745.600000000002</v>
      </c>
      <c r="O55" s="54">
        <f t="shared" si="12"/>
        <v>0</v>
      </c>
      <c r="P55" s="55">
        <f t="shared" si="13"/>
        <v>3580</v>
      </c>
      <c r="Q55" s="55" t="str">
        <f t="shared" si="3"/>
        <v>5</v>
      </c>
      <c r="R55" s="55">
        <f t="shared" si="14"/>
        <v>165</v>
      </c>
      <c r="S55" s="56" t="s">
        <v>180</v>
      </c>
      <c r="W55" s="27" t="str">
        <f>TRUNC((X55+6)*10/80)&amp;"-"&amp;((X55+6)/8-TRUNC((X55+6)/8))*80</f>
        <v>14-60</v>
      </c>
      <c r="X55" s="12">
        <v>112</v>
      </c>
      <c r="Y55" s="12"/>
      <c r="Z55" s="12">
        <f t="shared" si="6"/>
        <v>5.8999999999999995</v>
      </c>
      <c r="AA55" s="12"/>
      <c r="AB55" s="12">
        <f t="shared" si="6"/>
        <v>4900</v>
      </c>
      <c r="AC55" s="12"/>
      <c r="AD55" s="12">
        <f t="shared" si="6"/>
        <v>21000</v>
      </c>
      <c r="AE55" s="12">
        <v>3200</v>
      </c>
      <c r="AF55" s="12">
        <f t="shared" si="6"/>
        <v>15500</v>
      </c>
      <c r="AG55" s="12"/>
      <c r="AH55" s="12">
        <f t="shared" si="7"/>
        <v>72000</v>
      </c>
      <c r="AI55" s="12"/>
      <c r="AJ55" s="12">
        <f t="shared" si="7"/>
        <v>108000</v>
      </c>
    </row>
    <row r="56" spans="12:36" x14ac:dyDescent="0.2">
      <c r="L56" s="32">
        <v>860</v>
      </c>
      <c r="M56" s="27">
        <f>SUM(L$3:L56)</f>
        <v>24140</v>
      </c>
      <c r="N56" s="33">
        <f t="shared" si="11"/>
        <v>24622.799999999999</v>
      </c>
      <c r="O56" s="54" t="str">
        <f t="shared" si="12"/>
        <v>300</v>
      </c>
      <c r="P56" s="55">
        <f t="shared" si="13"/>
        <v>3880</v>
      </c>
      <c r="Q56" s="55">
        <f t="shared" si="3"/>
        <v>0</v>
      </c>
      <c r="R56" s="55">
        <f t="shared" si="14"/>
        <v>165</v>
      </c>
      <c r="S56" s="56" t="s">
        <v>177</v>
      </c>
      <c r="W56" s="27" t="str">
        <f>TRUNC((X56+6)*10/80)&amp;"-"&amp;((X56+6)/8-TRUNC((X56+6)/8))*80</f>
        <v>15-10</v>
      </c>
      <c r="X56" s="12">
        <v>115</v>
      </c>
      <c r="Y56" s="12"/>
      <c r="Z56" s="12">
        <f t="shared" si="6"/>
        <v>5.8999999999999995</v>
      </c>
      <c r="AA56" s="12"/>
      <c r="AB56" s="12">
        <f t="shared" si="6"/>
        <v>4900</v>
      </c>
      <c r="AC56" s="12"/>
      <c r="AD56" s="12">
        <f t="shared" si="6"/>
        <v>21000</v>
      </c>
      <c r="AE56" s="12"/>
      <c r="AF56" s="12">
        <f t="shared" si="6"/>
        <v>15500</v>
      </c>
      <c r="AG56" s="12">
        <v>18000</v>
      </c>
      <c r="AH56" s="12">
        <f t="shared" si="7"/>
        <v>90000</v>
      </c>
      <c r="AI56" s="12"/>
      <c r="AJ56" s="12">
        <f t="shared" si="7"/>
        <v>108000</v>
      </c>
    </row>
    <row r="57" spans="12:36" x14ac:dyDescent="0.2">
      <c r="L57" s="32">
        <v>700</v>
      </c>
      <c r="M57" s="27">
        <f>SUM(L$3:L57)</f>
        <v>24840</v>
      </c>
      <c r="N57" s="33">
        <f t="shared" si="11"/>
        <v>25336.799999999999</v>
      </c>
      <c r="O57" s="54">
        <f t="shared" si="12"/>
        <v>0</v>
      </c>
      <c r="P57" s="55">
        <f t="shared" si="13"/>
        <v>3880</v>
      </c>
      <c r="Q57" s="55">
        <f t="shared" si="3"/>
        <v>0</v>
      </c>
      <c r="R57" s="55">
        <f t="shared" si="14"/>
        <v>165</v>
      </c>
      <c r="S57" s="56" t="s">
        <v>172</v>
      </c>
      <c r="W57" s="27" t="str">
        <f>TRUNC((X57+6)*10/80)&amp;"-"&amp;((X57+6)/8-TRUNC((X57+6)/8))*80</f>
        <v>15-40</v>
      </c>
      <c r="X57" s="12">
        <v>118</v>
      </c>
      <c r="Y57" s="12"/>
      <c r="Z57" s="12">
        <f t="shared" si="6"/>
        <v>5.8999999999999995</v>
      </c>
      <c r="AA57" s="12"/>
      <c r="AB57" s="12">
        <f t="shared" si="6"/>
        <v>4900</v>
      </c>
      <c r="AC57" s="12"/>
      <c r="AD57" s="12">
        <f t="shared" si="6"/>
        <v>21000</v>
      </c>
      <c r="AE57" s="12"/>
      <c r="AF57" s="12">
        <f t="shared" si="6"/>
        <v>15500</v>
      </c>
      <c r="AG57" s="12"/>
      <c r="AH57" s="12">
        <f t="shared" si="7"/>
        <v>90000</v>
      </c>
      <c r="AI57" s="12">
        <v>28000</v>
      </c>
      <c r="AJ57" s="12">
        <f t="shared" si="7"/>
        <v>136000</v>
      </c>
    </row>
    <row r="58" spans="12:36" x14ac:dyDescent="0.2">
      <c r="L58" s="32">
        <v>1910</v>
      </c>
      <c r="M58" s="27">
        <f>SUM(L$3:L58)</f>
        <v>26750</v>
      </c>
      <c r="N58" s="33">
        <f t="shared" si="11"/>
        <v>27285</v>
      </c>
      <c r="O58" s="54">
        <f t="shared" si="12"/>
        <v>0</v>
      </c>
      <c r="P58" s="55">
        <f t="shared" si="13"/>
        <v>3880</v>
      </c>
      <c r="Q58" s="55" t="str">
        <f t="shared" si="3"/>
        <v>30</v>
      </c>
      <c r="R58" s="55">
        <f t="shared" si="14"/>
        <v>195</v>
      </c>
      <c r="S58" s="56" t="s">
        <v>191</v>
      </c>
      <c r="W58" s="27" t="str">
        <f>TRUNC((X58+6)*10/80)&amp;"-"&amp;((X58+6)/8-TRUNC((X58+6)/8))*80</f>
        <v>15-70</v>
      </c>
      <c r="X58" s="12">
        <v>121</v>
      </c>
      <c r="Y58" s="58">
        <v>0.8</v>
      </c>
      <c r="Z58" s="12">
        <f t="shared" si="6"/>
        <v>6.6999999999999993</v>
      </c>
      <c r="AA58" s="12"/>
      <c r="AB58" s="12">
        <f t="shared" si="6"/>
        <v>4900</v>
      </c>
      <c r="AC58" s="12"/>
      <c r="AD58" s="12">
        <f t="shared" si="6"/>
        <v>21000</v>
      </c>
      <c r="AE58" s="12"/>
      <c r="AF58" s="12">
        <f t="shared" si="6"/>
        <v>15500</v>
      </c>
      <c r="AG58" s="12"/>
      <c r="AH58" s="12">
        <f t="shared" si="7"/>
        <v>90000</v>
      </c>
      <c r="AI58" s="12"/>
      <c r="AJ58" s="12">
        <f t="shared" si="7"/>
        <v>136000</v>
      </c>
    </row>
    <row r="59" spans="12:36" x14ac:dyDescent="0.2">
      <c r="L59" s="32">
        <v>1370</v>
      </c>
      <c r="M59" s="27">
        <f>SUM(L$3:L59)</f>
        <v>28120</v>
      </c>
      <c r="N59" s="33">
        <f t="shared" si="11"/>
        <v>28682.400000000001</v>
      </c>
      <c r="O59" s="54" t="str">
        <f t="shared" si="12"/>
        <v>480</v>
      </c>
      <c r="P59" s="55">
        <f t="shared" si="13"/>
        <v>4360</v>
      </c>
      <c r="Q59" s="55">
        <f t="shared" si="3"/>
        <v>0</v>
      </c>
      <c r="R59" s="55">
        <f t="shared" si="14"/>
        <v>195</v>
      </c>
      <c r="S59" s="56" t="s">
        <v>192</v>
      </c>
      <c r="W59" s="27" t="str">
        <f>TRUNC((X59+6)*10/80)&amp;"-"&amp;((X59+6)/8-TRUNC((X59+6)/8))*80</f>
        <v>16-20</v>
      </c>
      <c r="X59" s="12">
        <v>124</v>
      </c>
      <c r="Y59" s="12"/>
      <c r="Z59" s="12">
        <f t="shared" si="6"/>
        <v>6.6999999999999993</v>
      </c>
      <c r="AA59" s="12">
        <v>1000</v>
      </c>
      <c r="AB59" s="12">
        <f t="shared" si="6"/>
        <v>5900</v>
      </c>
      <c r="AC59" s="12"/>
      <c r="AD59" s="12">
        <f t="shared" si="6"/>
        <v>21000</v>
      </c>
      <c r="AE59" s="12"/>
      <c r="AF59" s="12">
        <f t="shared" si="6"/>
        <v>15500</v>
      </c>
      <c r="AG59" s="12"/>
      <c r="AH59" s="12">
        <f t="shared" si="7"/>
        <v>90000</v>
      </c>
      <c r="AI59" s="12"/>
      <c r="AJ59" s="12">
        <f t="shared" si="7"/>
        <v>136000</v>
      </c>
    </row>
    <row r="60" spans="12:36" x14ac:dyDescent="0.2">
      <c r="L60" s="32">
        <v>640</v>
      </c>
      <c r="M60" s="27">
        <f>SUM(L$3:L60)</f>
        <v>28760</v>
      </c>
      <c r="N60" s="33">
        <f t="shared" si="11"/>
        <v>29335.200000000001</v>
      </c>
      <c r="O60" s="54">
        <f t="shared" si="12"/>
        <v>0</v>
      </c>
      <c r="P60" s="55">
        <f t="shared" si="13"/>
        <v>4360</v>
      </c>
      <c r="Q60" s="55" t="str">
        <f t="shared" si="3"/>
        <v>10</v>
      </c>
      <c r="R60" s="55">
        <f t="shared" si="14"/>
        <v>205</v>
      </c>
      <c r="S60" s="56" t="s">
        <v>179</v>
      </c>
      <c r="W60" s="27" t="str">
        <f>TRUNC((X60+6)*10/80)&amp;"-"&amp;((X60+6)/8-TRUNC((X60+6)/8))*80</f>
        <v>16-50</v>
      </c>
      <c r="X60" s="12">
        <v>127</v>
      </c>
      <c r="Y60" s="12"/>
      <c r="Z60" s="12">
        <f t="shared" si="6"/>
        <v>6.6999999999999993</v>
      </c>
      <c r="AA60" s="12"/>
      <c r="AB60" s="12">
        <f t="shared" si="6"/>
        <v>5900</v>
      </c>
      <c r="AC60" s="12">
        <v>4200</v>
      </c>
      <c r="AD60" s="12">
        <f t="shared" si="6"/>
        <v>25200</v>
      </c>
      <c r="AE60" s="12"/>
      <c r="AF60" s="12">
        <f t="shared" si="6"/>
        <v>15500</v>
      </c>
      <c r="AG60" s="12"/>
      <c r="AH60" s="12">
        <f t="shared" si="7"/>
        <v>90000</v>
      </c>
      <c r="AI60" s="12"/>
      <c r="AJ60" s="12">
        <f t="shared" si="7"/>
        <v>136000</v>
      </c>
    </row>
    <row r="61" spans="12:36" x14ac:dyDescent="0.2">
      <c r="L61" s="32">
        <v>350</v>
      </c>
      <c r="M61" s="27">
        <f>SUM(L$3:L61)</f>
        <v>29110</v>
      </c>
      <c r="N61" s="33">
        <f t="shared" si="11"/>
        <v>29692.2</v>
      </c>
      <c r="O61" s="54">
        <f t="shared" si="12"/>
        <v>0</v>
      </c>
      <c r="P61" s="55">
        <f t="shared" si="13"/>
        <v>4360</v>
      </c>
      <c r="Q61" s="55">
        <f t="shared" si="3"/>
        <v>0</v>
      </c>
      <c r="R61" s="55">
        <f t="shared" si="14"/>
        <v>205</v>
      </c>
      <c r="S61" s="56" t="s">
        <v>185</v>
      </c>
      <c r="W61" s="27" t="str">
        <f>TRUNC((X61+6)*10/80)&amp;"-"&amp;((X61+6)/8-TRUNC((X61+6)/8))*80</f>
        <v>17-0</v>
      </c>
      <c r="X61" s="12">
        <v>130</v>
      </c>
      <c r="Y61" s="12"/>
      <c r="Z61" s="12">
        <f t="shared" si="6"/>
        <v>6.6999999999999993</v>
      </c>
      <c r="AA61" s="12"/>
      <c r="AB61" s="12">
        <f t="shared" si="6"/>
        <v>5900</v>
      </c>
      <c r="AC61" s="12"/>
      <c r="AD61" s="12">
        <f t="shared" si="6"/>
        <v>25200</v>
      </c>
      <c r="AE61" s="12">
        <v>3200</v>
      </c>
      <c r="AF61" s="12">
        <f t="shared" si="6"/>
        <v>18700</v>
      </c>
      <c r="AG61" s="12"/>
      <c r="AH61" s="12">
        <f t="shared" si="7"/>
        <v>90000</v>
      </c>
      <c r="AI61" s="12"/>
      <c r="AJ61" s="12">
        <f t="shared" si="7"/>
        <v>136000</v>
      </c>
    </row>
    <row r="62" spans="12:36" x14ac:dyDescent="0.2">
      <c r="L62" s="32">
        <v>320</v>
      </c>
      <c r="M62" s="27">
        <f>SUM(L$3:L62)</f>
        <v>29430</v>
      </c>
      <c r="N62" s="33">
        <f t="shared" si="11"/>
        <v>30018.600000000002</v>
      </c>
      <c r="O62" s="54">
        <f t="shared" si="12"/>
        <v>0</v>
      </c>
      <c r="P62" s="55">
        <f t="shared" si="13"/>
        <v>4360</v>
      </c>
      <c r="Q62" s="55">
        <f t="shared" si="3"/>
        <v>0</v>
      </c>
      <c r="R62" s="55">
        <f t="shared" si="14"/>
        <v>205</v>
      </c>
      <c r="S62" s="56" t="s">
        <v>193</v>
      </c>
      <c r="W62" s="27" t="str">
        <f>TRUNC((X62+6)*10/80)&amp;"-"&amp;((X62+6)/8-TRUNC((X62+6)/8))*80</f>
        <v>17-30</v>
      </c>
      <c r="X62" s="12">
        <v>133</v>
      </c>
      <c r="Y62" s="12"/>
      <c r="Z62" s="12">
        <f t="shared" si="6"/>
        <v>6.6999999999999993</v>
      </c>
      <c r="AA62" s="12"/>
      <c r="AB62" s="12">
        <f t="shared" si="6"/>
        <v>5900</v>
      </c>
      <c r="AC62" s="12"/>
      <c r="AD62" s="12">
        <f t="shared" si="6"/>
        <v>25200</v>
      </c>
      <c r="AE62" s="12"/>
      <c r="AF62" s="12">
        <f t="shared" si="6"/>
        <v>18700</v>
      </c>
      <c r="AG62" s="12">
        <v>18000</v>
      </c>
      <c r="AH62" s="12">
        <f t="shared" si="7"/>
        <v>108000</v>
      </c>
      <c r="AI62" s="12"/>
      <c r="AJ62" s="12">
        <f t="shared" si="7"/>
        <v>136000</v>
      </c>
    </row>
    <row r="63" spans="12:36" x14ac:dyDescent="0.2">
      <c r="L63" s="32">
        <v>760</v>
      </c>
      <c r="M63" s="27">
        <f>SUM(L$3:L63)</f>
        <v>30190</v>
      </c>
      <c r="N63" s="33">
        <f t="shared" si="11"/>
        <v>30793.8</v>
      </c>
      <c r="O63" s="54">
        <f t="shared" si="12"/>
        <v>0</v>
      </c>
      <c r="P63" s="55">
        <f t="shared" si="13"/>
        <v>4360</v>
      </c>
      <c r="Q63" s="55">
        <f t="shared" si="3"/>
        <v>0</v>
      </c>
      <c r="R63" s="55">
        <f t="shared" si="14"/>
        <v>205</v>
      </c>
      <c r="S63" s="56" t="s">
        <v>182</v>
      </c>
      <c r="W63" s="27" t="str">
        <f>TRUNC((X63+6)*10/80)&amp;"-"&amp;((X63+6)/8-TRUNC((X63+6)/8))*80</f>
        <v>17-60</v>
      </c>
      <c r="X63" s="12">
        <v>136</v>
      </c>
      <c r="Y63" s="12"/>
      <c r="Z63" s="12">
        <f t="shared" si="6"/>
        <v>6.6999999999999993</v>
      </c>
      <c r="AA63" s="12"/>
      <c r="AB63" s="12">
        <f t="shared" si="6"/>
        <v>5900</v>
      </c>
      <c r="AC63" s="12"/>
      <c r="AD63" s="12">
        <f t="shared" si="6"/>
        <v>25200</v>
      </c>
      <c r="AE63" s="12"/>
      <c r="AF63" s="12">
        <f t="shared" si="6"/>
        <v>18700</v>
      </c>
      <c r="AG63" s="12"/>
      <c r="AH63" s="12">
        <f t="shared" si="7"/>
        <v>108000</v>
      </c>
      <c r="AI63" s="12">
        <v>28000</v>
      </c>
      <c r="AJ63" s="12">
        <f t="shared" si="7"/>
        <v>164000</v>
      </c>
    </row>
    <row r="64" spans="12:36" x14ac:dyDescent="0.2">
      <c r="L64" s="32">
        <v>640</v>
      </c>
      <c r="M64" s="27">
        <f>SUM(L$3:L64)</f>
        <v>30830</v>
      </c>
      <c r="N64" s="33">
        <f t="shared" si="11"/>
        <v>31446.600000000002</v>
      </c>
      <c r="O64" s="54">
        <f t="shared" si="12"/>
        <v>0</v>
      </c>
      <c r="P64" s="55">
        <f t="shared" si="13"/>
        <v>4360</v>
      </c>
      <c r="Q64" s="55" t="str">
        <f t="shared" si="3"/>
        <v>10</v>
      </c>
      <c r="R64" s="55">
        <f t="shared" si="14"/>
        <v>215</v>
      </c>
      <c r="S64" s="56" t="s">
        <v>179</v>
      </c>
      <c r="W64" s="27" t="str">
        <f>TRUNC((X64+6)*10/80)&amp;"-"&amp;((X64+6)/8-TRUNC((X64+6)/8))*80</f>
        <v>18-10</v>
      </c>
      <c r="X64" s="12">
        <v>139</v>
      </c>
      <c r="Y64" s="58">
        <v>0.8</v>
      </c>
      <c r="Z64" s="12">
        <f t="shared" si="6"/>
        <v>7.4999999999999991</v>
      </c>
      <c r="AA64" s="12"/>
      <c r="AB64" s="12">
        <f t="shared" si="6"/>
        <v>5900</v>
      </c>
      <c r="AC64" s="12"/>
      <c r="AD64" s="12">
        <f t="shared" si="6"/>
        <v>25200</v>
      </c>
      <c r="AE64" s="12"/>
      <c r="AF64" s="12">
        <f t="shared" si="6"/>
        <v>18700</v>
      </c>
      <c r="AG64" s="12"/>
      <c r="AH64" s="12">
        <f t="shared" si="7"/>
        <v>108000</v>
      </c>
      <c r="AI64" s="12"/>
      <c r="AJ64" s="12">
        <f t="shared" si="7"/>
        <v>164000</v>
      </c>
    </row>
    <row r="65" spans="12:36" x14ac:dyDescent="0.2">
      <c r="L65" s="32">
        <v>1710</v>
      </c>
      <c r="M65" s="27">
        <f>SUM(L$3:L65)</f>
        <v>32540</v>
      </c>
      <c r="N65" s="33">
        <f t="shared" si="11"/>
        <v>33190.800000000003</v>
      </c>
      <c r="O65" s="54" t="str">
        <f t="shared" si="12"/>
        <v>600</v>
      </c>
      <c r="P65" s="55">
        <f t="shared" si="13"/>
        <v>4960</v>
      </c>
      <c r="Q65" s="55">
        <f t="shared" si="3"/>
        <v>0</v>
      </c>
      <c r="R65" s="55">
        <f t="shared" si="14"/>
        <v>215</v>
      </c>
      <c r="S65" s="56" t="s">
        <v>194</v>
      </c>
      <c r="W65" s="27" t="str">
        <f>TRUNC((X65+6)*10/80)&amp;"-"&amp;((X65+6)/8-TRUNC((X65+6)/8))*80</f>
        <v>18-40</v>
      </c>
      <c r="X65" s="12">
        <v>142</v>
      </c>
      <c r="Y65" s="12"/>
      <c r="Z65" s="12">
        <f t="shared" si="6"/>
        <v>7.4999999999999991</v>
      </c>
      <c r="AA65" s="12">
        <v>1000</v>
      </c>
      <c r="AB65" s="12">
        <f t="shared" si="6"/>
        <v>6900</v>
      </c>
      <c r="AC65" s="12"/>
      <c r="AD65" s="12">
        <f t="shared" si="6"/>
        <v>25200</v>
      </c>
      <c r="AE65" s="12"/>
      <c r="AF65" s="12">
        <f t="shared" si="6"/>
        <v>18700</v>
      </c>
      <c r="AG65" s="12"/>
      <c r="AH65" s="12">
        <f t="shared" si="7"/>
        <v>108000</v>
      </c>
      <c r="AI65" s="12"/>
      <c r="AJ65" s="12">
        <f t="shared" si="7"/>
        <v>164000</v>
      </c>
    </row>
    <row r="66" spans="12:36" x14ac:dyDescent="0.2">
      <c r="L66" s="32">
        <v>630</v>
      </c>
      <c r="M66" s="27">
        <f>SUM(L$3:L66)</f>
        <v>33170</v>
      </c>
      <c r="N66" s="33">
        <f t="shared" si="11"/>
        <v>33833.4</v>
      </c>
      <c r="O66" s="54">
        <f t="shared" si="12"/>
        <v>0</v>
      </c>
      <c r="P66" s="55">
        <f t="shared" si="13"/>
        <v>4960</v>
      </c>
      <c r="Q66" s="55">
        <f t="shared" si="3"/>
        <v>0</v>
      </c>
      <c r="R66" s="55">
        <f t="shared" si="14"/>
        <v>215</v>
      </c>
      <c r="S66" s="56" t="s">
        <v>195</v>
      </c>
      <c r="W66" s="27" t="str">
        <f>TRUNC((X66+6)*10/80)&amp;"-"&amp;((X66+6)/8-TRUNC((X66+6)/8))*80</f>
        <v>18-70</v>
      </c>
      <c r="X66" s="12">
        <v>145</v>
      </c>
      <c r="Y66" s="12"/>
      <c r="Z66" s="12">
        <f t="shared" si="6"/>
        <v>7.4999999999999991</v>
      </c>
      <c r="AA66" s="12"/>
      <c r="AB66" s="12">
        <f t="shared" si="6"/>
        <v>6900</v>
      </c>
      <c r="AC66" s="12">
        <v>4200</v>
      </c>
      <c r="AD66" s="12">
        <f t="shared" si="6"/>
        <v>29400</v>
      </c>
      <c r="AE66" s="12"/>
      <c r="AF66" s="12">
        <f t="shared" si="6"/>
        <v>18700</v>
      </c>
      <c r="AG66" s="12"/>
      <c r="AH66" s="12">
        <f t="shared" si="7"/>
        <v>108000</v>
      </c>
      <c r="AI66" s="12"/>
      <c r="AJ66" s="12">
        <f t="shared" si="7"/>
        <v>164000</v>
      </c>
    </row>
    <row r="67" spans="12:36" x14ac:dyDescent="0.2">
      <c r="L67" s="32">
        <v>320</v>
      </c>
      <c r="M67" s="27">
        <f>SUM(L$3:L67)</f>
        <v>33490</v>
      </c>
      <c r="N67" s="33">
        <f t="shared" si="11"/>
        <v>34159.800000000003</v>
      </c>
      <c r="O67" s="54">
        <f t="shared" si="12"/>
        <v>0</v>
      </c>
      <c r="P67" s="55">
        <f t="shared" si="13"/>
        <v>4960</v>
      </c>
      <c r="Q67" s="55" t="str">
        <f t="shared" si="3"/>
        <v>5</v>
      </c>
      <c r="R67" s="55">
        <f t="shared" si="14"/>
        <v>220</v>
      </c>
      <c r="S67" s="56" t="s">
        <v>180</v>
      </c>
      <c r="W67" s="27" t="str">
        <f>TRUNC((X67+6)*10/80)&amp;"-"&amp;((X67+6)/8-TRUNC((X67+6)/8))*80</f>
        <v>19-20</v>
      </c>
      <c r="X67" s="12">
        <v>148</v>
      </c>
      <c r="Y67" s="12"/>
      <c r="Z67" s="12">
        <f t="shared" si="6"/>
        <v>7.4999999999999991</v>
      </c>
      <c r="AA67" s="12"/>
      <c r="AB67" s="12">
        <f t="shared" si="6"/>
        <v>6900</v>
      </c>
      <c r="AC67" s="12"/>
      <c r="AD67" s="12">
        <f t="shared" si="6"/>
        <v>29400</v>
      </c>
      <c r="AE67" s="12">
        <v>3200</v>
      </c>
      <c r="AF67" s="12">
        <f t="shared" si="6"/>
        <v>21900</v>
      </c>
      <c r="AG67" s="12"/>
      <c r="AH67" s="12">
        <f t="shared" si="7"/>
        <v>108000</v>
      </c>
      <c r="AI67" s="12"/>
      <c r="AJ67" s="12">
        <f t="shared" si="7"/>
        <v>164000</v>
      </c>
    </row>
    <row r="68" spans="12:36" x14ac:dyDescent="0.2">
      <c r="L68" s="32">
        <v>1290</v>
      </c>
      <c r="M68" s="27">
        <f>SUM(L$3:L68)</f>
        <v>34780</v>
      </c>
      <c r="N68" s="33">
        <f t="shared" si="11"/>
        <v>35475.599999999999</v>
      </c>
      <c r="O68" s="54" t="str">
        <f t="shared" si="12"/>
        <v>450</v>
      </c>
      <c r="P68" s="55">
        <f t="shared" si="13"/>
        <v>5410</v>
      </c>
      <c r="Q68" s="55">
        <f t="shared" ref="Q68:Q80" si="15">IF(_xlfn.TEXTAFTER($S68," ")="CP",_xlfn.TEXTBEFORE($S68," "),0)</f>
        <v>0</v>
      </c>
      <c r="R68" s="55">
        <f t="shared" si="14"/>
        <v>220</v>
      </c>
      <c r="S68" s="56" t="s">
        <v>196</v>
      </c>
      <c r="W68" s="27" t="str">
        <f>TRUNC((X68+6)*10/80)&amp;"-"&amp;((X68+6)/8-TRUNC((X68+6)/8))*80</f>
        <v>19-50</v>
      </c>
      <c r="X68" s="12">
        <v>151</v>
      </c>
      <c r="Y68" s="12"/>
      <c r="Z68" s="12">
        <f t="shared" si="6"/>
        <v>7.4999999999999991</v>
      </c>
      <c r="AA68" s="12"/>
      <c r="AB68" s="12">
        <f t="shared" si="6"/>
        <v>6900</v>
      </c>
      <c r="AC68" s="12"/>
      <c r="AD68" s="12">
        <f t="shared" si="6"/>
        <v>29400</v>
      </c>
      <c r="AE68" s="12"/>
      <c r="AF68" s="12">
        <f t="shared" si="6"/>
        <v>21900</v>
      </c>
      <c r="AG68" s="12">
        <v>18000</v>
      </c>
      <c r="AH68" s="12">
        <f t="shared" si="7"/>
        <v>126000</v>
      </c>
      <c r="AI68" s="12"/>
      <c r="AJ68" s="12">
        <f t="shared" si="7"/>
        <v>164000</v>
      </c>
    </row>
    <row r="69" spans="12:36" x14ac:dyDescent="0.2">
      <c r="L69" s="32">
        <v>700</v>
      </c>
      <c r="M69" s="27">
        <f>SUM(L$3:L69)</f>
        <v>35480</v>
      </c>
      <c r="N69" s="33">
        <f t="shared" si="11"/>
        <v>36189.599999999999</v>
      </c>
      <c r="O69" s="54">
        <f t="shared" si="12"/>
        <v>0</v>
      </c>
      <c r="P69" s="55">
        <f t="shared" si="13"/>
        <v>5410</v>
      </c>
      <c r="Q69" s="55">
        <f t="shared" si="15"/>
        <v>0</v>
      </c>
      <c r="R69" s="55">
        <f t="shared" si="14"/>
        <v>220</v>
      </c>
      <c r="S69" s="56" t="s">
        <v>185</v>
      </c>
      <c r="W69" s="27" t="str">
        <f>TRUNC((X69+6)*10/80)&amp;"-"&amp;((X69+6)/8-TRUNC((X69+6)/8))*80</f>
        <v>20-0</v>
      </c>
      <c r="X69" s="12">
        <v>154</v>
      </c>
      <c r="Y69" s="12"/>
      <c r="Z69" s="12">
        <f t="shared" si="6"/>
        <v>7.4999999999999991</v>
      </c>
      <c r="AA69" s="12"/>
      <c r="AB69" s="12">
        <f t="shared" si="6"/>
        <v>6900</v>
      </c>
      <c r="AC69" s="12"/>
      <c r="AD69" s="12">
        <f t="shared" si="6"/>
        <v>29400</v>
      </c>
      <c r="AE69" s="12"/>
      <c r="AF69" s="12">
        <f t="shared" ref="AF69" si="16">AE69+AF68</f>
        <v>21900</v>
      </c>
      <c r="AG69" s="12"/>
      <c r="AH69" s="12">
        <f t="shared" si="7"/>
        <v>126000</v>
      </c>
      <c r="AI69" s="12">
        <v>28000</v>
      </c>
      <c r="AJ69" s="12">
        <f t="shared" si="7"/>
        <v>192000</v>
      </c>
    </row>
    <row r="70" spans="12:36" x14ac:dyDescent="0.2">
      <c r="L70" s="32">
        <v>960</v>
      </c>
      <c r="M70" s="27">
        <f>SUM(L$3:L70)</f>
        <v>36440</v>
      </c>
      <c r="N70" s="33">
        <f t="shared" si="11"/>
        <v>37168.800000000003</v>
      </c>
      <c r="O70" s="54">
        <f t="shared" si="12"/>
        <v>0</v>
      </c>
      <c r="P70" s="55">
        <f t="shared" si="13"/>
        <v>5410</v>
      </c>
      <c r="Q70" s="55" t="str">
        <f t="shared" si="15"/>
        <v>15</v>
      </c>
      <c r="R70" s="55">
        <f t="shared" si="14"/>
        <v>235</v>
      </c>
      <c r="S70" s="56" t="s">
        <v>197</v>
      </c>
      <c r="W70" s="27" t="str">
        <f>TRUNC((X70+6)*10/80)&amp;"-"&amp;((X70+6)/8-TRUNC((X70+6)/8))*80</f>
        <v>20-30</v>
      </c>
      <c r="X70" s="12">
        <v>157</v>
      </c>
      <c r="Y70" s="58">
        <v>0.8</v>
      </c>
      <c r="Z70" s="12">
        <f t="shared" ref="Z70:AF85" si="17">Y70+Z69</f>
        <v>8.2999999999999989</v>
      </c>
      <c r="AA70" s="12"/>
      <c r="AB70" s="12">
        <f t="shared" si="17"/>
        <v>6900</v>
      </c>
      <c r="AC70" s="12"/>
      <c r="AD70" s="12">
        <f t="shared" si="17"/>
        <v>29400</v>
      </c>
      <c r="AE70" s="12"/>
      <c r="AF70" s="12">
        <f t="shared" si="17"/>
        <v>21900</v>
      </c>
      <c r="AG70" s="12"/>
      <c r="AH70" s="12">
        <f t="shared" ref="AH70:AH105" si="18">AG70+AH69</f>
        <v>126000</v>
      </c>
      <c r="AI70" s="12"/>
      <c r="AJ70" s="12">
        <f t="shared" ref="AH70:AJ133" si="19">AI70+AJ69</f>
        <v>192000</v>
      </c>
    </row>
    <row r="71" spans="12:36" x14ac:dyDescent="0.2">
      <c r="L71" s="32">
        <v>940</v>
      </c>
      <c r="M71" s="27">
        <f>SUM(L$3:L71)</f>
        <v>37380</v>
      </c>
      <c r="N71" s="33">
        <f t="shared" si="11"/>
        <v>38127.599999999999</v>
      </c>
      <c r="O71" s="54">
        <f t="shared" si="12"/>
        <v>0</v>
      </c>
      <c r="P71" s="55">
        <f t="shared" si="13"/>
        <v>5410</v>
      </c>
      <c r="Q71" s="55">
        <f t="shared" si="15"/>
        <v>0</v>
      </c>
      <c r="R71" s="55">
        <f t="shared" si="14"/>
        <v>235</v>
      </c>
      <c r="S71" s="56" t="s">
        <v>182</v>
      </c>
      <c r="W71" s="27" t="str">
        <f>TRUNC((X71+6)*10/80)&amp;"-"&amp;((X71+6)/8-TRUNC((X71+6)/8))*80</f>
        <v>20-60</v>
      </c>
      <c r="X71" s="12">
        <v>160</v>
      </c>
      <c r="Y71" s="12"/>
      <c r="Z71" s="12">
        <f t="shared" si="17"/>
        <v>8.2999999999999989</v>
      </c>
      <c r="AA71" s="12">
        <v>1000</v>
      </c>
      <c r="AB71" s="12">
        <f t="shared" si="17"/>
        <v>7900</v>
      </c>
      <c r="AC71" s="12"/>
      <c r="AD71" s="12">
        <f t="shared" si="17"/>
        <v>29400</v>
      </c>
      <c r="AE71" s="12"/>
      <c r="AF71" s="12">
        <f t="shared" si="17"/>
        <v>21900</v>
      </c>
      <c r="AG71" s="12"/>
      <c r="AH71" s="12">
        <f t="shared" si="18"/>
        <v>126000</v>
      </c>
      <c r="AI71" s="12"/>
      <c r="AJ71" s="12">
        <f t="shared" si="19"/>
        <v>192000</v>
      </c>
    </row>
    <row r="72" spans="12:36" x14ac:dyDescent="0.2">
      <c r="L72" s="32">
        <v>800</v>
      </c>
      <c r="M72" s="27">
        <f>SUM(L$3:L72)</f>
        <v>38180</v>
      </c>
      <c r="N72" s="33">
        <f t="shared" si="11"/>
        <v>38943.599999999999</v>
      </c>
      <c r="O72" s="54" t="str">
        <f t="shared" si="12"/>
        <v>280</v>
      </c>
      <c r="P72" s="55">
        <f t="shared" si="13"/>
        <v>5690</v>
      </c>
      <c r="Q72" s="55">
        <f t="shared" si="15"/>
        <v>0</v>
      </c>
      <c r="R72" s="55">
        <f t="shared" si="14"/>
        <v>235</v>
      </c>
      <c r="S72" s="56" t="s">
        <v>198</v>
      </c>
      <c r="W72" s="27" t="str">
        <f>TRUNC((X72+6)*10/80)&amp;"-"&amp;((X72+6)/8-TRUNC((X72+6)/8))*80</f>
        <v>21-10</v>
      </c>
      <c r="X72" s="12">
        <v>163</v>
      </c>
      <c r="Y72" s="12"/>
      <c r="Z72" s="12">
        <f t="shared" si="17"/>
        <v>8.2999999999999989</v>
      </c>
      <c r="AA72" s="12"/>
      <c r="AB72" s="12">
        <f t="shared" si="17"/>
        <v>7900</v>
      </c>
      <c r="AC72" s="12">
        <v>4200</v>
      </c>
      <c r="AD72" s="12">
        <f t="shared" si="17"/>
        <v>33600</v>
      </c>
      <c r="AE72" s="12"/>
      <c r="AF72" s="12">
        <f t="shared" si="17"/>
        <v>21900</v>
      </c>
      <c r="AG72" s="12"/>
      <c r="AH72" s="12">
        <f t="shared" si="18"/>
        <v>126000</v>
      </c>
      <c r="AI72" s="12"/>
      <c r="AJ72" s="12">
        <f t="shared" si="19"/>
        <v>192000</v>
      </c>
    </row>
    <row r="73" spans="12:36" x14ac:dyDescent="0.2">
      <c r="L73" s="32"/>
      <c r="M73" s="27">
        <f>SUM(L$3:L73)</f>
        <v>38180</v>
      </c>
      <c r="N73" s="33">
        <f t="shared" si="11"/>
        <v>38943.599999999999</v>
      </c>
      <c r="O73" s="54" t="e">
        <f t="shared" si="12"/>
        <v>#N/A</v>
      </c>
      <c r="P73" s="55" t="e">
        <f t="shared" si="13"/>
        <v>#N/A</v>
      </c>
      <c r="Q73" s="55" t="e">
        <f t="shared" si="15"/>
        <v>#N/A</v>
      </c>
      <c r="R73" s="55" t="e">
        <f t="shared" si="14"/>
        <v>#N/A</v>
      </c>
      <c r="S73" s="56"/>
      <c r="W73" s="27" t="str">
        <f>TRUNC((X73+6)*10/80)&amp;"-"&amp;((X73+6)/8-TRUNC((X73+6)/8))*80</f>
        <v>21-40</v>
      </c>
      <c r="X73" s="12">
        <v>166</v>
      </c>
      <c r="Y73" s="12"/>
      <c r="Z73" s="12">
        <f t="shared" si="17"/>
        <v>8.2999999999999989</v>
      </c>
      <c r="AA73" s="12"/>
      <c r="AB73" s="12">
        <f t="shared" si="17"/>
        <v>7900</v>
      </c>
      <c r="AC73" s="12"/>
      <c r="AD73" s="12">
        <f t="shared" si="17"/>
        <v>33600</v>
      </c>
      <c r="AE73" s="12">
        <v>3200</v>
      </c>
      <c r="AF73" s="12">
        <f t="shared" si="17"/>
        <v>25100</v>
      </c>
      <c r="AG73" s="12"/>
      <c r="AH73" s="12">
        <f t="shared" si="18"/>
        <v>126000</v>
      </c>
      <c r="AI73" s="12"/>
      <c r="AJ73" s="12">
        <f t="shared" si="19"/>
        <v>192000</v>
      </c>
    </row>
    <row r="74" spans="12:36" x14ac:dyDescent="0.2">
      <c r="L74" s="32"/>
      <c r="M74" s="27">
        <f>SUM(L$3:L74)</f>
        <v>38180</v>
      </c>
      <c r="N74" s="33">
        <f t="shared" si="11"/>
        <v>38943.599999999999</v>
      </c>
      <c r="O74" s="54" t="e">
        <f t="shared" si="12"/>
        <v>#N/A</v>
      </c>
      <c r="P74" s="55" t="e">
        <f t="shared" si="13"/>
        <v>#N/A</v>
      </c>
      <c r="Q74" s="55" t="e">
        <f t="shared" si="15"/>
        <v>#N/A</v>
      </c>
      <c r="R74" s="55" t="e">
        <f t="shared" si="14"/>
        <v>#N/A</v>
      </c>
      <c r="S74" s="56"/>
      <c r="W74" s="27" t="str">
        <f>TRUNC((X74+6)*10/80)&amp;"-"&amp;((X74+6)/8-TRUNC((X74+6)/8))*80</f>
        <v>21-70</v>
      </c>
      <c r="X74" s="12">
        <v>169</v>
      </c>
      <c r="Y74" s="12"/>
      <c r="Z74" s="12">
        <f t="shared" si="17"/>
        <v>8.2999999999999989</v>
      </c>
      <c r="AA74" s="12"/>
      <c r="AB74" s="12">
        <f t="shared" si="17"/>
        <v>7900</v>
      </c>
      <c r="AC74" s="12"/>
      <c r="AD74" s="12">
        <f t="shared" si="17"/>
        <v>33600</v>
      </c>
      <c r="AE74" s="12"/>
      <c r="AF74" s="12">
        <f t="shared" si="17"/>
        <v>25100</v>
      </c>
      <c r="AG74" s="12">
        <v>18000</v>
      </c>
      <c r="AH74" s="12">
        <f t="shared" si="18"/>
        <v>144000</v>
      </c>
      <c r="AI74" s="12"/>
      <c r="AJ74" s="12">
        <f t="shared" si="19"/>
        <v>192000</v>
      </c>
    </row>
    <row r="75" spans="12:36" x14ac:dyDescent="0.2">
      <c r="L75" s="32"/>
      <c r="M75" s="27">
        <f>SUM(L$3:L75)</f>
        <v>38180</v>
      </c>
      <c r="N75" s="33">
        <f t="shared" si="11"/>
        <v>38943.599999999999</v>
      </c>
      <c r="O75" s="54" t="e">
        <f t="shared" si="12"/>
        <v>#N/A</v>
      </c>
      <c r="P75" s="55" t="e">
        <f t="shared" si="13"/>
        <v>#N/A</v>
      </c>
      <c r="Q75" s="55" t="e">
        <f t="shared" si="15"/>
        <v>#N/A</v>
      </c>
      <c r="R75" s="55" t="e">
        <f t="shared" si="14"/>
        <v>#N/A</v>
      </c>
      <c r="S75" s="56"/>
      <c r="W75" s="27" t="str">
        <f>TRUNC((X75+6)*10/80)&amp;"-"&amp;((X75+6)/8-TRUNC((X75+6)/8))*80</f>
        <v>22-20</v>
      </c>
      <c r="X75" s="12">
        <v>172</v>
      </c>
      <c r="Y75" s="12"/>
      <c r="Z75" s="12">
        <f t="shared" si="17"/>
        <v>8.2999999999999989</v>
      </c>
      <c r="AA75" s="12"/>
      <c r="AB75" s="12">
        <f t="shared" si="17"/>
        <v>7900</v>
      </c>
      <c r="AC75" s="12"/>
      <c r="AD75" s="12">
        <f t="shared" si="17"/>
        <v>33600</v>
      </c>
      <c r="AE75" s="12"/>
      <c r="AF75" s="12">
        <f t="shared" si="17"/>
        <v>25100</v>
      </c>
      <c r="AG75" s="12"/>
      <c r="AH75" s="12">
        <f t="shared" si="18"/>
        <v>144000</v>
      </c>
      <c r="AI75" s="12">
        <v>28000</v>
      </c>
      <c r="AJ75" s="12">
        <f t="shared" si="19"/>
        <v>220000</v>
      </c>
    </row>
    <row r="76" spans="12:36" x14ac:dyDescent="0.2">
      <c r="L76" s="32"/>
      <c r="M76" s="27">
        <f>SUM(L$3:L76)</f>
        <v>38180</v>
      </c>
      <c r="N76" s="33">
        <f t="shared" si="11"/>
        <v>38943.599999999999</v>
      </c>
      <c r="O76" s="54" t="e">
        <f t="shared" si="12"/>
        <v>#N/A</v>
      </c>
      <c r="P76" s="55" t="e">
        <f t="shared" si="13"/>
        <v>#N/A</v>
      </c>
      <c r="Q76" s="55" t="e">
        <f t="shared" si="15"/>
        <v>#N/A</v>
      </c>
      <c r="R76" s="55" t="e">
        <f t="shared" si="14"/>
        <v>#N/A</v>
      </c>
      <c r="S76" s="56"/>
      <c r="W76" s="27" t="str">
        <f>TRUNC((X76+6)*10/80)&amp;"-"&amp;((X76+6)/8-TRUNC((X76+6)/8))*80</f>
        <v>22-50</v>
      </c>
      <c r="X76" s="12">
        <v>175</v>
      </c>
      <c r="Y76" s="58">
        <v>0.8</v>
      </c>
      <c r="Z76" s="12">
        <f t="shared" si="17"/>
        <v>9.1</v>
      </c>
      <c r="AA76" s="12"/>
      <c r="AB76" s="12">
        <f t="shared" si="17"/>
        <v>7900</v>
      </c>
      <c r="AC76" s="12"/>
      <c r="AD76" s="12">
        <f t="shared" si="17"/>
        <v>33600</v>
      </c>
      <c r="AE76" s="12"/>
      <c r="AF76" s="12">
        <f t="shared" si="17"/>
        <v>25100</v>
      </c>
      <c r="AG76" s="12"/>
      <c r="AH76" s="12">
        <f t="shared" si="18"/>
        <v>144000</v>
      </c>
      <c r="AI76" s="12"/>
      <c r="AJ76" s="12">
        <f t="shared" si="19"/>
        <v>220000</v>
      </c>
    </row>
    <row r="77" spans="12:36" x14ac:dyDescent="0.2">
      <c r="L77" s="32"/>
      <c r="M77" s="27">
        <f>SUM(L$3:L77)</f>
        <v>38180</v>
      </c>
      <c r="N77" s="33">
        <f t="shared" si="11"/>
        <v>38943.599999999999</v>
      </c>
      <c r="O77" s="54" t="e">
        <f t="shared" si="12"/>
        <v>#N/A</v>
      </c>
      <c r="P77" s="55" t="e">
        <f t="shared" si="13"/>
        <v>#N/A</v>
      </c>
      <c r="Q77" s="55" t="e">
        <f t="shared" si="15"/>
        <v>#N/A</v>
      </c>
      <c r="R77" s="55" t="e">
        <f t="shared" si="14"/>
        <v>#N/A</v>
      </c>
      <c r="S77" s="56"/>
      <c r="W77" s="27" t="str">
        <f>TRUNC((X77+6)*10/80)&amp;"-"&amp;((X77+6)/8-TRUNC((X77+6)/8))*80</f>
        <v>23-0</v>
      </c>
      <c r="X77" s="12">
        <v>178</v>
      </c>
      <c r="Y77" s="12"/>
      <c r="Z77" s="12">
        <f t="shared" si="17"/>
        <v>9.1</v>
      </c>
      <c r="AA77" s="12">
        <v>1000</v>
      </c>
      <c r="AB77" s="12">
        <f t="shared" si="17"/>
        <v>8900</v>
      </c>
      <c r="AC77" s="12"/>
      <c r="AD77" s="12">
        <f t="shared" si="17"/>
        <v>33600</v>
      </c>
      <c r="AE77" s="12"/>
      <c r="AF77" s="12">
        <f t="shared" si="17"/>
        <v>25100</v>
      </c>
      <c r="AG77" s="12"/>
      <c r="AH77" s="12">
        <f t="shared" si="18"/>
        <v>144000</v>
      </c>
      <c r="AI77" s="12"/>
      <c r="AJ77" s="12">
        <f t="shared" si="19"/>
        <v>220000</v>
      </c>
    </row>
    <row r="78" spans="12:36" x14ac:dyDescent="0.2">
      <c r="L78" s="32"/>
      <c r="M78" s="27">
        <f>SUM(L$3:L78)</f>
        <v>38180</v>
      </c>
      <c r="N78" s="33">
        <f t="shared" si="11"/>
        <v>38943.599999999999</v>
      </c>
      <c r="O78" s="54" t="e">
        <f t="shared" si="12"/>
        <v>#N/A</v>
      </c>
      <c r="P78" s="55" t="e">
        <f t="shared" si="13"/>
        <v>#N/A</v>
      </c>
      <c r="Q78" s="55" t="e">
        <f t="shared" si="15"/>
        <v>#N/A</v>
      </c>
      <c r="R78" s="55" t="e">
        <f t="shared" si="14"/>
        <v>#N/A</v>
      </c>
      <c r="S78" s="56"/>
      <c r="W78" s="27" t="str">
        <f>TRUNC((X78+6)*10/80)&amp;"-"&amp;((X78+6)/8-TRUNC((X78+6)/8))*80</f>
        <v>23-30</v>
      </c>
      <c r="X78" s="12">
        <v>181</v>
      </c>
      <c r="Y78" s="12"/>
      <c r="Z78" s="12">
        <f t="shared" si="17"/>
        <v>9.1</v>
      </c>
      <c r="AA78" s="12"/>
      <c r="AB78" s="12">
        <f t="shared" si="17"/>
        <v>8900</v>
      </c>
      <c r="AC78" s="12">
        <v>4200</v>
      </c>
      <c r="AD78" s="12">
        <f t="shared" si="17"/>
        <v>37800</v>
      </c>
      <c r="AE78" s="12"/>
      <c r="AF78" s="12">
        <f t="shared" si="17"/>
        <v>25100</v>
      </c>
      <c r="AG78" s="12"/>
      <c r="AH78" s="12">
        <f t="shared" si="18"/>
        <v>144000</v>
      </c>
      <c r="AI78" s="12"/>
      <c r="AJ78" s="12">
        <f t="shared" si="19"/>
        <v>220000</v>
      </c>
    </row>
    <row r="79" spans="12:36" x14ac:dyDescent="0.2">
      <c r="L79" s="32"/>
      <c r="M79" s="27">
        <f>SUM(L$3:L79)</f>
        <v>38180</v>
      </c>
      <c r="N79" s="33">
        <f t="shared" si="11"/>
        <v>38943.599999999999</v>
      </c>
      <c r="O79" s="54" t="e">
        <f t="shared" si="12"/>
        <v>#N/A</v>
      </c>
      <c r="P79" s="55" t="e">
        <f t="shared" si="13"/>
        <v>#N/A</v>
      </c>
      <c r="Q79" s="55" t="e">
        <f t="shared" si="15"/>
        <v>#N/A</v>
      </c>
      <c r="R79" s="55" t="e">
        <f t="shared" si="14"/>
        <v>#N/A</v>
      </c>
      <c r="S79" s="56"/>
      <c r="W79" s="27" t="str">
        <f>TRUNC((X79+6)*10/80)&amp;"-"&amp;((X79+6)/8-TRUNC((X79+6)/8))*80</f>
        <v>23-60</v>
      </c>
      <c r="X79" s="12">
        <v>184</v>
      </c>
      <c r="Y79" s="12"/>
      <c r="Z79" s="12">
        <f t="shared" si="17"/>
        <v>9.1</v>
      </c>
      <c r="AA79" s="12"/>
      <c r="AB79" s="12">
        <f t="shared" si="17"/>
        <v>8900</v>
      </c>
      <c r="AC79" s="12"/>
      <c r="AD79" s="12">
        <f t="shared" si="17"/>
        <v>37800</v>
      </c>
      <c r="AE79" s="12">
        <v>3200</v>
      </c>
      <c r="AF79" s="12">
        <f t="shared" si="17"/>
        <v>28300</v>
      </c>
      <c r="AG79" s="12"/>
      <c r="AH79" s="12">
        <f t="shared" si="18"/>
        <v>144000</v>
      </c>
      <c r="AI79" s="12"/>
      <c r="AJ79" s="12">
        <f t="shared" si="19"/>
        <v>220000</v>
      </c>
    </row>
    <row r="80" spans="12:36" x14ac:dyDescent="0.2">
      <c r="L80" s="32"/>
      <c r="M80" s="27">
        <f>SUM(L$3:L80)</f>
        <v>38180</v>
      </c>
      <c r="N80" s="33">
        <f t="shared" si="11"/>
        <v>38943.599999999999</v>
      </c>
      <c r="O80" s="54" t="e">
        <f t="shared" si="12"/>
        <v>#N/A</v>
      </c>
      <c r="P80" s="55" t="e">
        <f t="shared" si="13"/>
        <v>#N/A</v>
      </c>
      <c r="Q80" s="55" t="e">
        <f t="shared" si="15"/>
        <v>#N/A</v>
      </c>
      <c r="R80" s="55" t="e">
        <f t="shared" si="14"/>
        <v>#N/A</v>
      </c>
      <c r="S80" s="56"/>
      <c r="W80" s="27" t="str">
        <f>TRUNC((X80+6)*10/80)&amp;"-"&amp;((X80+6)/8-TRUNC((X80+6)/8))*80</f>
        <v>24-10</v>
      </c>
      <c r="X80" s="12">
        <v>187</v>
      </c>
      <c r="Y80" s="12"/>
      <c r="Z80" s="12">
        <f t="shared" si="17"/>
        <v>9.1</v>
      </c>
      <c r="AA80" s="12"/>
      <c r="AB80" s="12">
        <f t="shared" si="17"/>
        <v>8900</v>
      </c>
      <c r="AC80" s="12"/>
      <c r="AD80" s="12">
        <f t="shared" si="17"/>
        <v>37800</v>
      </c>
      <c r="AE80" s="12"/>
      <c r="AF80" s="12">
        <f t="shared" si="17"/>
        <v>28300</v>
      </c>
      <c r="AG80" s="12">
        <v>18000</v>
      </c>
      <c r="AH80" s="12">
        <f t="shared" si="18"/>
        <v>162000</v>
      </c>
      <c r="AI80" s="12"/>
      <c r="AJ80" s="12">
        <f t="shared" si="19"/>
        <v>220000</v>
      </c>
    </row>
    <row r="81" spans="23:36" x14ac:dyDescent="0.2">
      <c r="W81" s="27" t="str">
        <f>TRUNC((X81+6)*10/80)&amp;"-"&amp;((X81+6)/8-TRUNC((X81+6)/8))*80</f>
        <v>24-40</v>
      </c>
      <c r="X81" s="12">
        <v>190</v>
      </c>
      <c r="Y81" s="12"/>
      <c r="Z81" s="12">
        <f t="shared" si="17"/>
        <v>9.1</v>
      </c>
      <c r="AA81" s="12"/>
      <c r="AB81" s="12">
        <f t="shared" si="17"/>
        <v>8900</v>
      </c>
      <c r="AC81" s="12"/>
      <c r="AD81" s="12">
        <f t="shared" si="17"/>
        <v>37800</v>
      </c>
      <c r="AE81" s="12"/>
      <c r="AF81" s="12">
        <f t="shared" si="17"/>
        <v>28300</v>
      </c>
      <c r="AG81" s="12"/>
      <c r="AH81" s="12">
        <f t="shared" si="18"/>
        <v>162000</v>
      </c>
      <c r="AI81" s="12">
        <v>28000</v>
      </c>
      <c r="AJ81" s="12">
        <f t="shared" si="19"/>
        <v>248000</v>
      </c>
    </row>
    <row r="82" spans="23:36" x14ac:dyDescent="0.2">
      <c r="W82" s="27" t="str">
        <f>TRUNC((X82+6)*10/80)&amp;"-"&amp;((X82+6)/8-TRUNC((X82+6)/8))*80</f>
        <v>24-70</v>
      </c>
      <c r="X82" s="12">
        <v>193</v>
      </c>
      <c r="Y82" s="58">
        <v>0.8</v>
      </c>
      <c r="Z82" s="12">
        <f t="shared" si="17"/>
        <v>9.9</v>
      </c>
      <c r="AA82" s="12"/>
      <c r="AB82" s="12">
        <f t="shared" si="17"/>
        <v>8900</v>
      </c>
      <c r="AC82" s="12"/>
      <c r="AD82" s="12">
        <f t="shared" si="17"/>
        <v>37800</v>
      </c>
      <c r="AE82" s="12"/>
      <c r="AF82" s="12">
        <f t="shared" si="17"/>
        <v>28300</v>
      </c>
      <c r="AG82" s="12"/>
      <c r="AH82" s="12">
        <f t="shared" si="18"/>
        <v>162000</v>
      </c>
      <c r="AI82" s="12"/>
      <c r="AJ82" s="12">
        <f t="shared" si="19"/>
        <v>248000</v>
      </c>
    </row>
    <row r="83" spans="23:36" x14ac:dyDescent="0.2">
      <c r="W83" s="27" t="str">
        <f>TRUNC((X83+6)*10/80)&amp;"-"&amp;((X83+6)/8-TRUNC((X83+6)/8))*80</f>
        <v>25-20</v>
      </c>
      <c r="X83" s="12">
        <v>196</v>
      </c>
      <c r="Y83" s="12"/>
      <c r="Z83" s="12">
        <f t="shared" si="17"/>
        <v>9.9</v>
      </c>
      <c r="AA83" s="12">
        <v>1000</v>
      </c>
      <c r="AB83" s="12">
        <f t="shared" si="17"/>
        <v>9900</v>
      </c>
      <c r="AC83" s="12"/>
      <c r="AD83" s="12">
        <f t="shared" si="17"/>
        <v>37800</v>
      </c>
      <c r="AE83" s="12"/>
      <c r="AF83" s="12">
        <f t="shared" si="17"/>
        <v>28300</v>
      </c>
      <c r="AG83" s="12"/>
      <c r="AH83" s="12">
        <f t="shared" si="18"/>
        <v>162000</v>
      </c>
      <c r="AI83" s="12"/>
      <c r="AJ83" s="12">
        <f t="shared" si="19"/>
        <v>248000</v>
      </c>
    </row>
    <row r="84" spans="23:36" x14ac:dyDescent="0.2">
      <c r="W84" s="27" t="str">
        <f>TRUNC((X84+6)*10/80)&amp;"-"&amp;((X84+6)/8-TRUNC((X84+6)/8))*80</f>
        <v>25-50</v>
      </c>
      <c r="X84" s="12">
        <v>199</v>
      </c>
      <c r="Y84" s="12"/>
      <c r="Z84" s="12">
        <f t="shared" si="17"/>
        <v>9.9</v>
      </c>
      <c r="AA84" s="12"/>
      <c r="AB84" s="12">
        <f t="shared" si="17"/>
        <v>9900</v>
      </c>
      <c r="AC84" s="12">
        <v>4200</v>
      </c>
      <c r="AD84" s="12">
        <f t="shared" si="17"/>
        <v>42000</v>
      </c>
      <c r="AE84" s="12"/>
      <c r="AF84" s="12">
        <f t="shared" si="17"/>
        <v>28300</v>
      </c>
      <c r="AG84" s="12"/>
      <c r="AH84" s="12">
        <f t="shared" si="18"/>
        <v>162000</v>
      </c>
      <c r="AI84" s="12"/>
      <c r="AJ84" s="12">
        <f t="shared" si="19"/>
        <v>248000</v>
      </c>
    </row>
    <row r="85" spans="23:36" x14ac:dyDescent="0.2">
      <c r="W85" s="27" t="str">
        <f>TRUNC((X85+6)*10/80)&amp;"-"&amp;((X85+6)/8-TRUNC((X85+6)/8))*80</f>
        <v>26-0</v>
      </c>
      <c r="X85" s="12">
        <v>202</v>
      </c>
      <c r="Y85" s="12"/>
      <c r="Z85" s="12">
        <f t="shared" si="17"/>
        <v>9.9</v>
      </c>
      <c r="AA85" s="12"/>
      <c r="AB85" s="12">
        <f t="shared" si="17"/>
        <v>9900</v>
      </c>
      <c r="AC85" s="12"/>
      <c r="AD85" s="12">
        <f t="shared" si="17"/>
        <v>42000</v>
      </c>
      <c r="AE85" s="12">
        <v>3200</v>
      </c>
      <c r="AF85" s="12">
        <f t="shared" si="17"/>
        <v>31500</v>
      </c>
      <c r="AG85" s="12"/>
      <c r="AH85" s="12">
        <f t="shared" si="18"/>
        <v>162000</v>
      </c>
      <c r="AI85" s="12"/>
      <c r="AJ85" s="12">
        <f t="shared" si="19"/>
        <v>248000</v>
      </c>
    </row>
    <row r="86" spans="23:36" x14ac:dyDescent="0.2">
      <c r="W86" s="27" t="str">
        <f>TRUNC((X86+6)*10/80)&amp;"-"&amp;((X86+6)/8-TRUNC((X86+6)/8))*80</f>
        <v>26-30</v>
      </c>
      <c r="X86" s="12">
        <v>205</v>
      </c>
      <c r="Y86" s="12"/>
      <c r="Z86" s="12">
        <f t="shared" ref="Z86:AF101" si="20">Y86+Z85</f>
        <v>9.9</v>
      </c>
      <c r="AA86" s="12"/>
      <c r="AB86" s="12">
        <f t="shared" si="20"/>
        <v>9900</v>
      </c>
      <c r="AC86" s="12"/>
      <c r="AD86" s="12">
        <f t="shared" si="20"/>
        <v>42000</v>
      </c>
      <c r="AE86" s="12"/>
      <c r="AF86" s="12">
        <f t="shared" si="20"/>
        <v>31500</v>
      </c>
      <c r="AG86" s="12">
        <v>18000</v>
      </c>
      <c r="AH86" s="12">
        <f t="shared" si="18"/>
        <v>180000</v>
      </c>
      <c r="AI86" s="12"/>
      <c r="AJ86" s="12">
        <f t="shared" si="19"/>
        <v>248000</v>
      </c>
    </row>
    <row r="87" spans="23:36" x14ac:dyDescent="0.2">
      <c r="W87" s="27" t="str">
        <f>TRUNC((X87+6)*10/80)&amp;"-"&amp;((X87+6)/8-TRUNC((X87+6)/8))*80</f>
        <v>26-60</v>
      </c>
      <c r="X87" s="12">
        <v>208</v>
      </c>
      <c r="Y87" s="12"/>
      <c r="Z87" s="12">
        <f t="shared" si="20"/>
        <v>9.9</v>
      </c>
      <c r="AA87" s="12"/>
      <c r="AB87" s="12">
        <f t="shared" si="20"/>
        <v>9900</v>
      </c>
      <c r="AC87" s="12"/>
      <c r="AD87" s="12">
        <f t="shared" si="20"/>
        <v>42000</v>
      </c>
      <c r="AE87" s="12"/>
      <c r="AF87" s="12">
        <f t="shared" si="20"/>
        <v>31500</v>
      </c>
      <c r="AG87" s="12"/>
      <c r="AH87" s="12">
        <f t="shared" si="18"/>
        <v>180000</v>
      </c>
      <c r="AI87" s="12">
        <v>28000</v>
      </c>
      <c r="AJ87" s="12">
        <f t="shared" si="19"/>
        <v>276000</v>
      </c>
    </row>
    <row r="88" spans="23:36" x14ac:dyDescent="0.2">
      <c r="W88" s="27" t="str">
        <f>TRUNC((X88+6)*10/80)&amp;"-"&amp;((X88+6)/8-TRUNC((X88+6)/8))*80</f>
        <v>27-10</v>
      </c>
      <c r="X88" s="12">
        <v>211</v>
      </c>
      <c r="Y88" s="58">
        <v>0.8</v>
      </c>
      <c r="Z88" s="12">
        <f t="shared" si="20"/>
        <v>10.700000000000001</v>
      </c>
      <c r="AA88" s="12"/>
      <c r="AB88" s="12">
        <f t="shared" si="20"/>
        <v>9900</v>
      </c>
      <c r="AC88" s="12"/>
      <c r="AD88" s="12">
        <f t="shared" si="20"/>
        <v>42000</v>
      </c>
      <c r="AE88" s="12"/>
      <c r="AF88" s="12">
        <f t="shared" si="20"/>
        <v>31500</v>
      </c>
      <c r="AG88" s="12"/>
      <c r="AH88" s="12">
        <f t="shared" si="18"/>
        <v>180000</v>
      </c>
      <c r="AI88" s="12"/>
      <c r="AJ88" s="12">
        <f t="shared" si="19"/>
        <v>276000</v>
      </c>
    </row>
    <row r="89" spans="23:36" x14ac:dyDescent="0.2">
      <c r="W89" s="27" t="str">
        <f>TRUNC((X89+6)*10/80)&amp;"-"&amp;((X89+6)/8-TRUNC((X89+6)/8))*80</f>
        <v>27-40</v>
      </c>
      <c r="X89" s="12">
        <v>214</v>
      </c>
      <c r="Y89" s="12"/>
      <c r="Z89" s="12">
        <f t="shared" si="20"/>
        <v>10.700000000000001</v>
      </c>
      <c r="AA89" s="12">
        <v>1000</v>
      </c>
      <c r="AB89" s="12">
        <f t="shared" si="20"/>
        <v>10900</v>
      </c>
      <c r="AC89" s="12"/>
      <c r="AD89" s="12">
        <f t="shared" si="20"/>
        <v>42000</v>
      </c>
      <c r="AE89" s="12"/>
      <c r="AF89" s="12">
        <f t="shared" si="20"/>
        <v>31500</v>
      </c>
      <c r="AG89" s="12"/>
      <c r="AH89" s="12">
        <f t="shared" si="18"/>
        <v>180000</v>
      </c>
      <c r="AI89" s="12"/>
      <c r="AJ89" s="12">
        <f t="shared" si="19"/>
        <v>276000</v>
      </c>
    </row>
    <row r="90" spans="23:36" x14ac:dyDescent="0.2">
      <c r="W90" s="27" t="str">
        <f>TRUNC((X90+6)*10/80)&amp;"-"&amp;((X90+6)/8-TRUNC((X90+6)/8))*80</f>
        <v>27-70</v>
      </c>
      <c r="X90" s="12">
        <v>217</v>
      </c>
      <c r="Y90" s="12"/>
      <c r="Z90" s="12">
        <f t="shared" si="20"/>
        <v>10.700000000000001</v>
      </c>
      <c r="AA90" s="12"/>
      <c r="AB90" s="12">
        <f t="shared" si="20"/>
        <v>10900</v>
      </c>
      <c r="AC90" s="12">
        <v>4200</v>
      </c>
      <c r="AD90" s="12">
        <f t="shared" si="20"/>
        <v>46200</v>
      </c>
      <c r="AE90" s="12"/>
      <c r="AF90" s="12">
        <f t="shared" si="20"/>
        <v>31500</v>
      </c>
      <c r="AG90" s="12"/>
      <c r="AH90" s="12">
        <f t="shared" si="18"/>
        <v>180000</v>
      </c>
      <c r="AI90" s="12"/>
      <c r="AJ90" s="12">
        <f t="shared" si="19"/>
        <v>276000</v>
      </c>
    </row>
    <row r="91" spans="23:36" x14ac:dyDescent="0.2">
      <c r="W91" s="27" t="str">
        <f>TRUNC((X91+6)*10/80)&amp;"-"&amp;((X91+6)/8-TRUNC((X91+6)/8))*80</f>
        <v>28-20</v>
      </c>
      <c r="X91" s="12">
        <v>220</v>
      </c>
      <c r="Y91" s="12"/>
      <c r="Z91" s="12">
        <f t="shared" si="20"/>
        <v>10.700000000000001</v>
      </c>
      <c r="AA91" s="12"/>
      <c r="AB91" s="12">
        <f t="shared" si="20"/>
        <v>10900</v>
      </c>
      <c r="AC91" s="12"/>
      <c r="AD91" s="12">
        <f t="shared" si="20"/>
        <v>46200</v>
      </c>
      <c r="AE91" s="12">
        <v>3200</v>
      </c>
      <c r="AF91" s="12">
        <f t="shared" si="20"/>
        <v>34700</v>
      </c>
      <c r="AG91" s="12"/>
      <c r="AH91" s="12">
        <f t="shared" si="18"/>
        <v>180000</v>
      </c>
      <c r="AI91" s="12"/>
      <c r="AJ91" s="12">
        <f t="shared" si="19"/>
        <v>276000</v>
      </c>
    </row>
    <row r="92" spans="23:36" x14ac:dyDescent="0.2">
      <c r="W92" s="27" t="str">
        <f>TRUNC((X92+6)*10/80)&amp;"-"&amp;((X92+6)/8-TRUNC((X92+6)/8))*80</f>
        <v>28-50</v>
      </c>
      <c r="X92" s="12">
        <v>223</v>
      </c>
      <c r="Y92" s="12"/>
      <c r="Z92" s="12">
        <f t="shared" si="20"/>
        <v>10.700000000000001</v>
      </c>
      <c r="AA92" s="12"/>
      <c r="AB92" s="12">
        <f t="shared" si="20"/>
        <v>10900</v>
      </c>
      <c r="AC92" s="12"/>
      <c r="AD92" s="12">
        <f t="shared" si="20"/>
        <v>46200</v>
      </c>
      <c r="AE92" s="12"/>
      <c r="AF92" s="12">
        <f t="shared" si="20"/>
        <v>34700</v>
      </c>
      <c r="AG92" s="12">
        <v>18000</v>
      </c>
      <c r="AH92" s="12">
        <f t="shared" si="18"/>
        <v>198000</v>
      </c>
      <c r="AI92" s="12"/>
      <c r="AJ92" s="12">
        <f t="shared" si="19"/>
        <v>276000</v>
      </c>
    </row>
    <row r="93" spans="23:36" x14ac:dyDescent="0.2">
      <c r="W93" s="27" t="str">
        <f>TRUNC((X93+6)*10/80)&amp;"-"&amp;((X93+6)/8-TRUNC((X93+6)/8))*80</f>
        <v>29-0</v>
      </c>
      <c r="X93" s="12">
        <v>226</v>
      </c>
      <c r="Y93" s="12"/>
      <c r="Z93" s="12">
        <f t="shared" si="20"/>
        <v>10.700000000000001</v>
      </c>
      <c r="AA93" s="12"/>
      <c r="AB93" s="12">
        <f t="shared" si="20"/>
        <v>10900</v>
      </c>
      <c r="AC93" s="12"/>
      <c r="AD93" s="12">
        <f t="shared" si="20"/>
        <v>46200</v>
      </c>
      <c r="AE93" s="12"/>
      <c r="AF93" s="12">
        <f t="shared" si="20"/>
        <v>34700</v>
      </c>
      <c r="AG93" s="12"/>
      <c r="AH93" s="12">
        <f t="shared" si="18"/>
        <v>198000</v>
      </c>
      <c r="AI93" s="12">
        <v>28000</v>
      </c>
      <c r="AJ93" s="12">
        <f t="shared" si="19"/>
        <v>304000</v>
      </c>
    </row>
    <row r="94" spans="23:36" x14ac:dyDescent="0.2">
      <c r="W94" s="27" t="str">
        <f>TRUNC((X94+6)*10/80)&amp;"-"&amp;((X94+6)/8-TRUNC((X94+6)/8))*80</f>
        <v>29-30</v>
      </c>
      <c r="X94" s="12">
        <v>229</v>
      </c>
      <c r="Y94" s="58">
        <v>0.8</v>
      </c>
      <c r="Z94" s="12">
        <f t="shared" si="20"/>
        <v>11.500000000000002</v>
      </c>
      <c r="AA94" s="12"/>
      <c r="AB94" s="12">
        <f t="shared" si="20"/>
        <v>10900</v>
      </c>
      <c r="AC94" s="12"/>
      <c r="AD94" s="12">
        <f t="shared" si="20"/>
        <v>46200</v>
      </c>
      <c r="AE94" s="12"/>
      <c r="AF94" s="12">
        <f t="shared" si="20"/>
        <v>34700</v>
      </c>
      <c r="AG94" s="12"/>
      <c r="AH94" s="12">
        <f t="shared" si="18"/>
        <v>198000</v>
      </c>
      <c r="AI94" s="12"/>
      <c r="AJ94" s="12">
        <f t="shared" si="19"/>
        <v>304000</v>
      </c>
    </row>
    <row r="95" spans="23:36" x14ac:dyDescent="0.2">
      <c r="W95" s="27" t="str">
        <f>TRUNC((X95+6)*10/80)&amp;"-"&amp;((X95+6)/8-TRUNC((X95+6)/8))*80</f>
        <v>29-60</v>
      </c>
      <c r="X95" s="12">
        <v>232</v>
      </c>
      <c r="Y95" s="12"/>
      <c r="Z95" s="12">
        <f t="shared" si="20"/>
        <v>11.500000000000002</v>
      </c>
      <c r="AA95" s="12">
        <v>1000</v>
      </c>
      <c r="AB95" s="12">
        <f t="shared" si="20"/>
        <v>11900</v>
      </c>
      <c r="AC95" s="12"/>
      <c r="AD95" s="12">
        <f t="shared" si="20"/>
        <v>46200</v>
      </c>
      <c r="AE95" s="12"/>
      <c r="AF95" s="12">
        <f t="shared" si="20"/>
        <v>34700</v>
      </c>
      <c r="AG95" s="12"/>
      <c r="AH95" s="12">
        <f t="shared" si="18"/>
        <v>198000</v>
      </c>
      <c r="AI95" s="12"/>
      <c r="AJ95" s="12">
        <f t="shared" si="19"/>
        <v>304000</v>
      </c>
    </row>
    <row r="96" spans="23:36" x14ac:dyDescent="0.2">
      <c r="W96" s="27" t="str">
        <f>TRUNC((X96+6)*10/80)&amp;"-"&amp;((X96+6)/8-TRUNC((X96+6)/8))*80</f>
        <v>30-10</v>
      </c>
      <c r="X96" s="12">
        <v>235</v>
      </c>
      <c r="Y96" s="12"/>
      <c r="Z96" s="12">
        <f t="shared" si="20"/>
        <v>11.500000000000002</v>
      </c>
      <c r="AA96" s="12"/>
      <c r="AB96" s="12">
        <f t="shared" si="20"/>
        <v>11900</v>
      </c>
      <c r="AC96" s="12">
        <v>4200</v>
      </c>
      <c r="AD96" s="12">
        <f t="shared" si="20"/>
        <v>50400</v>
      </c>
      <c r="AE96" s="12"/>
      <c r="AF96" s="12">
        <f t="shared" si="20"/>
        <v>34700</v>
      </c>
      <c r="AG96" s="12"/>
      <c r="AH96" s="12">
        <f t="shared" si="18"/>
        <v>198000</v>
      </c>
      <c r="AI96" s="12"/>
      <c r="AJ96" s="12">
        <f t="shared" si="19"/>
        <v>304000</v>
      </c>
    </row>
    <row r="97" spans="23:36" x14ac:dyDescent="0.2">
      <c r="W97" s="27" t="str">
        <f>TRUNC((X97+6)*10/80)&amp;"-"&amp;((X97+6)/8-TRUNC((X97+6)/8))*80</f>
        <v>30-40</v>
      </c>
      <c r="X97" s="12">
        <v>238</v>
      </c>
      <c r="Y97" s="12"/>
      <c r="Z97" s="12">
        <f t="shared" si="20"/>
        <v>11.500000000000002</v>
      </c>
      <c r="AA97" s="12"/>
      <c r="AB97" s="12">
        <f t="shared" si="20"/>
        <v>11900</v>
      </c>
      <c r="AC97" s="12"/>
      <c r="AD97" s="12">
        <f t="shared" si="20"/>
        <v>50400</v>
      </c>
      <c r="AE97" s="12">
        <v>3200</v>
      </c>
      <c r="AF97" s="12">
        <f t="shared" si="20"/>
        <v>37900</v>
      </c>
      <c r="AG97" s="12"/>
      <c r="AH97" s="12">
        <f t="shared" si="18"/>
        <v>198000</v>
      </c>
      <c r="AI97" s="12"/>
      <c r="AJ97" s="12">
        <f t="shared" si="19"/>
        <v>304000</v>
      </c>
    </row>
    <row r="98" spans="23:36" x14ac:dyDescent="0.2">
      <c r="W98" s="27" t="str">
        <f>TRUNC((X98+6)*10/80)&amp;"-"&amp;((X98+6)/8-TRUNC((X98+6)/8))*80</f>
        <v>30-70</v>
      </c>
      <c r="X98" s="12">
        <v>241</v>
      </c>
      <c r="Y98" s="12"/>
      <c r="Z98" s="12">
        <f t="shared" si="20"/>
        <v>11.500000000000002</v>
      </c>
      <c r="AA98" s="12"/>
      <c r="AB98" s="12">
        <f t="shared" si="20"/>
        <v>11900</v>
      </c>
      <c r="AC98" s="12"/>
      <c r="AD98" s="12">
        <f t="shared" si="20"/>
        <v>50400</v>
      </c>
      <c r="AE98" s="12"/>
      <c r="AF98" s="12">
        <f t="shared" si="20"/>
        <v>37900</v>
      </c>
      <c r="AG98" s="12">
        <v>18000</v>
      </c>
      <c r="AH98" s="12">
        <f t="shared" si="18"/>
        <v>216000</v>
      </c>
      <c r="AI98" s="12"/>
      <c r="AJ98" s="12">
        <f t="shared" si="19"/>
        <v>304000</v>
      </c>
    </row>
    <row r="99" spans="23:36" x14ac:dyDescent="0.2">
      <c r="W99" s="27" t="str">
        <f>TRUNC((X99+6)*10/80)&amp;"-"&amp;((X99+6)/8-TRUNC((X99+6)/8))*80</f>
        <v>31-20</v>
      </c>
      <c r="X99" s="12">
        <v>244</v>
      </c>
      <c r="Y99" s="12"/>
      <c r="Z99" s="12">
        <f t="shared" si="20"/>
        <v>11.500000000000002</v>
      </c>
      <c r="AA99" s="12"/>
      <c r="AB99" s="12">
        <f t="shared" si="20"/>
        <v>11900</v>
      </c>
      <c r="AC99" s="12"/>
      <c r="AD99" s="12">
        <f t="shared" si="20"/>
        <v>50400</v>
      </c>
      <c r="AE99" s="12"/>
      <c r="AF99" s="12">
        <f t="shared" si="20"/>
        <v>37900</v>
      </c>
      <c r="AG99" s="12"/>
      <c r="AH99" s="12">
        <f t="shared" si="18"/>
        <v>216000</v>
      </c>
      <c r="AI99" s="12">
        <v>28000</v>
      </c>
      <c r="AJ99" s="12">
        <f t="shared" si="19"/>
        <v>332000</v>
      </c>
    </row>
    <row r="100" spans="23:36" x14ac:dyDescent="0.2">
      <c r="W100" s="27" t="str">
        <f>TRUNC((X100+6)*10/80)&amp;"-"&amp;((X100+6)/8-TRUNC((X100+6)/8))*80</f>
        <v>31-50</v>
      </c>
      <c r="X100" s="12">
        <v>247</v>
      </c>
      <c r="Y100" s="58">
        <v>0.8</v>
      </c>
      <c r="Z100" s="12">
        <f t="shared" si="20"/>
        <v>12.300000000000002</v>
      </c>
      <c r="AA100" s="12"/>
      <c r="AB100" s="12">
        <f t="shared" si="20"/>
        <v>11900</v>
      </c>
      <c r="AC100" s="12"/>
      <c r="AD100" s="12">
        <f t="shared" si="20"/>
        <v>50400</v>
      </c>
      <c r="AE100" s="12"/>
      <c r="AF100" s="12">
        <f t="shared" si="20"/>
        <v>37900</v>
      </c>
      <c r="AG100" s="12"/>
      <c r="AH100" s="12">
        <f t="shared" si="18"/>
        <v>216000</v>
      </c>
      <c r="AI100" s="12"/>
      <c r="AJ100" s="12">
        <f t="shared" si="19"/>
        <v>332000</v>
      </c>
    </row>
    <row r="101" spans="23:36" x14ac:dyDescent="0.2">
      <c r="W101" s="27" t="str">
        <f>TRUNC((X101+6)*10/80)&amp;"-"&amp;((X101+6)/8-TRUNC((X101+6)/8))*80</f>
        <v>32-0</v>
      </c>
      <c r="X101" s="12">
        <v>250</v>
      </c>
      <c r="Y101" s="12"/>
      <c r="Z101" s="12">
        <f t="shared" si="20"/>
        <v>12.300000000000002</v>
      </c>
      <c r="AA101" s="12">
        <v>1000</v>
      </c>
      <c r="AB101" s="12">
        <f t="shared" si="20"/>
        <v>12900</v>
      </c>
      <c r="AC101" s="12"/>
      <c r="AD101" s="12">
        <f t="shared" si="20"/>
        <v>50400</v>
      </c>
      <c r="AE101" s="12"/>
      <c r="AF101" s="12">
        <f t="shared" si="20"/>
        <v>37900</v>
      </c>
      <c r="AG101" s="12"/>
      <c r="AH101" s="12">
        <f t="shared" si="18"/>
        <v>216000</v>
      </c>
      <c r="AI101" s="12"/>
      <c r="AJ101" s="12">
        <f t="shared" si="19"/>
        <v>332000</v>
      </c>
    </row>
    <row r="102" spans="23:36" x14ac:dyDescent="0.2">
      <c r="W102" s="27" t="str">
        <f>TRUNC((X102+6)*10/80)&amp;"-"&amp;((X102+6)/8-TRUNC((X102+6)/8))*80</f>
        <v>32-30</v>
      </c>
      <c r="X102" s="12">
        <v>253</v>
      </c>
      <c r="Y102" s="12"/>
      <c r="Z102" s="12">
        <f t="shared" ref="Z102:AF105" si="21">Y102+Z101</f>
        <v>12.300000000000002</v>
      </c>
      <c r="AA102" s="12"/>
      <c r="AB102" s="12">
        <f t="shared" si="21"/>
        <v>12900</v>
      </c>
      <c r="AC102" s="12">
        <v>4200</v>
      </c>
      <c r="AD102" s="12">
        <f t="shared" si="21"/>
        <v>54600</v>
      </c>
      <c r="AE102" s="12"/>
      <c r="AF102" s="12">
        <f t="shared" si="21"/>
        <v>37900</v>
      </c>
      <c r="AG102" s="12"/>
      <c r="AH102" s="12">
        <f t="shared" si="18"/>
        <v>216000</v>
      </c>
      <c r="AI102" s="12"/>
      <c r="AJ102" s="12">
        <f t="shared" si="19"/>
        <v>332000</v>
      </c>
    </row>
    <row r="103" spans="23:36" x14ac:dyDescent="0.2">
      <c r="W103" s="27" t="str">
        <f>TRUNC((X103+6)*10/80)&amp;"-"&amp;((X103+6)/8-TRUNC((X103+6)/8))*80</f>
        <v>32-60</v>
      </c>
      <c r="X103" s="12">
        <v>256</v>
      </c>
      <c r="Y103" s="12"/>
      <c r="Z103" s="12">
        <f t="shared" si="21"/>
        <v>12.300000000000002</v>
      </c>
      <c r="AA103" s="12"/>
      <c r="AB103" s="12">
        <f t="shared" si="21"/>
        <v>12900</v>
      </c>
      <c r="AC103" s="12"/>
      <c r="AD103" s="12">
        <f t="shared" si="21"/>
        <v>54600</v>
      </c>
      <c r="AE103" s="12">
        <v>3200</v>
      </c>
      <c r="AF103" s="12">
        <f t="shared" si="21"/>
        <v>41100</v>
      </c>
      <c r="AG103" s="12"/>
      <c r="AH103" s="12">
        <f t="shared" si="18"/>
        <v>216000</v>
      </c>
      <c r="AI103" s="12"/>
      <c r="AJ103" s="12">
        <f t="shared" si="19"/>
        <v>332000</v>
      </c>
    </row>
    <row r="104" spans="23:36" x14ac:dyDescent="0.2">
      <c r="W104" s="27" t="str">
        <f>TRUNC((X104+6)*10/80)&amp;"-"&amp;((X104+6)/8-TRUNC((X104+6)/8))*80</f>
        <v>33-10</v>
      </c>
      <c r="X104" s="12">
        <v>259</v>
      </c>
      <c r="Y104" s="12"/>
      <c r="Z104" s="12">
        <f t="shared" si="21"/>
        <v>12.300000000000002</v>
      </c>
      <c r="AA104" s="12"/>
      <c r="AB104" s="12">
        <f t="shared" si="21"/>
        <v>12900</v>
      </c>
      <c r="AC104" s="12"/>
      <c r="AD104" s="12">
        <f t="shared" si="21"/>
        <v>54600</v>
      </c>
      <c r="AE104" s="12"/>
      <c r="AF104" s="12">
        <f t="shared" si="21"/>
        <v>41100</v>
      </c>
      <c r="AG104" s="12">
        <v>18000</v>
      </c>
      <c r="AH104" s="12">
        <f t="shared" si="18"/>
        <v>234000</v>
      </c>
      <c r="AI104" s="12"/>
      <c r="AJ104" s="12">
        <f t="shared" si="19"/>
        <v>332000</v>
      </c>
    </row>
    <row r="105" spans="23:36" x14ac:dyDescent="0.2">
      <c r="W105" s="27" t="str">
        <f>TRUNC((X105+6)*10/80)&amp;"-"&amp;((X105+6)/8-TRUNC((X105+6)/8))*80</f>
        <v>33-40</v>
      </c>
      <c r="X105" s="12">
        <v>262</v>
      </c>
      <c r="Y105" s="12"/>
      <c r="Z105" s="12">
        <f t="shared" si="21"/>
        <v>12.300000000000002</v>
      </c>
      <c r="AA105" s="12"/>
      <c r="AB105" s="12">
        <f t="shared" si="21"/>
        <v>12900</v>
      </c>
      <c r="AC105" s="12"/>
      <c r="AD105" s="12">
        <f t="shared" si="21"/>
        <v>54600</v>
      </c>
      <c r="AE105" s="12"/>
      <c r="AF105" s="12">
        <f t="shared" si="21"/>
        <v>41100</v>
      </c>
      <c r="AG105" s="12"/>
      <c r="AH105" s="12">
        <f t="shared" si="18"/>
        <v>234000</v>
      </c>
      <c r="AI105" s="12">
        <v>28000</v>
      </c>
      <c r="AJ105" s="12">
        <f t="shared" si="19"/>
        <v>360000</v>
      </c>
    </row>
    <row r="106" spans="23:36" x14ac:dyDescent="0.2">
      <c r="W106" s="27" t="str">
        <f>TRUNC((X106+6)*10/80)&amp;"-"&amp;((X106+6)/8-TRUNC((X106+6)/8))*80</f>
        <v>33-70</v>
      </c>
      <c r="X106" s="12">
        <v>265</v>
      </c>
      <c r="Y106" s="58">
        <v>1.2</v>
      </c>
      <c r="Z106" s="12">
        <f t="shared" ref="Z70:AF133" si="22">Y106+Z105</f>
        <v>13.500000000000002</v>
      </c>
      <c r="AA106" s="12"/>
      <c r="AB106" s="12">
        <f t="shared" si="22"/>
        <v>12900</v>
      </c>
      <c r="AC106" s="12"/>
      <c r="AD106" s="12">
        <f t="shared" si="22"/>
        <v>54600</v>
      </c>
      <c r="AE106" s="12"/>
      <c r="AF106" s="12">
        <f t="shared" si="22"/>
        <v>41100</v>
      </c>
      <c r="AG106" s="12"/>
      <c r="AH106" s="12">
        <f t="shared" si="19"/>
        <v>234000</v>
      </c>
      <c r="AI106" s="12"/>
      <c r="AJ106" s="12">
        <f t="shared" si="19"/>
        <v>360000</v>
      </c>
    </row>
    <row r="107" spans="23:36" x14ac:dyDescent="0.2">
      <c r="W107" s="27" t="str">
        <f>TRUNC((X107+6)*10/80)&amp;"-"&amp;((X107+6)/8-TRUNC((X107+6)/8))*80</f>
        <v>34-20</v>
      </c>
      <c r="X107" s="12">
        <v>268</v>
      </c>
      <c r="Y107" s="12"/>
      <c r="Z107" s="12">
        <f t="shared" si="22"/>
        <v>13.500000000000002</v>
      </c>
      <c r="AA107" s="12">
        <v>1500</v>
      </c>
      <c r="AB107" s="12">
        <f t="shared" si="22"/>
        <v>14400</v>
      </c>
      <c r="AC107" s="12"/>
      <c r="AD107" s="12">
        <f t="shared" si="22"/>
        <v>54600</v>
      </c>
      <c r="AE107" s="12"/>
      <c r="AF107" s="12">
        <f t="shared" si="22"/>
        <v>41100</v>
      </c>
      <c r="AG107" s="12"/>
      <c r="AH107" s="12">
        <f t="shared" si="19"/>
        <v>234000</v>
      </c>
      <c r="AI107" s="12"/>
      <c r="AJ107" s="12">
        <f t="shared" si="19"/>
        <v>360000</v>
      </c>
    </row>
    <row r="108" spans="23:36" x14ac:dyDescent="0.2">
      <c r="W108" s="27" t="str">
        <f>TRUNC((X108+6)*10/80)&amp;"-"&amp;((X108+6)/8-TRUNC((X108+6)/8))*80</f>
        <v>34-50</v>
      </c>
      <c r="X108" s="12">
        <v>271</v>
      </c>
      <c r="Y108" s="12"/>
      <c r="Z108" s="12">
        <f t="shared" si="22"/>
        <v>13.500000000000002</v>
      </c>
      <c r="AA108" s="12"/>
      <c r="AB108" s="12">
        <f t="shared" si="22"/>
        <v>14400</v>
      </c>
      <c r="AC108" s="12">
        <v>6300</v>
      </c>
      <c r="AD108" s="12">
        <f t="shared" si="22"/>
        <v>60900</v>
      </c>
      <c r="AE108" s="12"/>
      <c r="AF108" s="12">
        <f t="shared" si="22"/>
        <v>41100</v>
      </c>
      <c r="AG108" s="12"/>
      <c r="AH108" s="12">
        <f t="shared" si="19"/>
        <v>234000</v>
      </c>
      <c r="AI108" s="12"/>
      <c r="AJ108" s="12">
        <f t="shared" si="19"/>
        <v>360000</v>
      </c>
    </row>
    <row r="109" spans="23:36" x14ac:dyDescent="0.2">
      <c r="W109" s="27" t="str">
        <f>TRUNC((X109+6)*10/80)&amp;"-"&amp;((X109+6)/8-TRUNC((X109+6)/8))*80</f>
        <v>35-0</v>
      </c>
      <c r="X109" s="12">
        <v>274</v>
      </c>
      <c r="Y109" s="12"/>
      <c r="Z109" s="12">
        <f t="shared" si="22"/>
        <v>13.500000000000002</v>
      </c>
      <c r="AA109" s="12"/>
      <c r="AB109" s="12">
        <f t="shared" si="22"/>
        <v>14400</v>
      </c>
      <c r="AC109" s="12"/>
      <c r="AD109" s="12">
        <f t="shared" si="22"/>
        <v>60900</v>
      </c>
      <c r="AE109" s="12">
        <v>4800</v>
      </c>
      <c r="AF109" s="12">
        <f t="shared" si="22"/>
        <v>45900</v>
      </c>
      <c r="AG109" s="12"/>
      <c r="AH109" s="12">
        <f t="shared" si="19"/>
        <v>234000</v>
      </c>
      <c r="AI109" s="12"/>
      <c r="AJ109" s="12">
        <f t="shared" si="19"/>
        <v>360000</v>
      </c>
    </row>
    <row r="110" spans="23:36" x14ac:dyDescent="0.2">
      <c r="W110" s="27" t="str">
        <f>TRUNC((X110+6)*10/80)&amp;"-"&amp;((X110+6)/8-TRUNC((X110+6)/8))*80</f>
        <v>35-30</v>
      </c>
      <c r="X110" s="12">
        <v>277</v>
      </c>
      <c r="Y110" s="12"/>
      <c r="Z110" s="12">
        <f t="shared" si="22"/>
        <v>13.500000000000002</v>
      </c>
      <c r="AA110" s="12"/>
      <c r="AB110" s="12">
        <f t="shared" si="22"/>
        <v>14400</v>
      </c>
      <c r="AC110" s="12"/>
      <c r="AD110" s="12">
        <f t="shared" si="22"/>
        <v>60900</v>
      </c>
      <c r="AE110" s="12"/>
      <c r="AF110" s="12">
        <f t="shared" si="22"/>
        <v>45900</v>
      </c>
      <c r="AG110" s="12">
        <v>27000</v>
      </c>
      <c r="AH110" s="12">
        <f t="shared" si="19"/>
        <v>261000</v>
      </c>
      <c r="AI110" s="12"/>
      <c r="AJ110" s="12">
        <f t="shared" si="19"/>
        <v>360000</v>
      </c>
    </row>
    <row r="111" spans="23:36" x14ac:dyDescent="0.2">
      <c r="W111" s="27" t="str">
        <f>TRUNC((X111+6)*10/80)&amp;"-"&amp;((X111+6)/8-TRUNC((X111+6)/8))*80</f>
        <v>35-60</v>
      </c>
      <c r="X111" s="12">
        <v>280</v>
      </c>
      <c r="Y111" s="12"/>
      <c r="Z111" s="12">
        <f t="shared" si="22"/>
        <v>13.500000000000002</v>
      </c>
      <c r="AA111" s="12"/>
      <c r="AB111" s="12">
        <f t="shared" si="22"/>
        <v>14400</v>
      </c>
      <c r="AC111" s="12"/>
      <c r="AD111" s="12">
        <f t="shared" si="22"/>
        <v>60900</v>
      </c>
      <c r="AE111" s="12"/>
      <c r="AF111" s="12">
        <f t="shared" si="22"/>
        <v>45900</v>
      </c>
      <c r="AG111" s="12"/>
      <c r="AH111" s="12">
        <f t="shared" si="19"/>
        <v>261000</v>
      </c>
      <c r="AI111" s="12">
        <v>42000</v>
      </c>
      <c r="AJ111" s="12">
        <f t="shared" si="19"/>
        <v>402000</v>
      </c>
    </row>
    <row r="112" spans="23:36" x14ac:dyDescent="0.2">
      <c r="W112" s="27" t="str">
        <f>TRUNC((X112+6)*10/80)&amp;"-"&amp;((X112+6)/8-TRUNC((X112+6)/8))*80</f>
        <v>36-10</v>
      </c>
      <c r="X112" s="12">
        <v>283</v>
      </c>
      <c r="Y112" s="58">
        <v>1.2</v>
      </c>
      <c r="Z112" s="12">
        <f t="shared" ref="Z112:AF118" si="23">Y112+Z111</f>
        <v>14.700000000000001</v>
      </c>
      <c r="AA112" s="12"/>
      <c r="AB112" s="12">
        <f t="shared" si="23"/>
        <v>14400</v>
      </c>
      <c r="AC112" s="12"/>
      <c r="AD112" s="12">
        <f t="shared" si="23"/>
        <v>60900</v>
      </c>
      <c r="AE112" s="12"/>
      <c r="AF112" s="12">
        <f t="shared" si="23"/>
        <v>45900</v>
      </c>
      <c r="AG112" s="12"/>
      <c r="AH112" s="12">
        <f t="shared" ref="AH112:AH118" si="24">AG112+AH111</f>
        <v>261000</v>
      </c>
      <c r="AI112" s="12"/>
      <c r="AJ112" s="12">
        <f t="shared" ref="AJ112:AJ118" si="25">AI112+AJ111</f>
        <v>402000</v>
      </c>
    </row>
    <row r="113" spans="23:36" x14ac:dyDescent="0.2">
      <c r="W113" s="27" t="str">
        <f>TRUNC((X113+6)*10/80)&amp;"-"&amp;((X113+6)/8-TRUNC((X113+6)/8))*80</f>
        <v>36-40</v>
      </c>
      <c r="X113" s="12">
        <v>286</v>
      </c>
      <c r="Y113" s="12"/>
      <c r="Z113" s="12">
        <f t="shared" si="23"/>
        <v>14.700000000000001</v>
      </c>
      <c r="AA113" s="12">
        <v>1500</v>
      </c>
      <c r="AB113" s="12">
        <f t="shared" si="23"/>
        <v>15900</v>
      </c>
      <c r="AC113" s="12"/>
      <c r="AD113" s="12">
        <f t="shared" si="23"/>
        <v>60900</v>
      </c>
      <c r="AE113" s="12"/>
      <c r="AF113" s="12">
        <f t="shared" si="23"/>
        <v>45900</v>
      </c>
      <c r="AG113" s="12"/>
      <c r="AH113" s="12">
        <f t="shared" si="24"/>
        <v>261000</v>
      </c>
      <c r="AI113" s="12"/>
      <c r="AJ113" s="12">
        <f t="shared" si="25"/>
        <v>402000</v>
      </c>
    </row>
    <row r="114" spans="23:36" x14ac:dyDescent="0.2">
      <c r="W114" s="27" t="str">
        <f>TRUNC((X114+6)*10/80)&amp;"-"&amp;((X114+6)/8-TRUNC((X114+6)/8))*80</f>
        <v>36-70</v>
      </c>
      <c r="X114" s="12">
        <v>289</v>
      </c>
      <c r="Y114" s="12"/>
      <c r="Z114" s="12">
        <f t="shared" si="23"/>
        <v>14.700000000000001</v>
      </c>
      <c r="AA114" s="12"/>
      <c r="AB114" s="12">
        <f t="shared" si="23"/>
        <v>15900</v>
      </c>
      <c r="AC114" s="12">
        <v>6300</v>
      </c>
      <c r="AD114" s="12">
        <f t="shared" si="23"/>
        <v>67200</v>
      </c>
      <c r="AE114" s="12"/>
      <c r="AF114" s="12">
        <f t="shared" si="23"/>
        <v>45900</v>
      </c>
      <c r="AG114" s="12"/>
      <c r="AH114" s="12">
        <f t="shared" si="24"/>
        <v>261000</v>
      </c>
      <c r="AI114" s="12"/>
      <c r="AJ114" s="12">
        <f t="shared" si="25"/>
        <v>402000</v>
      </c>
    </row>
    <row r="115" spans="23:36" x14ac:dyDescent="0.2">
      <c r="W115" s="27" t="str">
        <f>TRUNC((X115+6)*10/80)&amp;"-"&amp;((X115+6)/8-TRUNC((X115+6)/8))*80</f>
        <v>37-20</v>
      </c>
      <c r="X115" s="12">
        <v>292</v>
      </c>
      <c r="Y115" s="12"/>
      <c r="Z115" s="12">
        <f t="shared" si="23"/>
        <v>14.700000000000001</v>
      </c>
      <c r="AA115" s="12"/>
      <c r="AB115" s="12">
        <f t="shared" si="23"/>
        <v>15900</v>
      </c>
      <c r="AC115" s="12"/>
      <c r="AD115" s="12">
        <f t="shared" si="23"/>
        <v>67200</v>
      </c>
      <c r="AE115" s="12">
        <v>4800</v>
      </c>
      <c r="AF115" s="12">
        <f t="shared" si="23"/>
        <v>50700</v>
      </c>
      <c r="AG115" s="12"/>
      <c r="AH115" s="12">
        <f t="shared" si="24"/>
        <v>261000</v>
      </c>
      <c r="AI115" s="12"/>
      <c r="AJ115" s="12">
        <f t="shared" si="25"/>
        <v>402000</v>
      </c>
    </row>
    <row r="116" spans="23:36" x14ac:dyDescent="0.2">
      <c r="W116" s="27" t="str">
        <f>TRUNC((X116+6)*10/80)&amp;"-"&amp;((X116+6)/8-TRUNC((X116+6)/8))*80</f>
        <v>37-50</v>
      </c>
      <c r="X116" s="12">
        <v>295</v>
      </c>
      <c r="Y116" s="12"/>
      <c r="Z116" s="12">
        <f t="shared" si="23"/>
        <v>14.700000000000001</v>
      </c>
      <c r="AA116" s="12"/>
      <c r="AB116" s="12">
        <f t="shared" si="23"/>
        <v>15900</v>
      </c>
      <c r="AC116" s="12"/>
      <c r="AD116" s="12">
        <f t="shared" si="23"/>
        <v>67200</v>
      </c>
      <c r="AE116" s="12"/>
      <c r="AF116" s="12">
        <f t="shared" si="23"/>
        <v>50700</v>
      </c>
      <c r="AG116" s="12">
        <v>27000</v>
      </c>
      <c r="AH116" s="12">
        <f t="shared" si="24"/>
        <v>288000</v>
      </c>
      <c r="AI116" s="12"/>
      <c r="AJ116" s="12">
        <f t="shared" si="25"/>
        <v>402000</v>
      </c>
    </row>
    <row r="117" spans="23:36" x14ac:dyDescent="0.2">
      <c r="W117" s="27" t="str">
        <f>TRUNC((X117+6)*10/80)&amp;"-"&amp;((X117+6)/8-TRUNC((X117+6)/8))*80</f>
        <v>38-0</v>
      </c>
      <c r="X117" s="12">
        <v>298</v>
      </c>
      <c r="Y117" s="12"/>
      <c r="Z117" s="12">
        <f t="shared" si="23"/>
        <v>14.700000000000001</v>
      </c>
      <c r="AA117" s="12"/>
      <c r="AB117" s="12">
        <f t="shared" si="23"/>
        <v>15900</v>
      </c>
      <c r="AC117" s="12"/>
      <c r="AD117" s="12">
        <f t="shared" si="23"/>
        <v>67200</v>
      </c>
      <c r="AE117" s="12"/>
      <c r="AF117" s="12">
        <f t="shared" si="23"/>
        <v>50700</v>
      </c>
      <c r="AG117" s="12"/>
      <c r="AH117" s="12">
        <f t="shared" si="24"/>
        <v>288000</v>
      </c>
      <c r="AI117" s="12">
        <v>42000</v>
      </c>
      <c r="AJ117" s="12">
        <f t="shared" si="25"/>
        <v>444000</v>
      </c>
    </row>
    <row r="118" spans="23:36" x14ac:dyDescent="0.2">
      <c r="W118" s="27" t="str">
        <f>TRUNC((X118+6)*10/80)&amp;"-"&amp;((X118+6)/8-TRUNC((X118+6)/8))*80</f>
        <v>38-30</v>
      </c>
      <c r="X118" s="12">
        <v>301</v>
      </c>
      <c r="Y118" s="58">
        <v>1.2</v>
      </c>
      <c r="Z118" s="12">
        <f t="shared" ref="Z118:Z129" si="26">Y118+Z117</f>
        <v>15.9</v>
      </c>
      <c r="AA118" s="12"/>
      <c r="AB118" s="12">
        <f t="shared" ref="AB118:AB129" si="27">AA118+AB117</f>
        <v>15900</v>
      </c>
      <c r="AC118" s="12"/>
      <c r="AD118" s="12">
        <f t="shared" ref="AD118:AD129" si="28">AC118+AD117</f>
        <v>67200</v>
      </c>
      <c r="AE118" s="12"/>
      <c r="AF118" s="12">
        <f t="shared" ref="AF118:AF129" si="29">AE118+AF117</f>
        <v>50700</v>
      </c>
      <c r="AG118" s="12"/>
      <c r="AH118" s="12">
        <f t="shared" ref="AH118:AH129" si="30">AG118+AH117</f>
        <v>288000</v>
      </c>
      <c r="AI118" s="12"/>
      <c r="AJ118" s="12">
        <f t="shared" ref="AJ118:AJ129" si="31">AI118+AJ117</f>
        <v>444000</v>
      </c>
    </row>
    <row r="119" spans="23:36" x14ac:dyDescent="0.2">
      <c r="W119" s="27" t="str">
        <f>TRUNC((X119+6)*10/80)&amp;"-"&amp;((X119+6)/8-TRUNC((X119+6)/8))*80</f>
        <v>38-60</v>
      </c>
      <c r="X119" s="12">
        <v>304</v>
      </c>
      <c r="Y119" s="12"/>
      <c r="Z119" s="12">
        <f t="shared" si="26"/>
        <v>15.9</v>
      </c>
      <c r="AA119" s="12">
        <v>1500</v>
      </c>
      <c r="AB119" s="12">
        <f t="shared" si="27"/>
        <v>17400</v>
      </c>
      <c r="AC119" s="12"/>
      <c r="AD119" s="12">
        <f t="shared" si="28"/>
        <v>67200</v>
      </c>
      <c r="AE119" s="12"/>
      <c r="AF119" s="12">
        <f t="shared" si="29"/>
        <v>50700</v>
      </c>
      <c r="AG119" s="12"/>
      <c r="AH119" s="12">
        <f t="shared" si="30"/>
        <v>288000</v>
      </c>
      <c r="AI119" s="12"/>
      <c r="AJ119" s="12">
        <f t="shared" si="31"/>
        <v>444000</v>
      </c>
    </row>
    <row r="120" spans="23:36" x14ac:dyDescent="0.2">
      <c r="W120" s="27" t="str">
        <f>TRUNC((X120+6)*10/80)&amp;"-"&amp;((X120+6)/8-TRUNC((X120+6)/8))*80</f>
        <v>39-10</v>
      </c>
      <c r="X120" s="12">
        <v>307</v>
      </c>
      <c r="Y120" s="12"/>
      <c r="Z120" s="12">
        <f t="shared" si="26"/>
        <v>15.9</v>
      </c>
      <c r="AA120" s="12"/>
      <c r="AB120" s="12">
        <f t="shared" si="27"/>
        <v>17400</v>
      </c>
      <c r="AC120" s="12">
        <v>6300</v>
      </c>
      <c r="AD120" s="12">
        <f t="shared" si="28"/>
        <v>73500</v>
      </c>
      <c r="AE120" s="12"/>
      <c r="AF120" s="12">
        <f t="shared" si="29"/>
        <v>50700</v>
      </c>
      <c r="AG120" s="12"/>
      <c r="AH120" s="12">
        <f t="shared" si="30"/>
        <v>288000</v>
      </c>
      <c r="AI120" s="12"/>
      <c r="AJ120" s="12">
        <f t="shared" si="31"/>
        <v>444000</v>
      </c>
    </row>
    <row r="121" spans="23:36" x14ac:dyDescent="0.2">
      <c r="W121" s="27" t="str">
        <f>TRUNC((X121+6)*10/80)&amp;"-"&amp;((X121+6)/8-TRUNC((X121+6)/8))*80</f>
        <v>39-40</v>
      </c>
      <c r="X121" s="12">
        <v>310</v>
      </c>
      <c r="Y121" s="12"/>
      <c r="Z121" s="12">
        <f t="shared" si="26"/>
        <v>15.9</v>
      </c>
      <c r="AA121" s="12"/>
      <c r="AB121" s="12">
        <f t="shared" si="27"/>
        <v>17400</v>
      </c>
      <c r="AC121" s="12"/>
      <c r="AD121" s="12">
        <f t="shared" si="28"/>
        <v>73500</v>
      </c>
      <c r="AE121" s="12">
        <v>4800</v>
      </c>
      <c r="AF121" s="12">
        <f t="shared" si="29"/>
        <v>55500</v>
      </c>
      <c r="AG121" s="12"/>
      <c r="AH121" s="12">
        <f t="shared" si="30"/>
        <v>288000</v>
      </c>
      <c r="AI121" s="12"/>
      <c r="AJ121" s="12">
        <f t="shared" si="31"/>
        <v>444000</v>
      </c>
    </row>
    <row r="122" spans="23:36" x14ac:dyDescent="0.2">
      <c r="W122" s="27" t="str">
        <f>TRUNC((X122+6)*10/80)&amp;"-"&amp;((X122+6)/8-TRUNC((X122+6)/8))*80</f>
        <v>39-70</v>
      </c>
      <c r="X122" s="12">
        <v>313</v>
      </c>
      <c r="Y122" s="12"/>
      <c r="Z122" s="12">
        <f t="shared" si="26"/>
        <v>15.9</v>
      </c>
      <c r="AA122" s="12"/>
      <c r="AB122" s="12">
        <f t="shared" si="27"/>
        <v>17400</v>
      </c>
      <c r="AC122" s="12"/>
      <c r="AD122" s="12">
        <f t="shared" si="28"/>
        <v>73500</v>
      </c>
      <c r="AE122" s="12"/>
      <c r="AF122" s="12">
        <f t="shared" si="29"/>
        <v>55500</v>
      </c>
      <c r="AG122" s="12">
        <v>27000</v>
      </c>
      <c r="AH122" s="12">
        <f t="shared" si="30"/>
        <v>315000</v>
      </c>
      <c r="AI122" s="12"/>
      <c r="AJ122" s="12">
        <f t="shared" si="31"/>
        <v>444000</v>
      </c>
    </row>
    <row r="123" spans="23:36" x14ac:dyDescent="0.2">
      <c r="W123" s="27" t="str">
        <f>TRUNC((X123+6)*10/80)&amp;"-"&amp;((X123+6)/8-TRUNC((X123+6)/8))*80</f>
        <v>40-20</v>
      </c>
      <c r="X123" s="12">
        <v>316</v>
      </c>
      <c r="Y123" s="12"/>
      <c r="Z123" s="12">
        <f t="shared" si="26"/>
        <v>15.9</v>
      </c>
      <c r="AA123" s="12"/>
      <c r="AB123" s="12">
        <f t="shared" si="27"/>
        <v>17400</v>
      </c>
      <c r="AC123" s="12"/>
      <c r="AD123" s="12">
        <f t="shared" si="28"/>
        <v>73500</v>
      </c>
      <c r="AE123" s="12"/>
      <c r="AF123" s="12">
        <f t="shared" si="29"/>
        <v>55500</v>
      </c>
      <c r="AG123" s="12"/>
      <c r="AH123" s="12">
        <f t="shared" si="30"/>
        <v>315000</v>
      </c>
      <c r="AI123" s="12">
        <v>42000</v>
      </c>
      <c r="AJ123" s="12">
        <f t="shared" si="31"/>
        <v>486000</v>
      </c>
    </row>
    <row r="124" spans="23:36" x14ac:dyDescent="0.2">
      <c r="W124" s="27" t="str">
        <f>TRUNC((X124+6)*10/80)&amp;"-"&amp;((X124+6)/8-TRUNC((X124+6)/8))*80</f>
        <v>40-50</v>
      </c>
      <c r="X124" s="12">
        <v>319</v>
      </c>
      <c r="Y124" s="58">
        <v>1.2</v>
      </c>
      <c r="Z124" s="12">
        <f t="shared" si="26"/>
        <v>17.100000000000001</v>
      </c>
      <c r="AA124" s="12"/>
      <c r="AB124" s="12">
        <f t="shared" si="27"/>
        <v>17400</v>
      </c>
      <c r="AC124" s="12"/>
      <c r="AD124" s="12">
        <f t="shared" si="28"/>
        <v>73500</v>
      </c>
      <c r="AE124" s="12"/>
      <c r="AF124" s="12">
        <f t="shared" si="29"/>
        <v>55500</v>
      </c>
      <c r="AG124" s="12"/>
      <c r="AH124" s="12">
        <f t="shared" si="30"/>
        <v>315000</v>
      </c>
      <c r="AI124" s="12"/>
      <c r="AJ124" s="12">
        <f t="shared" si="31"/>
        <v>486000</v>
      </c>
    </row>
    <row r="125" spans="23:36" x14ac:dyDescent="0.2">
      <c r="W125" s="27" t="str">
        <f>TRUNC((X125+6)*10/80)&amp;"-"&amp;((X125+6)/8-TRUNC((X125+6)/8))*80</f>
        <v>41-0</v>
      </c>
      <c r="X125" s="12">
        <v>322</v>
      </c>
      <c r="Y125" s="12"/>
      <c r="Z125" s="12">
        <f t="shared" si="26"/>
        <v>17.100000000000001</v>
      </c>
      <c r="AA125" s="12">
        <v>1500</v>
      </c>
      <c r="AB125" s="12">
        <f t="shared" si="27"/>
        <v>18900</v>
      </c>
      <c r="AC125" s="12"/>
      <c r="AD125" s="12">
        <f t="shared" si="28"/>
        <v>73500</v>
      </c>
      <c r="AE125" s="12"/>
      <c r="AF125" s="12">
        <f t="shared" si="29"/>
        <v>55500</v>
      </c>
      <c r="AG125" s="12"/>
      <c r="AH125" s="12">
        <f t="shared" si="30"/>
        <v>315000</v>
      </c>
      <c r="AI125" s="12"/>
      <c r="AJ125" s="12">
        <f t="shared" si="31"/>
        <v>486000</v>
      </c>
    </row>
    <row r="126" spans="23:36" x14ac:dyDescent="0.2">
      <c r="W126" s="27" t="str">
        <f>TRUNC((X126+6)*10/80)&amp;"-"&amp;((X126+6)/8-TRUNC((X126+6)/8))*80</f>
        <v>41-30</v>
      </c>
      <c r="X126" s="12">
        <v>325</v>
      </c>
      <c r="Y126" s="12"/>
      <c r="Z126" s="12">
        <f t="shared" si="26"/>
        <v>17.100000000000001</v>
      </c>
      <c r="AA126" s="12"/>
      <c r="AB126" s="12">
        <f t="shared" si="27"/>
        <v>18900</v>
      </c>
      <c r="AC126" s="12">
        <v>6300</v>
      </c>
      <c r="AD126" s="12">
        <f t="shared" si="28"/>
        <v>79800</v>
      </c>
      <c r="AE126" s="12"/>
      <c r="AF126" s="12">
        <f t="shared" si="29"/>
        <v>55500</v>
      </c>
      <c r="AG126" s="12"/>
      <c r="AH126" s="12">
        <f t="shared" si="30"/>
        <v>315000</v>
      </c>
      <c r="AI126" s="12"/>
      <c r="AJ126" s="12">
        <f t="shared" si="31"/>
        <v>486000</v>
      </c>
    </row>
    <row r="127" spans="23:36" x14ac:dyDescent="0.2">
      <c r="W127" s="27" t="str">
        <f>TRUNC((X127+6)*10/80)&amp;"-"&amp;((X127+6)/8-TRUNC((X127+6)/8))*80</f>
        <v>41-60</v>
      </c>
      <c r="X127" s="12">
        <v>328</v>
      </c>
      <c r="Y127" s="12"/>
      <c r="Z127" s="12">
        <f t="shared" si="26"/>
        <v>17.100000000000001</v>
      </c>
      <c r="AA127" s="12"/>
      <c r="AB127" s="12">
        <f t="shared" si="27"/>
        <v>18900</v>
      </c>
      <c r="AC127" s="12"/>
      <c r="AD127" s="12">
        <f t="shared" si="28"/>
        <v>79800</v>
      </c>
      <c r="AE127" s="12">
        <v>4800</v>
      </c>
      <c r="AF127" s="12">
        <f t="shared" si="29"/>
        <v>60300</v>
      </c>
      <c r="AG127" s="12"/>
      <c r="AH127" s="12">
        <f t="shared" si="30"/>
        <v>315000</v>
      </c>
      <c r="AI127" s="12"/>
      <c r="AJ127" s="12">
        <f t="shared" si="31"/>
        <v>486000</v>
      </c>
    </row>
    <row r="128" spans="23:36" x14ac:dyDescent="0.2">
      <c r="W128" s="27" t="str">
        <f>TRUNC((X128+6)*10/80)&amp;"-"&amp;((X128+6)/8-TRUNC((X128+6)/8))*80</f>
        <v>42-10</v>
      </c>
      <c r="X128" s="12">
        <v>331</v>
      </c>
      <c r="Y128" s="12"/>
      <c r="Z128" s="12">
        <f t="shared" si="26"/>
        <v>17.100000000000001</v>
      </c>
      <c r="AA128" s="12"/>
      <c r="AB128" s="12">
        <f t="shared" si="27"/>
        <v>18900</v>
      </c>
      <c r="AC128" s="12"/>
      <c r="AD128" s="12">
        <f t="shared" si="28"/>
        <v>79800</v>
      </c>
      <c r="AE128" s="12"/>
      <c r="AF128" s="12">
        <f t="shared" si="29"/>
        <v>60300</v>
      </c>
      <c r="AG128" s="12">
        <v>27000</v>
      </c>
      <c r="AH128" s="12">
        <f t="shared" si="30"/>
        <v>342000</v>
      </c>
      <c r="AI128" s="12"/>
      <c r="AJ128" s="12">
        <f t="shared" si="31"/>
        <v>486000</v>
      </c>
    </row>
    <row r="129" spans="23:36" x14ac:dyDescent="0.2">
      <c r="W129" s="27" t="str">
        <f>TRUNC((X129+6)*10/80)&amp;"-"&amp;((X129+6)/8-TRUNC((X129+6)/8))*80</f>
        <v>42-40</v>
      </c>
      <c r="X129" s="12">
        <v>334</v>
      </c>
      <c r="Y129" s="12"/>
      <c r="Z129" s="12">
        <f t="shared" si="26"/>
        <v>17.100000000000001</v>
      </c>
      <c r="AA129" s="12"/>
      <c r="AB129" s="12">
        <f t="shared" si="27"/>
        <v>18900</v>
      </c>
      <c r="AC129" s="12"/>
      <c r="AD129" s="12">
        <f t="shared" si="28"/>
        <v>79800</v>
      </c>
      <c r="AE129" s="12"/>
      <c r="AF129" s="12">
        <f t="shared" si="29"/>
        <v>60300</v>
      </c>
      <c r="AG129" s="12"/>
      <c r="AH129" s="12">
        <f t="shared" si="30"/>
        <v>342000</v>
      </c>
      <c r="AI129" s="12">
        <v>42000</v>
      </c>
      <c r="AJ129" s="12">
        <f t="shared" si="31"/>
        <v>528000</v>
      </c>
    </row>
    <row r="130" spans="23:36" x14ac:dyDescent="0.2">
      <c r="W130" s="27" t="str">
        <f>TRUNC((X130+6)*10/80)&amp;"-"&amp;((X130+6)/8-TRUNC((X130+6)/8))*80</f>
        <v>42-70</v>
      </c>
      <c r="X130" s="12">
        <v>337</v>
      </c>
      <c r="Y130" s="58">
        <v>1.6</v>
      </c>
      <c r="Z130" s="12">
        <f t="shared" si="22"/>
        <v>18.700000000000003</v>
      </c>
      <c r="AA130" s="12"/>
      <c r="AB130" s="12">
        <f t="shared" si="22"/>
        <v>18900</v>
      </c>
      <c r="AC130" s="12"/>
      <c r="AD130" s="12">
        <f t="shared" si="22"/>
        <v>79800</v>
      </c>
      <c r="AE130" s="12"/>
      <c r="AF130" s="12">
        <f t="shared" si="22"/>
        <v>60300</v>
      </c>
      <c r="AG130" s="12"/>
      <c r="AH130" s="12">
        <f t="shared" si="19"/>
        <v>342000</v>
      </c>
      <c r="AI130" s="12"/>
      <c r="AJ130" s="12">
        <f t="shared" si="19"/>
        <v>528000</v>
      </c>
    </row>
    <row r="131" spans="23:36" x14ac:dyDescent="0.2">
      <c r="W131" s="27" t="str">
        <f>TRUNC((X131+6)*10/80)&amp;"-"&amp;((X131+6)/8-TRUNC((X131+6)/8))*80</f>
        <v>43-20</v>
      </c>
      <c r="X131" s="12">
        <v>340</v>
      </c>
      <c r="Y131" s="12"/>
      <c r="Z131" s="12">
        <f t="shared" si="22"/>
        <v>18.700000000000003</v>
      </c>
      <c r="AA131" s="12">
        <v>2000</v>
      </c>
      <c r="AB131" s="12">
        <f t="shared" si="22"/>
        <v>20900</v>
      </c>
      <c r="AC131" s="12"/>
      <c r="AD131" s="12">
        <f t="shared" si="22"/>
        <v>79800</v>
      </c>
      <c r="AE131" s="12"/>
      <c r="AF131" s="12">
        <f t="shared" si="22"/>
        <v>60300</v>
      </c>
      <c r="AG131" s="12"/>
      <c r="AH131" s="12">
        <f t="shared" si="19"/>
        <v>342000</v>
      </c>
      <c r="AI131" s="12"/>
      <c r="AJ131" s="12">
        <f t="shared" si="19"/>
        <v>528000</v>
      </c>
    </row>
    <row r="132" spans="23:36" x14ac:dyDescent="0.2">
      <c r="W132" s="27" t="str">
        <f>TRUNC((X132+6)*10/80)&amp;"-"&amp;((X132+6)/8-TRUNC((X132+6)/8))*80</f>
        <v>43-50</v>
      </c>
      <c r="X132" s="12">
        <v>343</v>
      </c>
      <c r="Y132" s="12"/>
      <c r="Z132" s="12">
        <f t="shared" si="22"/>
        <v>18.700000000000003</v>
      </c>
      <c r="AA132" s="12"/>
      <c r="AB132" s="12">
        <f t="shared" si="22"/>
        <v>20900</v>
      </c>
      <c r="AC132" s="12">
        <v>8400</v>
      </c>
      <c r="AD132" s="12">
        <f t="shared" si="22"/>
        <v>88200</v>
      </c>
      <c r="AE132" s="12"/>
      <c r="AF132" s="12">
        <f t="shared" si="22"/>
        <v>60300</v>
      </c>
      <c r="AG132" s="12"/>
      <c r="AH132" s="12">
        <f t="shared" si="19"/>
        <v>342000</v>
      </c>
      <c r="AI132" s="12"/>
      <c r="AJ132" s="12">
        <f t="shared" si="19"/>
        <v>528000</v>
      </c>
    </row>
    <row r="133" spans="23:36" x14ac:dyDescent="0.2">
      <c r="W133" s="27" t="str">
        <f>TRUNC((X133+6)*10/80)&amp;"-"&amp;((X133+6)/8-TRUNC((X133+6)/8))*80</f>
        <v>44-0</v>
      </c>
      <c r="X133" s="12">
        <v>346</v>
      </c>
      <c r="Y133" s="12"/>
      <c r="Z133" s="12">
        <f t="shared" si="22"/>
        <v>18.700000000000003</v>
      </c>
      <c r="AA133" s="12"/>
      <c r="AB133" s="12">
        <f t="shared" si="22"/>
        <v>20900</v>
      </c>
      <c r="AC133" s="12"/>
      <c r="AD133" s="12">
        <f t="shared" si="22"/>
        <v>88200</v>
      </c>
      <c r="AE133" s="12">
        <v>6400</v>
      </c>
      <c r="AF133" s="12">
        <f t="shared" ref="AF133" si="32">AE133+AF132</f>
        <v>66700</v>
      </c>
      <c r="AG133" s="12"/>
      <c r="AH133" s="12">
        <f t="shared" si="19"/>
        <v>342000</v>
      </c>
      <c r="AI133" s="12"/>
      <c r="AJ133" s="12">
        <f t="shared" si="19"/>
        <v>528000</v>
      </c>
    </row>
    <row r="134" spans="23:36" x14ac:dyDescent="0.2">
      <c r="W134" s="27" t="str">
        <f>TRUNC((X134+6)*10/80)&amp;"-"&amp;((X134+6)/8-TRUNC((X134+6)/8))*80</f>
        <v>44-30</v>
      </c>
      <c r="X134" s="12">
        <v>349</v>
      </c>
      <c r="Y134" s="12"/>
      <c r="Z134" s="12">
        <f t="shared" ref="Z134:AF197" si="33">Y134+Z133</f>
        <v>18.700000000000003</v>
      </c>
      <c r="AA134" s="12"/>
      <c r="AB134" s="12">
        <f t="shared" si="33"/>
        <v>20900</v>
      </c>
      <c r="AC134" s="12"/>
      <c r="AD134" s="12">
        <f t="shared" si="33"/>
        <v>88200</v>
      </c>
      <c r="AE134" s="12"/>
      <c r="AF134" s="12">
        <f t="shared" si="33"/>
        <v>66700</v>
      </c>
      <c r="AG134" s="12">
        <v>36000</v>
      </c>
      <c r="AH134" s="12">
        <f t="shared" ref="AH134:AJ197" si="34">AG134+AH133</f>
        <v>378000</v>
      </c>
      <c r="AI134" s="12"/>
      <c r="AJ134" s="12">
        <f t="shared" si="34"/>
        <v>528000</v>
      </c>
    </row>
    <row r="135" spans="23:36" x14ac:dyDescent="0.2">
      <c r="W135" s="27" t="str">
        <f>TRUNC((X135+6)*10/80)&amp;"-"&amp;((X135+6)/8-TRUNC((X135+6)/8))*80</f>
        <v>44-60</v>
      </c>
      <c r="X135" s="12">
        <v>352</v>
      </c>
      <c r="Y135" s="12"/>
      <c r="Z135" s="12">
        <f t="shared" si="33"/>
        <v>18.700000000000003</v>
      </c>
      <c r="AA135" s="12"/>
      <c r="AB135" s="12">
        <f t="shared" si="33"/>
        <v>20900</v>
      </c>
      <c r="AC135" s="12"/>
      <c r="AD135" s="12">
        <f t="shared" si="33"/>
        <v>88200</v>
      </c>
      <c r="AE135" s="12"/>
      <c r="AF135" s="12">
        <f t="shared" si="33"/>
        <v>66700</v>
      </c>
      <c r="AG135" s="12"/>
      <c r="AH135" s="12">
        <f t="shared" si="34"/>
        <v>378000</v>
      </c>
      <c r="AI135" s="12">
        <v>56000</v>
      </c>
      <c r="AJ135" s="12">
        <f t="shared" si="34"/>
        <v>584000</v>
      </c>
    </row>
    <row r="136" spans="23:36" x14ac:dyDescent="0.2">
      <c r="W136" s="27" t="str">
        <f>TRUNC((X136+6)*10/80)&amp;"-"&amp;((X136+6)/8-TRUNC((X136+6)/8))*80</f>
        <v>45-10</v>
      </c>
      <c r="X136" s="12">
        <v>355</v>
      </c>
      <c r="Y136" s="58">
        <v>1.6</v>
      </c>
      <c r="Z136" s="12">
        <f t="shared" ref="Z136:AF147" si="35">Y136+Z135</f>
        <v>20.300000000000004</v>
      </c>
      <c r="AA136" s="12"/>
      <c r="AB136" s="12">
        <f t="shared" si="35"/>
        <v>20900</v>
      </c>
      <c r="AC136" s="12"/>
      <c r="AD136" s="12">
        <f t="shared" si="35"/>
        <v>88200</v>
      </c>
      <c r="AE136" s="12"/>
      <c r="AF136" s="12">
        <f t="shared" si="35"/>
        <v>66700</v>
      </c>
      <c r="AG136" s="12"/>
      <c r="AH136" s="12">
        <f t="shared" si="34"/>
        <v>378000</v>
      </c>
      <c r="AI136" s="12"/>
      <c r="AJ136" s="12">
        <f t="shared" si="34"/>
        <v>584000</v>
      </c>
    </row>
    <row r="137" spans="23:36" x14ac:dyDescent="0.2">
      <c r="W137" s="27" t="str">
        <f>TRUNC((X137+6)*10/80)&amp;"-"&amp;((X137+6)/8-TRUNC((X137+6)/8))*80</f>
        <v>45-40</v>
      </c>
      <c r="X137" s="12">
        <v>358</v>
      </c>
      <c r="Y137" s="12"/>
      <c r="Z137" s="12">
        <f t="shared" si="35"/>
        <v>20.300000000000004</v>
      </c>
      <c r="AA137" s="12">
        <v>2000</v>
      </c>
      <c r="AB137" s="12">
        <f t="shared" si="35"/>
        <v>22900</v>
      </c>
      <c r="AC137" s="12"/>
      <c r="AD137" s="12">
        <f t="shared" si="35"/>
        <v>88200</v>
      </c>
      <c r="AE137" s="12"/>
      <c r="AF137" s="12">
        <f t="shared" si="35"/>
        <v>66700</v>
      </c>
      <c r="AG137" s="12"/>
      <c r="AH137" s="12">
        <f t="shared" si="34"/>
        <v>378000</v>
      </c>
      <c r="AI137" s="12"/>
      <c r="AJ137" s="12">
        <f t="shared" si="34"/>
        <v>584000</v>
      </c>
    </row>
    <row r="138" spans="23:36" x14ac:dyDescent="0.2">
      <c r="W138" s="27" t="str">
        <f>TRUNC((X138+6)*10/80)&amp;"-"&amp;((X138+6)/8-TRUNC((X138+6)/8))*80</f>
        <v>45-70</v>
      </c>
      <c r="X138" s="12">
        <v>361</v>
      </c>
      <c r="Y138" s="12"/>
      <c r="Z138" s="12">
        <f t="shared" si="35"/>
        <v>20.300000000000004</v>
      </c>
      <c r="AA138" s="12"/>
      <c r="AB138" s="12">
        <f t="shared" si="35"/>
        <v>22900</v>
      </c>
      <c r="AC138" s="12">
        <v>8400</v>
      </c>
      <c r="AD138" s="12">
        <f t="shared" si="35"/>
        <v>96600</v>
      </c>
      <c r="AE138" s="12"/>
      <c r="AF138" s="12">
        <f t="shared" si="35"/>
        <v>66700</v>
      </c>
      <c r="AG138" s="12"/>
      <c r="AH138" s="12">
        <f t="shared" si="34"/>
        <v>378000</v>
      </c>
      <c r="AI138" s="12"/>
      <c r="AJ138" s="12">
        <f t="shared" si="34"/>
        <v>584000</v>
      </c>
    </row>
    <row r="139" spans="23:36" x14ac:dyDescent="0.2">
      <c r="W139" s="27" t="str">
        <f>TRUNC((X139+6)*10/80)&amp;"-"&amp;((X139+6)/8-TRUNC((X139+6)/8))*80</f>
        <v>46-20</v>
      </c>
      <c r="X139" s="12">
        <v>364</v>
      </c>
      <c r="Y139" s="12"/>
      <c r="Z139" s="12">
        <f t="shared" si="35"/>
        <v>20.300000000000004</v>
      </c>
      <c r="AA139" s="12"/>
      <c r="AB139" s="12">
        <f t="shared" si="35"/>
        <v>22900</v>
      </c>
      <c r="AC139" s="12"/>
      <c r="AD139" s="12">
        <f t="shared" si="35"/>
        <v>96600</v>
      </c>
      <c r="AE139" s="12">
        <v>6400</v>
      </c>
      <c r="AF139" s="12">
        <f t="shared" si="35"/>
        <v>73100</v>
      </c>
      <c r="AG139" s="12"/>
      <c r="AH139" s="12">
        <f t="shared" si="34"/>
        <v>378000</v>
      </c>
      <c r="AI139" s="12"/>
      <c r="AJ139" s="12">
        <f t="shared" si="34"/>
        <v>584000</v>
      </c>
    </row>
    <row r="140" spans="23:36" x14ac:dyDescent="0.2">
      <c r="W140" s="27" t="str">
        <f>TRUNC((X140+6)*10/80)&amp;"-"&amp;((X140+6)/8-TRUNC((X140+6)/8))*80</f>
        <v>46-50</v>
      </c>
      <c r="X140" s="12">
        <v>367</v>
      </c>
      <c r="Y140" s="12"/>
      <c r="Z140" s="12">
        <f t="shared" si="35"/>
        <v>20.300000000000004</v>
      </c>
      <c r="AA140" s="12"/>
      <c r="AB140" s="12">
        <f t="shared" si="35"/>
        <v>22900</v>
      </c>
      <c r="AC140" s="12"/>
      <c r="AD140" s="12">
        <f t="shared" si="35"/>
        <v>96600</v>
      </c>
      <c r="AE140" s="12"/>
      <c r="AF140" s="12">
        <f t="shared" si="35"/>
        <v>73100</v>
      </c>
      <c r="AG140" s="12">
        <v>36000</v>
      </c>
      <c r="AH140" s="12">
        <f t="shared" ref="AH140:AH147" si="36">AG140+AH139</f>
        <v>414000</v>
      </c>
      <c r="AI140" s="12"/>
      <c r="AJ140" s="12">
        <f t="shared" ref="AJ140:AJ147" si="37">AI140+AJ139</f>
        <v>584000</v>
      </c>
    </row>
    <row r="141" spans="23:36" x14ac:dyDescent="0.2">
      <c r="W141" s="27" t="str">
        <f>TRUNC((X141+6)*10/80)&amp;"-"&amp;((X141+6)/8-TRUNC((X141+6)/8))*80</f>
        <v>47-0</v>
      </c>
      <c r="X141" s="12">
        <v>370</v>
      </c>
      <c r="Y141" s="12"/>
      <c r="Z141" s="12">
        <f t="shared" si="35"/>
        <v>20.300000000000004</v>
      </c>
      <c r="AA141" s="12"/>
      <c r="AB141" s="12">
        <f t="shared" si="35"/>
        <v>22900</v>
      </c>
      <c r="AC141" s="12"/>
      <c r="AD141" s="12">
        <f t="shared" si="35"/>
        <v>96600</v>
      </c>
      <c r="AE141" s="12"/>
      <c r="AF141" s="12">
        <f t="shared" si="35"/>
        <v>73100</v>
      </c>
      <c r="AG141" s="12"/>
      <c r="AH141" s="12">
        <f t="shared" si="36"/>
        <v>414000</v>
      </c>
      <c r="AI141" s="12">
        <v>56000</v>
      </c>
      <c r="AJ141" s="12">
        <f t="shared" si="37"/>
        <v>640000</v>
      </c>
    </row>
    <row r="142" spans="23:36" x14ac:dyDescent="0.2">
      <c r="W142" s="27" t="str">
        <f>TRUNC((X142+6)*10/80)&amp;"-"&amp;((X142+6)/8-TRUNC((X142+6)/8))*80</f>
        <v>47-30</v>
      </c>
      <c r="X142" s="12">
        <v>373</v>
      </c>
      <c r="Y142" s="58">
        <v>1.6</v>
      </c>
      <c r="Z142" s="12">
        <f t="shared" si="35"/>
        <v>21.900000000000006</v>
      </c>
      <c r="AA142" s="12"/>
      <c r="AB142" s="12">
        <f t="shared" si="35"/>
        <v>22900</v>
      </c>
      <c r="AC142" s="12"/>
      <c r="AD142" s="12">
        <f t="shared" si="35"/>
        <v>96600</v>
      </c>
      <c r="AE142" s="12"/>
      <c r="AF142" s="12">
        <f t="shared" si="35"/>
        <v>73100</v>
      </c>
      <c r="AG142" s="12"/>
      <c r="AH142" s="12">
        <f t="shared" si="36"/>
        <v>414000</v>
      </c>
      <c r="AI142" s="12"/>
      <c r="AJ142" s="12">
        <f t="shared" si="37"/>
        <v>640000</v>
      </c>
    </row>
    <row r="143" spans="23:36" x14ac:dyDescent="0.2">
      <c r="W143" s="27" t="str">
        <f>TRUNC((X143+6)*10/80)&amp;"-"&amp;((X143+6)/8-TRUNC((X143+6)/8))*80</f>
        <v>47-60</v>
      </c>
      <c r="X143" s="12">
        <v>376</v>
      </c>
      <c r="Y143" s="12"/>
      <c r="Z143" s="12">
        <f t="shared" si="35"/>
        <v>21.900000000000006</v>
      </c>
      <c r="AA143" s="12">
        <v>2000</v>
      </c>
      <c r="AB143" s="12">
        <f t="shared" si="35"/>
        <v>24900</v>
      </c>
      <c r="AC143" s="12"/>
      <c r="AD143" s="12">
        <f t="shared" si="35"/>
        <v>96600</v>
      </c>
      <c r="AE143" s="12"/>
      <c r="AF143" s="12">
        <f t="shared" si="35"/>
        <v>73100</v>
      </c>
      <c r="AG143" s="12"/>
      <c r="AH143" s="12">
        <f t="shared" si="36"/>
        <v>414000</v>
      </c>
      <c r="AI143" s="12"/>
      <c r="AJ143" s="12">
        <f t="shared" si="37"/>
        <v>640000</v>
      </c>
    </row>
    <row r="144" spans="23:36" x14ac:dyDescent="0.2">
      <c r="W144" s="27" t="str">
        <f>TRUNC((X144+6)*10/80)&amp;"-"&amp;((X144+6)/8-TRUNC((X144+6)/8))*80</f>
        <v>48-10</v>
      </c>
      <c r="X144" s="12">
        <v>379</v>
      </c>
      <c r="Y144" s="12"/>
      <c r="Z144" s="12">
        <f t="shared" si="35"/>
        <v>21.900000000000006</v>
      </c>
      <c r="AA144" s="12"/>
      <c r="AB144" s="12">
        <f t="shared" si="35"/>
        <v>24900</v>
      </c>
      <c r="AC144" s="12">
        <v>8400</v>
      </c>
      <c r="AD144" s="12">
        <f t="shared" si="35"/>
        <v>105000</v>
      </c>
      <c r="AE144" s="12"/>
      <c r="AF144" s="12">
        <f t="shared" si="35"/>
        <v>73100</v>
      </c>
      <c r="AG144" s="12"/>
      <c r="AH144" s="12">
        <f t="shared" si="36"/>
        <v>414000</v>
      </c>
      <c r="AI144" s="12"/>
      <c r="AJ144" s="12">
        <f t="shared" si="37"/>
        <v>640000</v>
      </c>
    </row>
    <row r="145" spans="23:36" x14ac:dyDescent="0.2">
      <c r="W145" s="27" t="str">
        <f>TRUNC((X145+6)*10/80)&amp;"-"&amp;((X145+6)/8-TRUNC((X145+6)/8))*80</f>
        <v>48-40</v>
      </c>
      <c r="X145" s="12">
        <v>382</v>
      </c>
      <c r="Y145" s="12"/>
      <c r="Z145" s="12">
        <f t="shared" si="35"/>
        <v>21.900000000000006</v>
      </c>
      <c r="AA145" s="12"/>
      <c r="AB145" s="12">
        <f t="shared" si="35"/>
        <v>24900</v>
      </c>
      <c r="AC145" s="12"/>
      <c r="AD145" s="12">
        <f t="shared" si="35"/>
        <v>105000</v>
      </c>
      <c r="AE145" s="12">
        <v>6400</v>
      </c>
      <c r="AF145" s="12">
        <f t="shared" si="35"/>
        <v>79500</v>
      </c>
      <c r="AG145" s="12"/>
      <c r="AH145" s="12">
        <f t="shared" si="36"/>
        <v>414000</v>
      </c>
      <c r="AI145" s="12"/>
      <c r="AJ145" s="12">
        <f t="shared" si="37"/>
        <v>640000</v>
      </c>
    </row>
    <row r="146" spans="23:36" x14ac:dyDescent="0.2">
      <c r="W146" s="27" t="str">
        <f>TRUNC((X146+6)*10/80)&amp;"-"&amp;((X146+6)/8-TRUNC((X146+6)/8))*80</f>
        <v>48-70</v>
      </c>
      <c r="X146" s="12">
        <v>385</v>
      </c>
      <c r="Y146" s="12"/>
      <c r="Z146" s="12">
        <f t="shared" si="35"/>
        <v>21.900000000000006</v>
      </c>
      <c r="AA146" s="12"/>
      <c r="AB146" s="12">
        <f t="shared" si="35"/>
        <v>24900</v>
      </c>
      <c r="AC146" s="12"/>
      <c r="AD146" s="12">
        <f t="shared" si="35"/>
        <v>105000</v>
      </c>
      <c r="AE146" s="12"/>
      <c r="AF146" s="12">
        <f t="shared" si="35"/>
        <v>79500</v>
      </c>
      <c r="AG146" s="12">
        <v>36000</v>
      </c>
      <c r="AH146" s="12">
        <f t="shared" si="36"/>
        <v>450000</v>
      </c>
      <c r="AI146" s="12"/>
      <c r="AJ146" s="12">
        <f t="shared" si="37"/>
        <v>640000</v>
      </c>
    </row>
    <row r="147" spans="23:36" x14ac:dyDescent="0.2">
      <c r="W147" s="27" t="str">
        <f>TRUNC((X147+6)*10/80)&amp;"-"&amp;((X147+6)/8-TRUNC((X147+6)/8))*80</f>
        <v>49-20</v>
      </c>
      <c r="X147" s="12">
        <v>388</v>
      </c>
      <c r="Y147" s="12"/>
      <c r="Z147" s="12">
        <f t="shared" si="35"/>
        <v>21.900000000000006</v>
      </c>
      <c r="AA147" s="12"/>
      <c r="AB147" s="12">
        <f t="shared" si="35"/>
        <v>24900</v>
      </c>
      <c r="AC147" s="12"/>
      <c r="AD147" s="12">
        <f t="shared" si="35"/>
        <v>105000</v>
      </c>
      <c r="AE147" s="12"/>
      <c r="AF147" s="12">
        <f t="shared" si="35"/>
        <v>79500</v>
      </c>
      <c r="AG147" s="12"/>
      <c r="AH147" s="12">
        <f t="shared" si="36"/>
        <v>450000</v>
      </c>
      <c r="AI147" s="12">
        <v>56000</v>
      </c>
      <c r="AJ147" s="12">
        <f t="shared" si="37"/>
        <v>696000</v>
      </c>
    </row>
    <row r="148" spans="23:36" x14ac:dyDescent="0.2">
      <c r="W148" s="27" t="str">
        <f>TRUNC((X148+6)*10/80)&amp;"-"&amp;((X148+6)/8-TRUNC((X148+6)/8))*80</f>
        <v>49-50</v>
      </c>
      <c r="X148" s="12">
        <v>391</v>
      </c>
      <c r="Y148" s="58">
        <v>2</v>
      </c>
      <c r="Z148" s="12">
        <f t="shared" si="33"/>
        <v>23.900000000000006</v>
      </c>
      <c r="AA148" s="12"/>
      <c r="AB148" s="12">
        <f t="shared" si="33"/>
        <v>24900</v>
      </c>
      <c r="AC148" s="12"/>
      <c r="AD148" s="12">
        <f t="shared" si="33"/>
        <v>105000</v>
      </c>
      <c r="AE148" s="12"/>
      <c r="AF148" s="12">
        <f t="shared" si="33"/>
        <v>79500</v>
      </c>
      <c r="AG148" s="12"/>
      <c r="AH148" s="12">
        <f t="shared" si="34"/>
        <v>450000</v>
      </c>
      <c r="AI148" s="12"/>
      <c r="AJ148" s="12">
        <f t="shared" si="34"/>
        <v>696000</v>
      </c>
    </row>
    <row r="149" spans="23:36" x14ac:dyDescent="0.2">
      <c r="W149" s="27" t="str">
        <f>TRUNC((X149+6)*10/80)&amp;"-"&amp;((X149+6)/8-TRUNC((X149+6)/8))*80</f>
        <v>50-0</v>
      </c>
      <c r="X149" s="12">
        <v>394</v>
      </c>
      <c r="Y149" s="12"/>
      <c r="Z149" s="12">
        <f t="shared" si="33"/>
        <v>23.900000000000006</v>
      </c>
      <c r="AA149" s="12">
        <v>2500</v>
      </c>
      <c r="AB149" s="12">
        <f t="shared" si="33"/>
        <v>27400</v>
      </c>
      <c r="AC149" s="12"/>
      <c r="AD149" s="12">
        <f t="shared" si="33"/>
        <v>105000</v>
      </c>
      <c r="AE149" s="12"/>
      <c r="AF149" s="12">
        <f t="shared" si="33"/>
        <v>79500</v>
      </c>
      <c r="AG149" s="12"/>
      <c r="AH149" s="12">
        <f t="shared" si="34"/>
        <v>450000</v>
      </c>
      <c r="AI149" s="12"/>
      <c r="AJ149" s="12">
        <f t="shared" si="34"/>
        <v>696000</v>
      </c>
    </row>
    <row r="150" spans="23:36" x14ac:dyDescent="0.2">
      <c r="W150" s="27" t="str">
        <f>TRUNC((X150+6)*10/80)&amp;"-"&amp;((X150+6)/8-TRUNC((X150+6)/8))*80</f>
        <v>50-30</v>
      </c>
      <c r="X150" s="12">
        <v>397</v>
      </c>
      <c r="Y150" s="12"/>
      <c r="Z150" s="12">
        <f t="shared" si="33"/>
        <v>23.900000000000006</v>
      </c>
      <c r="AA150" s="12"/>
      <c r="AB150" s="12">
        <f t="shared" si="33"/>
        <v>27400</v>
      </c>
      <c r="AC150" s="12">
        <v>10500</v>
      </c>
      <c r="AD150" s="12">
        <f t="shared" si="33"/>
        <v>115500</v>
      </c>
      <c r="AE150" s="12"/>
      <c r="AF150" s="12">
        <f t="shared" si="33"/>
        <v>79500</v>
      </c>
      <c r="AG150" s="12"/>
      <c r="AH150" s="12">
        <f t="shared" si="34"/>
        <v>450000</v>
      </c>
      <c r="AI150" s="12"/>
      <c r="AJ150" s="12">
        <f t="shared" si="34"/>
        <v>696000</v>
      </c>
    </row>
    <row r="151" spans="23:36" x14ac:dyDescent="0.2">
      <c r="W151" s="27" t="str">
        <f>TRUNC((X151+6)*10/80)&amp;"-"&amp;((X151+6)/8-TRUNC((X151+6)/8))*80</f>
        <v>50-60</v>
      </c>
      <c r="X151" s="12">
        <v>400</v>
      </c>
      <c r="Y151" s="12"/>
      <c r="Z151" s="12">
        <f t="shared" si="33"/>
        <v>23.900000000000006</v>
      </c>
      <c r="AA151" s="12"/>
      <c r="AB151" s="12">
        <f t="shared" si="33"/>
        <v>27400</v>
      </c>
      <c r="AC151" s="12"/>
      <c r="AD151" s="12">
        <f t="shared" si="33"/>
        <v>115500</v>
      </c>
      <c r="AE151" s="12">
        <v>8000</v>
      </c>
      <c r="AF151" s="12">
        <f t="shared" si="33"/>
        <v>87500</v>
      </c>
      <c r="AG151" s="12"/>
      <c r="AH151" s="12">
        <f t="shared" si="34"/>
        <v>450000</v>
      </c>
      <c r="AI151" s="12"/>
      <c r="AJ151" s="12">
        <f t="shared" si="34"/>
        <v>696000</v>
      </c>
    </row>
    <row r="152" spans="23:36" x14ac:dyDescent="0.2">
      <c r="W152" s="27" t="str">
        <f>TRUNC((X152+6)*10/80)&amp;"-"&amp;((X152+6)/8-TRUNC((X152+6)/8))*80</f>
        <v>51-10</v>
      </c>
      <c r="X152" s="12">
        <v>403</v>
      </c>
      <c r="Y152" s="12"/>
      <c r="Z152" s="12">
        <f t="shared" si="33"/>
        <v>23.900000000000006</v>
      </c>
      <c r="AA152" s="12"/>
      <c r="AB152" s="12">
        <f t="shared" si="33"/>
        <v>27400</v>
      </c>
      <c r="AC152" s="12"/>
      <c r="AD152" s="12">
        <f t="shared" si="33"/>
        <v>115500</v>
      </c>
      <c r="AE152" s="12"/>
      <c r="AF152" s="12">
        <f t="shared" si="33"/>
        <v>87500</v>
      </c>
      <c r="AG152" s="12">
        <v>45000</v>
      </c>
      <c r="AH152" s="12">
        <f t="shared" si="34"/>
        <v>495000</v>
      </c>
      <c r="AI152" s="12"/>
      <c r="AJ152" s="12">
        <f t="shared" si="34"/>
        <v>696000</v>
      </c>
    </row>
    <row r="153" spans="23:36" x14ac:dyDescent="0.2">
      <c r="W153" s="27" t="str">
        <f>TRUNC((X153+6)*10/80)&amp;"-"&amp;((X153+6)/8-TRUNC((X153+6)/8))*80</f>
        <v>51-40</v>
      </c>
      <c r="X153" s="12">
        <v>406</v>
      </c>
      <c r="Y153" s="12"/>
      <c r="Z153" s="12">
        <f t="shared" si="33"/>
        <v>23.900000000000006</v>
      </c>
      <c r="AA153" s="12"/>
      <c r="AB153" s="12">
        <f t="shared" si="33"/>
        <v>27400</v>
      </c>
      <c r="AC153" s="12"/>
      <c r="AD153" s="12">
        <f t="shared" si="33"/>
        <v>115500</v>
      </c>
      <c r="AE153" s="12"/>
      <c r="AF153" s="12">
        <f t="shared" si="33"/>
        <v>87500</v>
      </c>
      <c r="AG153" s="12"/>
      <c r="AH153" s="12">
        <f t="shared" si="34"/>
        <v>495000</v>
      </c>
      <c r="AI153" s="12">
        <v>70000</v>
      </c>
      <c r="AJ153" s="12">
        <f t="shared" si="34"/>
        <v>766000</v>
      </c>
    </row>
    <row r="154" spans="23:36" x14ac:dyDescent="0.2">
      <c r="W154" s="27" t="str">
        <f>TRUNC((X154+6)*10/80)&amp;"-"&amp;((X154+6)/8-TRUNC((X154+6)/8))*80</f>
        <v>51-70</v>
      </c>
      <c r="X154" s="12">
        <v>409</v>
      </c>
      <c r="Y154" s="58">
        <v>2</v>
      </c>
      <c r="Z154" s="12">
        <f t="shared" ref="Z154:AF165" si="38">Y154+Z153</f>
        <v>25.900000000000006</v>
      </c>
      <c r="AA154" s="12"/>
      <c r="AB154" s="12">
        <f t="shared" si="38"/>
        <v>27400</v>
      </c>
      <c r="AC154" s="12"/>
      <c r="AD154" s="12">
        <f t="shared" si="38"/>
        <v>115500</v>
      </c>
      <c r="AE154" s="12"/>
      <c r="AF154" s="12">
        <f t="shared" si="38"/>
        <v>87500</v>
      </c>
      <c r="AG154" s="12"/>
      <c r="AH154" s="12">
        <f t="shared" ref="AH154:AH165" si="39">AG154+AH153</f>
        <v>495000</v>
      </c>
      <c r="AI154" s="12"/>
      <c r="AJ154" s="12">
        <f t="shared" si="34"/>
        <v>766000</v>
      </c>
    </row>
    <row r="155" spans="23:36" x14ac:dyDescent="0.2">
      <c r="W155" s="27" t="str">
        <f>TRUNC((X155+6)*10/80)&amp;"-"&amp;((X155+6)/8-TRUNC((X155+6)/8))*80</f>
        <v>52-20</v>
      </c>
      <c r="X155" s="12">
        <v>412</v>
      </c>
      <c r="Y155" s="12"/>
      <c r="Z155" s="12">
        <f t="shared" si="38"/>
        <v>25.900000000000006</v>
      </c>
      <c r="AA155" s="12">
        <v>2500</v>
      </c>
      <c r="AB155" s="12">
        <f t="shared" si="38"/>
        <v>29900</v>
      </c>
      <c r="AC155" s="12"/>
      <c r="AD155" s="12">
        <f t="shared" si="38"/>
        <v>115500</v>
      </c>
      <c r="AE155" s="12"/>
      <c r="AF155" s="12">
        <f t="shared" si="38"/>
        <v>87500</v>
      </c>
      <c r="AG155" s="12"/>
      <c r="AH155" s="12">
        <f t="shared" si="39"/>
        <v>495000</v>
      </c>
      <c r="AI155" s="12"/>
      <c r="AJ155" s="12">
        <f t="shared" si="34"/>
        <v>766000</v>
      </c>
    </row>
    <row r="156" spans="23:36" x14ac:dyDescent="0.2">
      <c r="W156" s="27" t="str">
        <f>TRUNC((X156+6)*10/80)&amp;"-"&amp;((X156+6)/8-TRUNC((X156+6)/8))*80</f>
        <v>52-50</v>
      </c>
      <c r="X156" s="12">
        <v>415</v>
      </c>
      <c r="Y156" s="12"/>
      <c r="Z156" s="12">
        <f t="shared" si="38"/>
        <v>25.900000000000006</v>
      </c>
      <c r="AA156" s="12"/>
      <c r="AB156" s="12">
        <f t="shared" si="38"/>
        <v>29900</v>
      </c>
      <c r="AC156" s="12">
        <v>10500</v>
      </c>
      <c r="AD156" s="12">
        <f t="shared" si="38"/>
        <v>126000</v>
      </c>
      <c r="AE156" s="12"/>
      <c r="AF156" s="12">
        <f t="shared" si="38"/>
        <v>87500</v>
      </c>
      <c r="AG156" s="12"/>
      <c r="AH156" s="12">
        <f t="shared" si="39"/>
        <v>495000</v>
      </c>
      <c r="AI156" s="12"/>
      <c r="AJ156" s="12">
        <f t="shared" si="34"/>
        <v>766000</v>
      </c>
    </row>
    <row r="157" spans="23:36" x14ac:dyDescent="0.2">
      <c r="W157" s="27" t="str">
        <f>TRUNC((X157+6)*10/80)&amp;"-"&amp;((X157+6)/8-TRUNC((X157+6)/8))*80</f>
        <v>53-0</v>
      </c>
      <c r="X157" s="12">
        <v>418</v>
      </c>
      <c r="Y157" s="12"/>
      <c r="Z157" s="12">
        <f t="shared" si="38"/>
        <v>25.900000000000006</v>
      </c>
      <c r="AA157" s="12"/>
      <c r="AB157" s="12">
        <f t="shared" si="38"/>
        <v>29900</v>
      </c>
      <c r="AC157" s="12"/>
      <c r="AD157" s="12">
        <f t="shared" si="38"/>
        <v>126000</v>
      </c>
      <c r="AE157" s="12">
        <v>8000</v>
      </c>
      <c r="AF157" s="12">
        <f t="shared" si="38"/>
        <v>95500</v>
      </c>
      <c r="AG157" s="12"/>
      <c r="AH157" s="12">
        <f t="shared" si="39"/>
        <v>495000</v>
      </c>
      <c r="AI157" s="12"/>
      <c r="AJ157" s="12">
        <f t="shared" si="34"/>
        <v>766000</v>
      </c>
    </row>
    <row r="158" spans="23:36" x14ac:dyDescent="0.2">
      <c r="W158" s="27" t="str">
        <f>TRUNC((X158+6)*10/80)&amp;"-"&amp;((X158+6)/8-TRUNC((X158+6)/8))*80</f>
        <v>53-30</v>
      </c>
      <c r="X158" s="12">
        <v>421</v>
      </c>
      <c r="Y158" s="12"/>
      <c r="Z158" s="12">
        <f t="shared" si="38"/>
        <v>25.900000000000006</v>
      </c>
      <c r="AA158" s="12"/>
      <c r="AB158" s="12">
        <f t="shared" si="38"/>
        <v>29900</v>
      </c>
      <c r="AC158" s="12"/>
      <c r="AD158" s="12">
        <f t="shared" si="38"/>
        <v>126000</v>
      </c>
      <c r="AE158" s="12"/>
      <c r="AF158" s="12">
        <f t="shared" si="38"/>
        <v>95500</v>
      </c>
      <c r="AG158" s="12">
        <v>45000</v>
      </c>
      <c r="AH158" s="12">
        <f t="shared" si="39"/>
        <v>540000</v>
      </c>
      <c r="AI158" s="12"/>
      <c r="AJ158" s="12">
        <f t="shared" si="34"/>
        <v>766000</v>
      </c>
    </row>
    <row r="159" spans="23:36" x14ac:dyDescent="0.2">
      <c r="W159" s="27" t="str">
        <f>TRUNC((X159+6)*10/80)&amp;"-"&amp;((X159+6)/8-TRUNC((X159+6)/8))*80</f>
        <v>53-60</v>
      </c>
      <c r="X159" s="12">
        <v>424</v>
      </c>
      <c r="Y159" s="12"/>
      <c r="Z159" s="12">
        <f t="shared" si="38"/>
        <v>25.900000000000006</v>
      </c>
      <c r="AA159" s="12"/>
      <c r="AB159" s="12">
        <f t="shared" si="38"/>
        <v>29900</v>
      </c>
      <c r="AC159" s="12"/>
      <c r="AD159" s="12">
        <f t="shared" si="38"/>
        <v>126000</v>
      </c>
      <c r="AE159" s="12"/>
      <c r="AF159" s="12">
        <f t="shared" si="38"/>
        <v>95500</v>
      </c>
      <c r="AG159" s="12"/>
      <c r="AH159" s="12">
        <f t="shared" si="39"/>
        <v>540000</v>
      </c>
      <c r="AI159" s="12">
        <v>70000</v>
      </c>
      <c r="AJ159" s="12">
        <f t="shared" si="34"/>
        <v>836000</v>
      </c>
    </row>
    <row r="160" spans="23:36" x14ac:dyDescent="0.2">
      <c r="W160" s="27" t="str">
        <f>TRUNC((X160+6)*10/80)&amp;"-"&amp;((X160+6)/8-TRUNC((X160+6)/8))*80</f>
        <v>54-10</v>
      </c>
      <c r="X160" s="12">
        <v>427</v>
      </c>
      <c r="Y160" s="58">
        <v>2.4</v>
      </c>
      <c r="Z160" s="12">
        <f t="shared" si="33"/>
        <v>28.300000000000004</v>
      </c>
      <c r="AA160" s="12"/>
      <c r="AB160" s="12">
        <f t="shared" si="33"/>
        <v>29900</v>
      </c>
      <c r="AC160" s="12"/>
      <c r="AD160" s="12">
        <f t="shared" si="33"/>
        <v>126000</v>
      </c>
      <c r="AE160" s="12"/>
      <c r="AF160" s="12">
        <f t="shared" si="33"/>
        <v>95500</v>
      </c>
      <c r="AG160" s="12"/>
      <c r="AH160" s="12">
        <f t="shared" si="34"/>
        <v>540000</v>
      </c>
      <c r="AI160" s="12"/>
      <c r="AJ160" s="12">
        <f t="shared" si="34"/>
        <v>836000</v>
      </c>
    </row>
    <row r="161" spans="23:36" x14ac:dyDescent="0.2">
      <c r="W161" s="27" t="str">
        <f>TRUNC((X161+6)*10/80)&amp;"-"&amp;((X161+6)/8-TRUNC((X161+6)/8))*80</f>
        <v>54-40</v>
      </c>
      <c r="X161" s="12">
        <v>430</v>
      </c>
      <c r="Y161" s="12"/>
      <c r="Z161" s="12">
        <f t="shared" si="33"/>
        <v>28.300000000000004</v>
      </c>
      <c r="AA161" s="12">
        <v>3000</v>
      </c>
      <c r="AB161" s="12">
        <f t="shared" si="33"/>
        <v>32900</v>
      </c>
      <c r="AC161" s="12"/>
      <c r="AD161" s="12">
        <f t="shared" si="33"/>
        <v>126000</v>
      </c>
      <c r="AE161" s="12"/>
      <c r="AF161" s="12">
        <f t="shared" si="33"/>
        <v>95500</v>
      </c>
      <c r="AG161" s="12"/>
      <c r="AH161" s="12">
        <f t="shared" si="34"/>
        <v>540000</v>
      </c>
      <c r="AI161" s="12"/>
      <c r="AJ161" s="12">
        <f t="shared" si="34"/>
        <v>836000</v>
      </c>
    </row>
    <row r="162" spans="23:36" x14ac:dyDescent="0.2">
      <c r="W162" s="27" t="str">
        <f>TRUNC((X162+6)*10/80)&amp;"-"&amp;((X162+6)/8-TRUNC((X162+6)/8))*80</f>
        <v>54-70</v>
      </c>
      <c r="X162" s="12">
        <v>433</v>
      </c>
      <c r="Y162" s="12"/>
      <c r="Z162" s="12">
        <f t="shared" si="33"/>
        <v>28.300000000000004</v>
      </c>
      <c r="AA162" s="12"/>
      <c r="AB162" s="12">
        <f t="shared" si="33"/>
        <v>32900</v>
      </c>
      <c r="AC162" s="12">
        <v>12600</v>
      </c>
      <c r="AD162" s="12">
        <f t="shared" si="33"/>
        <v>138600</v>
      </c>
      <c r="AE162" s="12"/>
      <c r="AF162" s="12">
        <f t="shared" si="33"/>
        <v>95500</v>
      </c>
      <c r="AG162" s="12"/>
      <c r="AH162" s="12">
        <f t="shared" si="34"/>
        <v>540000</v>
      </c>
      <c r="AI162" s="12"/>
      <c r="AJ162" s="12">
        <f t="shared" si="34"/>
        <v>836000</v>
      </c>
    </row>
    <row r="163" spans="23:36" x14ac:dyDescent="0.2">
      <c r="W163" s="27" t="str">
        <f>TRUNC((X163+6)*10/80)&amp;"-"&amp;((X163+6)/8-TRUNC((X163+6)/8))*80</f>
        <v>55-20</v>
      </c>
      <c r="X163" s="12">
        <v>436</v>
      </c>
      <c r="Y163" s="12"/>
      <c r="Z163" s="12">
        <f t="shared" si="33"/>
        <v>28.300000000000004</v>
      </c>
      <c r="AA163" s="12"/>
      <c r="AB163" s="12">
        <f t="shared" si="33"/>
        <v>32900</v>
      </c>
      <c r="AC163" s="12"/>
      <c r="AD163" s="12">
        <f t="shared" si="33"/>
        <v>138600</v>
      </c>
      <c r="AE163" s="12">
        <v>9600</v>
      </c>
      <c r="AF163" s="12">
        <f t="shared" si="33"/>
        <v>105100</v>
      </c>
      <c r="AG163" s="12"/>
      <c r="AH163" s="12">
        <f t="shared" si="34"/>
        <v>540000</v>
      </c>
      <c r="AI163" s="12"/>
      <c r="AJ163" s="12">
        <f t="shared" si="34"/>
        <v>836000</v>
      </c>
    </row>
    <row r="164" spans="23:36" x14ac:dyDescent="0.2">
      <c r="W164" s="27" t="str">
        <f>TRUNC((X164+6)*10/80)&amp;"-"&amp;((X164+6)/8-TRUNC((X164+6)/8))*80</f>
        <v>55-50</v>
      </c>
      <c r="X164" s="12">
        <v>439</v>
      </c>
      <c r="Y164" s="12"/>
      <c r="Z164" s="12">
        <f t="shared" si="33"/>
        <v>28.300000000000004</v>
      </c>
      <c r="AA164" s="12"/>
      <c r="AB164" s="12">
        <f t="shared" si="33"/>
        <v>32900</v>
      </c>
      <c r="AC164" s="12"/>
      <c r="AD164" s="12">
        <f t="shared" si="33"/>
        <v>138600</v>
      </c>
      <c r="AE164" s="12"/>
      <c r="AF164" s="12">
        <f t="shared" si="33"/>
        <v>105100</v>
      </c>
      <c r="AG164" s="12">
        <v>54000</v>
      </c>
      <c r="AH164" s="12">
        <f t="shared" si="34"/>
        <v>594000</v>
      </c>
      <c r="AI164" s="12"/>
      <c r="AJ164" s="12">
        <f t="shared" si="34"/>
        <v>836000</v>
      </c>
    </row>
    <row r="165" spans="23:36" x14ac:dyDescent="0.2">
      <c r="W165" s="27" t="str">
        <f>TRUNC((X165+6)*10/80)&amp;"-"&amp;((X165+6)/8-TRUNC((X165+6)/8))*80</f>
        <v>56-0</v>
      </c>
      <c r="X165" s="12">
        <v>442</v>
      </c>
      <c r="Y165" s="12"/>
      <c r="Z165" s="12">
        <f t="shared" si="33"/>
        <v>28.300000000000004</v>
      </c>
      <c r="AA165" s="12"/>
      <c r="AB165" s="12">
        <f t="shared" si="33"/>
        <v>32900</v>
      </c>
      <c r="AC165" s="12"/>
      <c r="AD165" s="12">
        <f t="shared" si="33"/>
        <v>138600</v>
      </c>
      <c r="AE165" s="12"/>
      <c r="AF165" s="12">
        <f t="shared" si="33"/>
        <v>105100</v>
      </c>
      <c r="AG165" s="12"/>
      <c r="AH165" s="12">
        <f t="shared" si="34"/>
        <v>594000</v>
      </c>
      <c r="AI165" s="12">
        <v>84000</v>
      </c>
      <c r="AJ165" s="12">
        <f t="shared" si="34"/>
        <v>920000</v>
      </c>
    </row>
    <row r="166" spans="23:36" x14ac:dyDescent="0.2">
      <c r="W166" s="27" t="str">
        <f>TRUNC((X166+6)*10/80)&amp;"-"&amp;((X166+6)/8-TRUNC((X166+6)/8))*80</f>
        <v>56-30</v>
      </c>
      <c r="X166" s="12">
        <v>445</v>
      </c>
      <c r="Y166" s="58">
        <v>2.4</v>
      </c>
      <c r="Z166" s="12">
        <f t="shared" ref="Z166:AF171" si="40">Y166+Z165</f>
        <v>30.700000000000003</v>
      </c>
      <c r="AA166" s="12"/>
      <c r="AB166" s="12">
        <f t="shared" si="40"/>
        <v>32900</v>
      </c>
      <c r="AC166" s="12"/>
      <c r="AD166" s="12">
        <f t="shared" si="40"/>
        <v>138600</v>
      </c>
      <c r="AE166" s="12"/>
      <c r="AF166" s="12">
        <f t="shared" si="40"/>
        <v>105100</v>
      </c>
      <c r="AG166" s="12"/>
      <c r="AH166" s="12">
        <f t="shared" ref="AH166:AH171" si="41">AG166+AH165</f>
        <v>594000</v>
      </c>
      <c r="AI166" s="12"/>
      <c r="AJ166" s="12">
        <f t="shared" si="34"/>
        <v>920000</v>
      </c>
    </row>
    <row r="167" spans="23:36" x14ac:dyDescent="0.2">
      <c r="W167" s="27" t="str">
        <f>TRUNC((X167+6)*10/80)&amp;"-"&amp;((X167+6)/8-TRUNC((X167+6)/8))*80</f>
        <v>56-60</v>
      </c>
      <c r="X167" s="12">
        <v>448</v>
      </c>
      <c r="Y167" s="12"/>
      <c r="Z167" s="12">
        <f t="shared" si="40"/>
        <v>30.700000000000003</v>
      </c>
      <c r="AA167" s="12">
        <v>3000</v>
      </c>
      <c r="AB167" s="12">
        <f t="shared" si="40"/>
        <v>35900</v>
      </c>
      <c r="AC167" s="12"/>
      <c r="AD167" s="12">
        <f t="shared" si="40"/>
        <v>138600</v>
      </c>
      <c r="AE167" s="12"/>
      <c r="AF167" s="12">
        <f t="shared" si="40"/>
        <v>105100</v>
      </c>
      <c r="AG167" s="12"/>
      <c r="AH167" s="12">
        <f t="shared" si="41"/>
        <v>594000</v>
      </c>
      <c r="AI167" s="12"/>
      <c r="AJ167" s="12">
        <f t="shared" si="34"/>
        <v>920000</v>
      </c>
    </row>
    <row r="168" spans="23:36" x14ac:dyDescent="0.2">
      <c r="W168" s="27" t="str">
        <f>TRUNC((X168+6)*10/80)&amp;"-"&amp;((X168+6)/8-TRUNC((X168+6)/8))*80</f>
        <v>57-10</v>
      </c>
      <c r="X168" s="12">
        <v>451</v>
      </c>
      <c r="Y168" s="12"/>
      <c r="Z168" s="12">
        <f t="shared" si="40"/>
        <v>30.700000000000003</v>
      </c>
      <c r="AA168" s="12"/>
      <c r="AB168" s="12">
        <f t="shared" si="40"/>
        <v>35900</v>
      </c>
      <c r="AC168" s="12">
        <v>12600</v>
      </c>
      <c r="AD168" s="12">
        <f t="shared" si="40"/>
        <v>151200</v>
      </c>
      <c r="AE168" s="12"/>
      <c r="AF168" s="12">
        <f t="shared" si="40"/>
        <v>105100</v>
      </c>
      <c r="AG168" s="12"/>
      <c r="AH168" s="12">
        <f t="shared" si="41"/>
        <v>594000</v>
      </c>
      <c r="AI168" s="12"/>
      <c r="AJ168" s="12">
        <f t="shared" si="34"/>
        <v>920000</v>
      </c>
    </row>
    <row r="169" spans="23:36" x14ac:dyDescent="0.2">
      <c r="W169" s="27" t="str">
        <f>TRUNC((X169+6)*10/80)&amp;"-"&amp;((X169+6)/8-TRUNC((X169+6)/8))*80</f>
        <v>57-40</v>
      </c>
      <c r="X169" s="12">
        <v>454</v>
      </c>
      <c r="Y169" s="12"/>
      <c r="Z169" s="12">
        <f t="shared" si="40"/>
        <v>30.700000000000003</v>
      </c>
      <c r="AA169" s="12"/>
      <c r="AB169" s="12">
        <f t="shared" si="40"/>
        <v>35900</v>
      </c>
      <c r="AC169" s="12"/>
      <c r="AD169" s="12">
        <f t="shared" si="40"/>
        <v>151200</v>
      </c>
      <c r="AE169" s="12">
        <v>9600</v>
      </c>
      <c r="AF169" s="12">
        <f t="shared" si="40"/>
        <v>114700</v>
      </c>
      <c r="AG169" s="12"/>
      <c r="AH169" s="12">
        <f t="shared" si="41"/>
        <v>594000</v>
      </c>
      <c r="AI169" s="12"/>
      <c r="AJ169" s="12">
        <f t="shared" si="34"/>
        <v>920000</v>
      </c>
    </row>
    <row r="170" spans="23:36" x14ac:dyDescent="0.2">
      <c r="W170" s="27" t="str">
        <f>TRUNC((X170+6)*10/80)&amp;"-"&amp;((X170+6)/8-TRUNC((X170+6)/8))*80</f>
        <v>57-70</v>
      </c>
      <c r="X170" s="12">
        <v>457</v>
      </c>
      <c r="Y170" s="12"/>
      <c r="Z170" s="12">
        <f t="shared" si="40"/>
        <v>30.700000000000003</v>
      </c>
      <c r="AA170" s="12"/>
      <c r="AB170" s="12">
        <f t="shared" si="40"/>
        <v>35900</v>
      </c>
      <c r="AC170" s="12"/>
      <c r="AD170" s="12">
        <f t="shared" si="40"/>
        <v>151200</v>
      </c>
      <c r="AE170" s="12"/>
      <c r="AF170" s="12">
        <f t="shared" si="40"/>
        <v>114700</v>
      </c>
      <c r="AG170" s="12">
        <v>54000</v>
      </c>
      <c r="AH170" s="12">
        <f t="shared" si="41"/>
        <v>648000</v>
      </c>
      <c r="AI170" s="12"/>
      <c r="AJ170" s="12">
        <f t="shared" si="34"/>
        <v>920000</v>
      </c>
    </row>
    <row r="171" spans="23:36" x14ac:dyDescent="0.2">
      <c r="W171" s="27" t="str">
        <f>TRUNC((X171+6)*10/80)&amp;"-"&amp;((X171+6)/8-TRUNC((X171+6)/8))*80</f>
        <v>58-20</v>
      </c>
      <c r="X171" s="12">
        <v>460</v>
      </c>
      <c r="Y171" s="12"/>
      <c r="Z171" s="12">
        <f t="shared" si="40"/>
        <v>30.700000000000003</v>
      </c>
      <c r="AA171" s="12"/>
      <c r="AB171" s="12">
        <f t="shared" si="40"/>
        <v>35900</v>
      </c>
      <c r="AC171" s="12"/>
      <c r="AD171" s="12">
        <f t="shared" si="40"/>
        <v>151200</v>
      </c>
      <c r="AE171" s="12"/>
      <c r="AF171" s="12">
        <f t="shared" si="40"/>
        <v>114700</v>
      </c>
      <c r="AG171" s="12"/>
      <c r="AH171" s="12">
        <f t="shared" si="41"/>
        <v>648000</v>
      </c>
      <c r="AI171" s="12">
        <v>84000</v>
      </c>
      <c r="AJ171" s="12">
        <f t="shared" si="34"/>
        <v>1004000</v>
      </c>
    </row>
    <row r="172" spans="23:36" x14ac:dyDescent="0.2">
      <c r="W172" s="27" t="str">
        <f>TRUNC((X172+6)*10/80)&amp;"-"&amp;((X172+6)/8-TRUNC((X172+6)/8))*80</f>
        <v>58-50</v>
      </c>
      <c r="X172" s="12">
        <v>463</v>
      </c>
      <c r="Y172" s="58">
        <v>3</v>
      </c>
      <c r="Z172" s="12">
        <f t="shared" si="33"/>
        <v>33.700000000000003</v>
      </c>
      <c r="AA172" s="12"/>
      <c r="AB172" s="12">
        <f t="shared" si="33"/>
        <v>35900</v>
      </c>
      <c r="AC172" s="12"/>
      <c r="AD172" s="12">
        <f t="shared" si="33"/>
        <v>151200</v>
      </c>
      <c r="AE172" s="12"/>
      <c r="AF172" s="12">
        <f t="shared" si="33"/>
        <v>114700</v>
      </c>
      <c r="AG172" s="12"/>
      <c r="AH172" s="12">
        <f t="shared" si="34"/>
        <v>648000</v>
      </c>
      <c r="AI172" s="12"/>
      <c r="AJ172" s="12">
        <f t="shared" si="34"/>
        <v>1004000</v>
      </c>
    </row>
    <row r="173" spans="23:36" x14ac:dyDescent="0.2">
      <c r="W173" s="27" t="str">
        <f>TRUNC((X173+6)*10/80)&amp;"-"&amp;((X173+6)/8-TRUNC((X173+6)/8))*80</f>
        <v>59-0</v>
      </c>
      <c r="X173" s="12">
        <v>466</v>
      </c>
      <c r="Y173" s="12"/>
      <c r="Z173" s="12">
        <f t="shared" si="33"/>
        <v>33.700000000000003</v>
      </c>
      <c r="AA173" s="12">
        <v>4000</v>
      </c>
      <c r="AB173" s="12">
        <f t="shared" si="33"/>
        <v>39900</v>
      </c>
      <c r="AC173" s="12"/>
      <c r="AD173" s="12">
        <f t="shared" si="33"/>
        <v>151200</v>
      </c>
      <c r="AE173" s="12"/>
      <c r="AF173" s="12">
        <f t="shared" si="33"/>
        <v>114700</v>
      </c>
      <c r="AG173" s="12"/>
      <c r="AH173" s="12">
        <f t="shared" si="34"/>
        <v>648000</v>
      </c>
      <c r="AI173" s="12"/>
      <c r="AJ173" s="12">
        <f t="shared" si="34"/>
        <v>1004000</v>
      </c>
    </row>
    <row r="174" spans="23:36" x14ac:dyDescent="0.2">
      <c r="W174" s="27" t="str">
        <f>TRUNC((X174+6)*10/80)&amp;"-"&amp;((X174+6)/8-TRUNC((X174+6)/8))*80</f>
        <v>59-30</v>
      </c>
      <c r="X174" s="12">
        <v>469</v>
      </c>
      <c r="Y174" s="12"/>
      <c r="Z174" s="12">
        <f t="shared" si="33"/>
        <v>33.700000000000003</v>
      </c>
      <c r="AA174" s="12"/>
      <c r="AB174" s="12">
        <f t="shared" si="33"/>
        <v>39900</v>
      </c>
      <c r="AC174" s="12">
        <v>17000</v>
      </c>
      <c r="AD174" s="12">
        <f t="shared" si="33"/>
        <v>168200</v>
      </c>
      <c r="AE174" s="12"/>
      <c r="AF174" s="12">
        <f t="shared" si="33"/>
        <v>114700</v>
      </c>
      <c r="AG174" s="12"/>
      <c r="AH174" s="12">
        <f t="shared" si="34"/>
        <v>648000</v>
      </c>
      <c r="AI174" s="12"/>
      <c r="AJ174" s="12">
        <f t="shared" si="34"/>
        <v>1004000</v>
      </c>
    </row>
    <row r="175" spans="23:36" x14ac:dyDescent="0.2">
      <c r="W175" s="27" t="str">
        <f>TRUNC((X175+6)*10/80)&amp;"-"&amp;((X175+6)/8-TRUNC((X175+6)/8))*80</f>
        <v>59-60</v>
      </c>
      <c r="X175" s="12">
        <v>472</v>
      </c>
      <c r="Y175" s="12"/>
      <c r="Z175" s="12">
        <f t="shared" si="33"/>
        <v>33.700000000000003</v>
      </c>
      <c r="AA175" s="12"/>
      <c r="AB175" s="12">
        <f t="shared" si="33"/>
        <v>39900</v>
      </c>
      <c r="AC175" s="12"/>
      <c r="AD175" s="12">
        <f t="shared" si="33"/>
        <v>168200</v>
      </c>
      <c r="AE175" s="12">
        <v>12800</v>
      </c>
      <c r="AF175" s="12">
        <f t="shared" si="33"/>
        <v>127500</v>
      </c>
      <c r="AG175" s="12"/>
      <c r="AH175" s="12">
        <f t="shared" si="34"/>
        <v>648000</v>
      </c>
      <c r="AI175" s="12"/>
      <c r="AJ175" s="12">
        <f t="shared" si="34"/>
        <v>1004000</v>
      </c>
    </row>
    <row r="176" spans="23:36" x14ac:dyDescent="0.2">
      <c r="W176" s="27" t="str">
        <f>TRUNC((X176+6)*10/80)&amp;"-"&amp;((X176+6)/8-TRUNC((X176+6)/8))*80</f>
        <v>60-10</v>
      </c>
      <c r="X176" s="12">
        <v>475</v>
      </c>
      <c r="Y176" s="12"/>
      <c r="Z176" s="12">
        <f t="shared" si="33"/>
        <v>33.700000000000003</v>
      </c>
      <c r="AA176" s="12"/>
      <c r="AB176" s="12">
        <f t="shared" si="33"/>
        <v>39900</v>
      </c>
      <c r="AC176" s="12"/>
      <c r="AD176" s="12">
        <f t="shared" si="33"/>
        <v>168200</v>
      </c>
      <c r="AE176" s="12"/>
      <c r="AF176" s="12">
        <f t="shared" si="33"/>
        <v>127500</v>
      </c>
      <c r="AG176" s="12">
        <v>72000</v>
      </c>
      <c r="AH176" s="12">
        <f t="shared" si="34"/>
        <v>720000</v>
      </c>
      <c r="AI176" s="12"/>
      <c r="AJ176" s="12">
        <f t="shared" si="34"/>
        <v>1004000</v>
      </c>
    </row>
    <row r="177" spans="23:36" x14ac:dyDescent="0.2">
      <c r="W177" s="27" t="str">
        <f>TRUNC((X177+6)*10/80)&amp;"-"&amp;((X177+6)/8-TRUNC((X177+6)/8))*80</f>
        <v>60-40</v>
      </c>
      <c r="X177" s="12">
        <v>478</v>
      </c>
      <c r="Y177" s="12"/>
      <c r="Z177" s="12">
        <f t="shared" si="33"/>
        <v>33.700000000000003</v>
      </c>
      <c r="AA177" s="12"/>
      <c r="AB177" s="12">
        <f t="shared" si="33"/>
        <v>39900</v>
      </c>
      <c r="AC177" s="12"/>
      <c r="AD177" s="12">
        <f t="shared" si="33"/>
        <v>168200</v>
      </c>
      <c r="AE177" s="12"/>
      <c r="AF177" s="12">
        <f t="shared" si="33"/>
        <v>127500</v>
      </c>
      <c r="AG177" s="12"/>
      <c r="AH177" s="12">
        <f t="shared" si="34"/>
        <v>720000</v>
      </c>
      <c r="AI177" s="12">
        <v>115000</v>
      </c>
      <c r="AJ177" s="12">
        <f t="shared" si="34"/>
        <v>1119000</v>
      </c>
    </row>
    <row r="178" spans="23:36" x14ac:dyDescent="0.2">
      <c r="W178" s="27" t="str">
        <f>TRUNC((X178+6)*10/80)&amp;"-"&amp;((X178+6)/8-TRUNC((X178+6)/8))*80</f>
        <v>60-70</v>
      </c>
      <c r="X178" s="12">
        <v>481</v>
      </c>
      <c r="Y178" s="58">
        <v>3</v>
      </c>
      <c r="Z178" s="12">
        <f t="shared" ref="Z178:AF183" si="42">Y178+Z177</f>
        <v>36.700000000000003</v>
      </c>
      <c r="AA178" s="12"/>
      <c r="AB178" s="12">
        <f t="shared" si="42"/>
        <v>39900</v>
      </c>
      <c r="AC178" s="12"/>
      <c r="AD178" s="12">
        <f t="shared" si="42"/>
        <v>168200</v>
      </c>
      <c r="AE178" s="12"/>
      <c r="AF178" s="12">
        <f t="shared" si="42"/>
        <v>127500</v>
      </c>
      <c r="AG178" s="12"/>
      <c r="AH178" s="12">
        <f t="shared" ref="AH178:AH183" si="43">AG178+AH177</f>
        <v>720000</v>
      </c>
      <c r="AI178" s="12"/>
      <c r="AJ178" s="12">
        <f t="shared" si="34"/>
        <v>1119000</v>
      </c>
    </row>
    <row r="179" spans="23:36" x14ac:dyDescent="0.2">
      <c r="W179" s="27" t="str">
        <f>TRUNC((X179+6)*10/80)&amp;"-"&amp;((X179+6)/8-TRUNC((X179+6)/8))*80</f>
        <v>61-20</v>
      </c>
      <c r="X179" s="12">
        <v>484</v>
      </c>
      <c r="Y179" s="12"/>
      <c r="Z179" s="12">
        <f t="shared" si="42"/>
        <v>36.700000000000003</v>
      </c>
      <c r="AA179" s="12">
        <v>4000</v>
      </c>
      <c r="AB179" s="12">
        <f t="shared" si="42"/>
        <v>43900</v>
      </c>
      <c r="AC179" s="12"/>
      <c r="AD179" s="12">
        <f t="shared" si="42"/>
        <v>168200</v>
      </c>
      <c r="AE179" s="12"/>
      <c r="AF179" s="12">
        <f t="shared" si="42"/>
        <v>127500</v>
      </c>
      <c r="AG179" s="12"/>
      <c r="AH179" s="12">
        <f t="shared" si="43"/>
        <v>720000</v>
      </c>
      <c r="AI179" s="12"/>
      <c r="AJ179" s="12">
        <f t="shared" si="34"/>
        <v>1119000</v>
      </c>
    </row>
    <row r="180" spans="23:36" x14ac:dyDescent="0.2">
      <c r="W180" s="27" t="str">
        <f>TRUNC((X180+6)*10/80)&amp;"-"&amp;((X180+6)/8-TRUNC((X180+6)/8))*80</f>
        <v>61-50</v>
      </c>
      <c r="X180" s="12">
        <v>487</v>
      </c>
      <c r="Y180" s="12"/>
      <c r="Z180" s="12">
        <f t="shared" si="42"/>
        <v>36.700000000000003</v>
      </c>
      <c r="AA180" s="12"/>
      <c r="AB180" s="12">
        <f t="shared" si="42"/>
        <v>43900</v>
      </c>
      <c r="AC180" s="12">
        <v>17000</v>
      </c>
      <c r="AD180" s="12">
        <f t="shared" si="42"/>
        <v>185200</v>
      </c>
      <c r="AE180" s="12"/>
      <c r="AF180" s="12">
        <f t="shared" si="42"/>
        <v>127500</v>
      </c>
      <c r="AG180" s="12"/>
      <c r="AH180" s="12">
        <f t="shared" si="43"/>
        <v>720000</v>
      </c>
      <c r="AI180" s="12"/>
      <c r="AJ180" s="12">
        <f t="shared" si="34"/>
        <v>1119000</v>
      </c>
    </row>
    <row r="181" spans="23:36" x14ac:dyDescent="0.2">
      <c r="W181" s="27" t="str">
        <f>TRUNC((X181+6)*10/80)&amp;"-"&amp;((X181+6)/8-TRUNC((X181+6)/8))*80</f>
        <v>62-0</v>
      </c>
      <c r="X181" s="12">
        <v>490</v>
      </c>
      <c r="Y181" s="12"/>
      <c r="Z181" s="12">
        <f t="shared" si="42"/>
        <v>36.700000000000003</v>
      </c>
      <c r="AA181" s="12"/>
      <c r="AB181" s="12">
        <f t="shared" si="42"/>
        <v>43900</v>
      </c>
      <c r="AC181" s="12"/>
      <c r="AD181" s="12">
        <f t="shared" si="42"/>
        <v>185200</v>
      </c>
      <c r="AE181" s="12">
        <v>12800</v>
      </c>
      <c r="AF181" s="12">
        <f t="shared" si="42"/>
        <v>140300</v>
      </c>
      <c r="AG181" s="12"/>
      <c r="AH181" s="12">
        <f t="shared" si="43"/>
        <v>720000</v>
      </c>
      <c r="AI181" s="12"/>
      <c r="AJ181" s="12">
        <f t="shared" si="34"/>
        <v>1119000</v>
      </c>
    </row>
    <row r="182" spans="23:36" x14ac:dyDescent="0.2">
      <c r="W182" s="27" t="str">
        <f>TRUNC((X182+6)*10/80)&amp;"-"&amp;((X182+6)/8-TRUNC((X182+6)/8))*80</f>
        <v>62-30</v>
      </c>
      <c r="X182" s="12">
        <v>493</v>
      </c>
      <c r="Y182" s="12"/>
      <c r="Z182" s="12">
        <f t="shared" si="42"/>
        <v>36.700000000000003</v>
      </c>
      <c r="AA182" s="12"/>
      <c r="AB182" s="12">
        <f t="shared" si="42"/>
        <v>43900</v>
      </c>
      <c r="AC182" s="12"/>
      <c r="AD182" s="12">
        <f t="shared" si="42"/>
        <v>185200</v>
      </c>
      <c r="AE182" s="12"/>
      <c r="AF182" s="12">
        <f t="shared" si="42"/>
        <v>140300</v>
      </c>
      <c r="AG182" s="12">
        <v>72000</v>
      </c>
      <c r="AH182" s="12">
        <f t="shared" si="43"/>
        <v>792000</v>
      </c>
      <c r="AI182" s="12"/>
      <c r="AJ182" s="12">
        <f t="shared" si="34"/>
        <v>1119000</v>
      </c>
    </row>
    <row r="183" spans="23:36" x14ac:dyDescent="0.2">
      <c r="W183" s="27" t="str">
        <f>TRUNC((X183+6)*10/80)&amp;"-"&amp;((X183+6)/8-TRUNC((X183+6)/8))*80</f>
        <v>62-60</v>
      </c>
      <c r="X183" s="12">
        <v>496</v>
      </c>
      <c r="Y183" s="12"/>
      <c r="Z183" s="12">
        <f t="shared" si="42"/>
        <v>36.700000000000003</v>
      </c>
      <c r="AA183" s="12"/>
      <c r="AB183" s="12">
        <f t="shared" si="42"/>
        <v>43900</v>
      </c>
      <c r="AC183" s="12"/>
      <c r="AD183" s="12">
        <f t="shared" si="42"/>
        <v>185200</v>
      </c>
      <c r="AE183" s="12"/>
      <c r="AF183" s="12">
        <f t="shared" si="42"/>
        <v>140300</v>
      </c>
      <c r="AG183" s="12"/>
      <c r="AH183" s="12">
        <f t="shared" si="43"/>
        <v>792000</v>
      </c>
      <c r="AI183" s="12">
        <v>115000</v>
      </c>
      <c r="AJ183" s="12">
        <f t="shared" si="34"/>
        <v>1234000</v>
      </c>
    </row>
    <row r="184" spans="23:36" x14ac:dyDescent="0.2">
      <c r="W184" s="27" t="str">
        <f>TRUNC((X184+6)*10/80)&amp;"-"&amp;((X184+6)/8-TRUNC((X184+6)/8))*80</f>
        <v>63-10</v>
      </c>
      <c r="X184" s="12">
        <v>499</v>
      </c>
      <c r="Y184" s="58">
        <v>1.5</v>
      </c>
      <c r="Z184" s="12">
        <f t="shared" si="33"/>
        <v>38.200000000000003</v>
      </c>
      <c r="AA184" s="12"/>
      <c r="AB184" s="12">
        <f t="shared" si="33"/>
        <v>43900</v>
      </c>
      <c r="AC184" s="12"/>
      <c r="AD184" s="12">
        <f t="shared" si="33"/>
        <v>185200</v>
      </c>
      <c r="AE184" s="12"/>
      <c r="AF184" s="12">
        <f t="shared" si="33"/>
        <v>140300</v>
      </c>
      <c r="AG184" s="12"/>
      <c r="AH184" s="12">
        <f t="shared" si="34"/>
        <v>792000</v>
      </c>
      <c r="AI184" s="12"/>
      <c r="AJ184" s="12">
        <f t="shared" si="34"/>
        <v>1234000</v>
      </c>
    </row>
    <row r="185" spans="23:36" x14ac:dyDescent="0.2">
      <c r="W185" s="27" t="str">
        <f>TRUNC((X185+6)*10/80)&amp;"-"&amp;((X185+6)/8-TRUNC((X185+6)/8))*80</f>
        <v>63-40</v>
      </c>
      <c r="X185" s="12">
        <v>502</v>
      </c>
      <c r="Y185" s="12"/>
      <c r="Z185" s="12">
        <f t="shared" si="33"/>
        <v>38.200000000000003</v>
      </c>
      <c r="AA185" s="12">
        <v>4000</v>
      </c>
      <c r="AB185" s="12">
        <f t="shared" ref="AB185:AB190" si="44">AA185+AB184</f>
        <v>47900</v>
      </c>
      <c r="AC185" s="12"/>
      <c r="AD185" s="12">
        <f t="shared" ref="AD185:AD190" si="45">AC185+AD184</f>
        <v>185200</v>
      </c>
      <c r="AE185" s="12"/>
      <c r="AF185" s="12">
        <f t="shared" ref="AF185:AF190" si="46">AE185+AF184</f>
        <v>140300</v>
      </c>
      <c r="AG185" s="12"/>
      <c r="AH185" s="12">
        <f t="shared" si="34"/>
        <v>792000</v>
      </c>
      <c r="AI185" s="12"/>
      <c r="AJ185" s="12">
        <f t="shared" si="34"/>
        <v>1234000</v>
      </c>
    </row>
    <row r="186" spans="23:36" x14ac:dyDescent="0.2">
      <c r="W186" s="27" t="str">
        <f>TRUNC((X186+6)*10/80)&amp;"-"&amp;((X186+6)/8-TRUNC((X186+6)/8))*80</f>
        <v>63-70</v>
      </c>
      <c r="X186" s="12">
        <v>505</v>
      </c>
      <c r="Y186" s="12"/>
      <c r="Z186" s="12">
        <f t="shared" si="33"/>
        <v>38.200000000000003</v>
      </c>
      <c r="AA186" s="12"/>
      <c r="AB186" s="12">
        <f t="shared" si="44"/>
        <v>47900</v>
      </c>
      <c r="AC186" s="12">
        <v>17000</v>
      </c>
      <c r="AD186" s="12">
        <f t="shared" si="45"/>
        <v>202200</v>
      </c>
      <c r="AE186" s="12"/>
      <c r="AF186" s="12">
        <f t="shared" si="46"/>
        <v>140300</v>
      </c>
      <c r="AG186" s="12"/>
      <c r="AH186" s="12">
        <f t="shared" si="34"/>
        <v>792000</v>
      </c>
      <c r="AI186" s="12"/>
      <c r="AJ186" s="12">
        <f t="shared" si="34"/>
        <v>1234000</v>
      </c>
    </row>
    <row r="187" spans="23:36" x14ac:dyDescent="0.2">
      <c r="W187" s="27" t="str">
        <f>TRUNC((X187+6)*10/80)&amp;"-"&amp;((X187+6)/8-TRUNC((X187+6)/8))*80</f>
        <v>64-20</v>
      </c>
      <c r="X187" s="12">
        <v>508</v>
      </c>
      <c r="Y187" s="12"/>
      <c r="Z187" s="12">
        <f t="shared" si="33"/>
        <v>38.200000000000003</v>
      </c>
      <c r="AA187" s="12"/>
      <c r="AB187" s="12">
        <f t="shared" si="44"/>
        <v>47900</v>
      </c>
      <c r="AC187" s="12"/>
      <c r="AD187" s="12">
        <f t="shared" si="45"/>
        <v>202200</v>
      </c>
      <c r="AE187" s="12">
        <v>12800</v>
      </c>
      <c r="AF187" s="12">
        <f t="shared" si="46"/>
        <v>153100</v>
      </c>
      <c r="AG187" s="12"/>
      <c r="AH187" s="12">
        <f t="shared" si="34"/>
        <v>792000</v>
      </c>
      <c r="AI187" s="12"/>
      <c r="AJ187" s="12">
        <f t="shared" si="34"/>
        <v>1234000</v>
      </c>
    </row>
    <row r="188" spans="23:36" x14ac:dyDescent="0.2">
      <c r="W188" s="27" t="str">
        <f>TRUNC((X188+6)*10/80)&amp;"-"&amp;((X188+6)/8-TRUNC((X188+6)/8))*80</f>
        <v>64-50</v>
      </c>
      <c r="X188" s="12">
        <v>511</v>
      </c>
      <c r="Y188" s="12"/>
      <c r="Z188" s="12">
        <f t="shared" si="33"/>
        <v>38.200000000000003</v>
      </c>
      <c r="AA188" s="12"/>
      <c r="AB188" s="12">
        <f t="shared" si="44"/>
        <v>47900</v>
      </c>
      <c r="AC188" s="12"/>
      <c r="AD188" s="12">
        <f t="shared" si="45"/>
        <v>202200</v>
      </c>
      <c r="AE188" s="12"/>
      <c r="AF188" s="12">
        <f t="shared" si="46"/>
        <v>153100</v>
      </c>
      <c r="AG188" s="12">
        <v>72000</v>
      </c>
      <c r="AH188" s="12">
        <f t="shared" si="34"/>
        <v>864000</v>
      </c>
      <c r="AI188" s="12"/>
      <c r="AJ188" s="12">
        <f t="shared" si="34"/>
        <v>1234000</v>
      </c>
    </row>
    <row r="189" spans="23:36" x14ac:dyDescent="0.2">
      <c r="W189" s="27" t="str">
        <f>TRUNC((X189+6)*10/80)&amp;"-"&amp;((X189+6)/8-TRUNC((X189+6)/8))*80</f>
        <v>65-0</v>
      </c>
      <c r="X189" s="12">
        <v>514</v>
      </c>
      <c r="Y189" s="12"/>
      <c r="Z189" s="12">
        <f t="shared" si="33"/>
        <v>38.200000000000003</v>
      </c>
      <c r="AA189" s="12"/>
      <c r="AB189" s="12">
        <f t="shared" si="44"/>
        <v>47900</v>
      </c>
      <c r="AC189" s="12"/>
      <c r="AD189" s="12">
        <f t="shared" si="45"/>
        <v>202200</v>
      </c>
      <c r="AE189" s="12"/>
      <c r="AF189" s="12">
        <f t="shared" si="46"/>
        <v>153100</v>
      </c>
      <c r="AG189" s="12"/>
      <c r="AH189" s="12">
        <f t="shared" si="34"/>
        <v>864000</v>
      </c>
      <c r="AI189" s="12">
        <v>115000</v>
      </c>
      <c r="AJ189" s="12">
        <f t="shared" si="34"/>
        <v>1349000</v>
      </c>
    </row>
    <row r="190" spans="23:36" x14ac:dyDescent="0.2">
      <c r="W190" s="27" t="str">
        <f>TRUNC((X190+6)*10/80)&amp;"-"&amp;((X190+6)/8-TRUNC((X190+6)/8))*80</f>
        <v>65-30</v>
      </c>
      <c r="X190" s="12">
        <v>517</v>
      </c>
      <c r="Y190" s="58">
        <v>1.5</v>
      </c>
      <c r="Z190" s="12">
        <f t="shared" ref="Z190:Z213" si="47">Y190+Z189</f>
        <v>39.700000000000003</v>
      </c>
      <c r="AA190" s="12"/>
      <c r="AB190" s="12">
        <f t="shared" si="44"/>
        <v>47900</v>
      </c>
      <c r="AC190" s="12"/>
      <c r="AD190" s="12">
        <f t="shared" si="45"/>
        <v>202200</v>
      </c>
      <c r="AE190" s="12"/>
      <c r="AF190" s="12">
        <f t="shared" si="46"/>
        <v>153100</v>
      </c>
      <c r="AG190" s="12"/>
      <c r="AH190" s="12">
        <f t="shared" ref="AH190:AH213" si="48">AG190+AH189</f>
        <v>864000</v>
      </c>
      <c r="AI190" s="12"/>
      <c r="AJ190" s="12">
        <f t="shared" si="34"/>
        <v>1349000</v>
      </c>
    </row>
    <row r="191" spans="23:36" x14ac:dyDescent="0.2">
      <c r="W191" s="27" t="str">
        <f>TRUNC((X191+6)*10/80)&amp;"-"&amp;((X191+6)/8-TRUNC((X191+6)/8))*80</f>
        <v>65-60</v>
      </c>
      <c r="X191" s="12">
        <v>520</v>
      </c>
      <c r="Y191" s="12"/>
      <c r="Z191" s="12">
        <f t="shared" si="47"/>
        <v>39.700000000000003</v>
      </c>
      <c r="AA191" s="12">
        <v>4000</v>
      </c>
      <c r="AB191" s="12">
        <f t="shared" ref="AB191:AB213" si="49">AA191+AB190</f>
        <v>51900</v>
      </c>
      <c r="AC191" s="12"/>
      <c r="AD191" s="12">
        <f t="shared" ref="AD191:AD213" si="50">AC191+AD190</f>
        <v>202200</v>
      </c>
      <c r="AE191" s="12"/>
      <c r="AF191" s="12">
        <f t="shared" ref="AF191:AF213" si="51">AE191+AF190</f>
        <v>153100</v>
      </c>
      <c r="AG191" s="12"/>
      <c r="AH191" s="12">
        <f t="shared" si="48"/>
        <v>864000</v>
      </c>
      <c r="AI191" s="12"/>
      <c r="AJ191" s="12">
        <f t="shared" si="34"/>
        <v>1349000</v>
      </c>
    </row>
    <row r="192" spans="23:36" x14ac:dyDescent="0.2">
      <c r="W192" s="27" t="str">
        <f>TRUNC((X192+6)*10/80)&amp;"-"&amp;((X192+6)/8-TRUNC((X192+6)/8))*80</f>
        <v>66-10</v>
      </c>
      <c r="X192" s="12">
        <v>523</v>
      </c>
      <c r="Y192" s="12"/>
      <c r="Z192" s="12">
        <f t="shared" si="47"/>
        <v>39.700000000000003</v>
      </c>
      <c r="AA192" s="12"/>
      <c r="AB192" s="12">
        <f t="shared" si="49"/>
        <v>51900</v>
      </c>
      <c r="AC192" s="12">
        <v>17000</v>
      </c>
      <c r="AD192" s="12">
        <f t="shared" si="50"/>
        <v>219200</v>
      </c>
      <c r="AE192" s="12"/>
      <c r="AF192" s="12">
        <f t="shared" si="51"/>
        <v>153100</v>
      </c>
      <c r="AG192" s="12"/>
      <c r="AH192" s="12">
        <f t="shared" si="48"/>
        <v>864000</v>
      </c>
      <c r="AI192" s="12"/>
      <c r="AJ192" s="12">
        <f t="shared" si="34"/>
        <v>1349000</v>
      </c>
    </row>
    <row r="193" spans="23:36" x14ac:dyDescent="0.2">
      <c r="W193" s="27" t="str">
        <f>TRUNC((X193+6)*10/80)&amp;"-"&amp;((X193+6)/8-TRUNC((X193+6)/8))*80</f>
        <v>66-40</v>
      </c>
      <c r="X193" s="12">
        <v>526</v>
      </c>
      <c r="Y193" s="12"/>
      <c r="Z193" s="12">
        <f t="shared" si="47"/>
        <v>39.700000000000003</v>
      </c>
      <c r="AA193" s="12"/>
      <c r="AB193" s="12">
        <f t="shared" si="49"/>
        <v>51900</v>
      </c>
      <c r="AC193" s="12"/>
      <c r="AD193" s="12">
        <f t="shared" si="50"/>
        <v>219200</v>
      </c>
      <c r="AE193" s="12">
        <v>12800</v>
      </c>
      <c r="AF193" s="12">
        <f t="shared" si="51"/>
        <v>165900</v>
      </c>
      <c r="AG193" s="12"/>
      <c r="AH193" s="12">
        <f t="shared" si="48"/>
        <v>864000</v>
      </c>
      <c r="AI193" s="12"/>
      <c r="AJ193" s="12">
        <f t="shared" si="34"/>
        <v>1349000</v>
      </c>
    </row>
    <row r="194" spans="23:36" x14ac:dyDescent="0.2">
      <c r="W194" s="27" t="str">
        <f>TRUNC((X194+6)*10/80)&amp;"-"&amp;((X194+6)/8-TRUNC((X194+6)/8))*80</f>
        <v>66-70</v>
      </c>
      <c r="X194" s="12">
        <v>529</v>
      </c>
      <c r="Y194" s="12"/>
      <c r="Z194" s="12">
        <f t="shared" si="47"/>
        <v>39.700000000000003</v>
      </c>
      <c r="AA194" s="12"/>
      <c r="AB194" s="12">
        <f t="shared" si="49"/>
        <v>51900</v>
      </c>
      <c r="AC194" s="12"/>
      <c r="AD194" s="12">
        <f t="shared" si="50"/>
        <v>219200</v>
      </c>
      <c r="AE194" s="12"/>
      <c r="AF194" s="12">
        <f t="shared" si="51"/>
        <v>165900</v>
      </c>
      <c r="AG194" s="12">
        <v>72000</v>
      </c>
      <c r="AH194" s="12">
        <f t="shared" si="48"/>
        <v>936000</v>
      </c>
      <c r="AI194" s="12"/>
      <c r="AJ194" s="12">
        <f t="shared" si="34"/>
        <v>1349000</v>
      </c>
    </row>
    <row r="195" spans="23:36" x14ac:dyDescent="0.2">
      <c r="W195" s="27" t="str">
        <f>TRUNC((X195+6)*10/80)&amp;"-"&amp;((X195+6)/8-TRUNC((X195+6)/8))*80</f>
        <v>67-20</v>
      </c>
      <c r="X195" s="12">
        <v>532</v>
      </c>
      <c r="Y195" s="12"/>
      <c r="Z195" s="12">
        <f t="shared" si="47"/>
        <v>39.700000000000003</v>
      </c>
      <c r="AA195" s="12"/>
      <c r="AB195" s="12">
        <f t="shared" si="49"/>
        <v>51900</v>
      </c>
      <c r="AC195" s="12"/>
      <c r="AD195" s="12">
        <f t="shared" si="50"/>
        <v>219200</v>
      </c>
      <c r="AE195" s="12"/>
      <c r="AF195" s="12">
        <f t="shared" si="51"/>
        <v>165900</v>
      </c>
      <c r="AG195" s="12"/>
      <c r="AH195" s="12">
        <f t="shared" si="48"/>
        <v>936000</v>
      </c>
      <c r="AI195" s="12">
        <v>115000</v>
      </c>
      <c r="AJ195" s="12">
        <f t="shared" si="34"/>
        <v>1464000</v>
      </c>
    </row>
    <row r="196" spans="23:36" x14ac:dyDescent="0.2">
      <c r="W196" s="27" t="str">
        <f>TRUNC((X196+6)*10/80)&amp;"-"&amp;((X196+6)/8-TRUNC((X196+6)/8))*80</f>
        <v>67-50</v>
      </c>
      <c r="X196" s="12">
        <v>535</v>
      </c>
      <c r="Y196" s="58">
        <v>1.5</v>
      </c>
      <c r="Z196" s="12">
        <f t="shared" si="47"/>
        <v>41.2</v>
      </c>
      <c r="AA196" s="12"/>
      <c r="AB196" s="12">
        <f t="shared" si="49"/>
        <v>51900</v>
      </c>
      <c r="AC196" s="12"/>
      <c r="AD196" s="12">
        <f t="shared" si="50"/>
        <v>219200</v>
      </c>
      <c r="AE196" s="12"/>
      <c r="AF196" s="12">
        <f t="shared" si="51"/>
        <v>165900</v>
      </c>
      <c r="AG196" s="12"/>
      <c r="AH196" s="12">
        <f t="shared" si="48"/>
        <v>936000</v>
      </c>
      <c r="AI196" s="12"/>
      <c r="AJ196" s="12">
        <f t="shared" si="34"/>
        <v>1464000</v>
      </c>
    </row>
    <row r="197" spans="23:36" x14ac:dyDescent="0.2">
      <c r="W197" s="27" t="str">
        <f>TRUNC((X197+6)*10/80)&amp;"-"&amp;((X197+6)/8-TRUNC((X197+6)/8))*80</f>
        <v>68-0</v>
      </c>
      <c r="X197" s="12">
        <v>538</v>
      </c>
      <c r="Y197" s="12"/>
      <c r="Z197" s="12">
        <f t="shared" si="47"/>
        <v>41.2</v>
      </c>
      <c r="AA197" s="12">
        <v>4000</v>
      </c>
      <c r="AB197" s="12">
        <f t="shared" si="49"/>
        <v>55900</v>
      </c>
      <c r="AC197" s="12"/>
      <c r="AD197" s="12">
        <f t="shared" si="50"/>
        <v>219200</v>
      </c>
      <c r="AE197" s="12"/>
      <c r="AF197" s="12">
        <f t="shared" si="51"/>
        <v>165900</v>
      </c>
      <c r="AG197" s="12"/>
      <c r="AH197" s="12">
        <f t="shared" si="48"/>
        <v>936000</v>
      </c>
      <c r="AI197" s="12"/>
      <c r="AJ197" s="12">
        <f t="shared" si="34"/>
        <v>1464000</v>
      </c>
    </row>
    <row r="198" spans="23:36" x14ac:dyDescent="0.2">
      <c r="W198" s="27" t="str">
        <f>TRUNC((X198+6)*10/80)&amp;"-"&amp;((X198+6)/8-TRUNC((X198+6)/8))*80</f>
        <v>68-30</v>
      </c>
      <c r="X198" s="12">
        <v>541</v>
      </c>
      <c r="Y198" s="12"/>
      <c r="Z198" s="12">
        <f t="shared" si="47"/>
        <v>41.2</v>
      </c>
      <c r="AA198" s="12"/>
      <c r="AB198" s="12">
        <f t="shared" si="49"/>
        <v>55900</v>
      </c>
      <c r="AC198" s="12">
        <v>17000</v>
      </c>
      <c r="AD198" s="12">
        <f t="shared" si="50"/>
        <v>236200</v>
      </c>
      <c r="AE198" s="12"/>
      <c r="AF198" s="12">
        <f t="shared" si="51"/>
        <v>165900</v>
      </c>
      <c r="AG198" s="12"/>
      <c r="AH198" s="12">
        <f t="shared" si="48"/>
        <v>936000</v>
      </c>
      <c r="AI198" s="12"/>
      <c r="AJ198" s="12">
        <f t="shared" ref="Z198:AJ218" si="52">AI198+AJ197</f>
        <v>1464000</v>
      </c>
    </row>
    <row r="199" spans="23:36" x14ac:dyDescent="0.2">
      <c r="W199" s="27" t="str">
        <f>TRUNC((X199+6)*10/80)&amp;"-"&amp;((X199+6)/8-TRUNC((X199+6)/8))*80</f>
        <v>68-60</v>
      </c>
      <c r="X199" s="12">
        <v>544</v>
      </c>
      <c r="Y199" s="12"/>
      <c r="Z199" s="12">
        <f t="shared" si="47"/>
        <v>41.2</v>
      </c>
      <c r="AA199" s="12"/>
      <c r="AB199" s="12">
        <f t="shared" si="49"/>
        <v>55900</v>
      </c>
      <c r="AC199" s="12"/>
      <c r="AD199" s="12">
        <f t="shared" si="50"/>
        <v>236200</v>
      </c>
      <c r="AE199" s="12">
        <v>12800</v>
      </c>
      <c r="AF199" s="12">
        <f t="shared" si="51"/>
        <v>178700</v>
      </c>
      <c r="AG199" s="12"/>
      <c r="AH199" s="12">
        <f t="shared" si="48"/>
        <v>936000</v>
      </c>
      <c r="AI199" s="12"/>
      <c r="AJ199" s="12">
        <f t="shared" si="52"/>
        <v>1464000</v>
      </c>
    </row>
    <row r="200" spans="23:36" x14ac:dyDescent="0.2">
      <c r="W200" s="27" t="str">
        <f>TRUNC((X200+6)*10/80)&amp;"-"&amp;((X200+6)/8-TRUNC((X200+6)/8))*80</f>
        <v>69-10</v>
      </c>
      <c r="X200" s="12">
        <v>547</v>
      </c>
      <c r="Y200" s="12"/>
      <c r="Z200" s="12">
        <f t="shared" si="47"/>
        <v>41.2</v>
      </c>
      <c r="AA200" s="12"/>
      <c r="AB200" s="12">
        <f t="shared" si="49"/>
        <v>55900</v>
      </c>
      <c r="AC200" s="12"/>
      <c r="AD200" s="12">
        <f t="shared" si="50"/>
        <v>236200</v>
      </c>
      <c r="AE200" s="12"/>
      <c r="AF200" s="12">
        <f t="shared" si="51"/>
        <v>178700</v>
      </c>
      <c r="AG200" s="12">
        <v>72000</v>
      </c>
      <c r="AH200" s="12">
        <f t="shared" si="48"/>
        <v>1008000</v>
      </c>
      <c r="AI200" s="12"/>
      <c r="AJ200" s="12">
        <f t="shared" si="52"/>
        <v>1464000</v>
      </c>
    </row>
    <row r="201" spans="23:36" x14ac:dyDescent="0.2">
      <c r="W201" s="27" t="str">
        <f>TRUNC((X201+6)*10/80)&amp;"-"&amp;((X201+6)/8-TRUNC((X201+6)/8))*80</f>
        <v>69-40</v>
      </c>
      <c r="X201" s="12">
        <v>550</v>
      </c>
      <c r="Y201" s="12"/>
      <c r="Z201" s="12">
        <f t="shared" si="47"/>
        <v>41.2</v>
      </c>
      <c r="AA201" s="12"/>
      <c r="AB201" s="12">
        <f t="shared" si="49"/>
        <v>55900</v>
      </c>
      <c r="AC201" s="12"/>
      <c r="AD201" s="12">
        <f t="shared" si="50"/>
        <v>236200</v>
      </c>
      <c r="AE201" s="12"/>
      <c r="AF201" s="12">
        <f t="shared" si="51"/>
        <v>178700</v>
      </c>
      <c r="AG201" s="12"/>
      <c r="AH201" s="12">
        <f t="shared" si="48"/>
        <v>1008000</v>
      </c>
      <c r="AI201" s="12">
        <v>115000</v>
      </c>
      <c r="AJ201" s="12">
        <f t="shared" si="52"/>
        <v>1579000</v>
      </c>
    </row>
    <row r="202" spans="23:36" x14ac:dyDescent="0.2">
      <c r="W202" s="27" t="str">
        <f>TRUNC((X202+6)*10/80)&amp;"-"&amp;((X202+6)/8-TRUNC((X202+6)/8))*80</f>
        <v>69-70</v>
      </c>
      <c r="X202" s="12">
        <v>553</v>
      </c>
      <c r="Y202" s="58">
        <v>1.5</v>
      </c>
      <c r="Z202" s="12">
        <f t="shared" si="47"/>
        <v>42.7</v>
      </c>
      <c r="AA202" s="12"/>
      <c r="AB202" s="12">
        <f t="shared" si="49"/>
        <v>55900</v>
      </c>
      <c r="AC202" s="12"/>
      <c r="AD202" s="12">
        <f t="shared" si="50"/>
        <v>236200</v>
      </c>
      <c r="AE202" s="12"/>
      <c r="AF202" s="12">
        <f t="shared" si="51"/>
        <v>178700</v>
      </c>
      <c r="AG202" s="12"/>
      <c r="AH202" s="12">
        <f t="shared" si="48"/>
        <v>1008000</v>
      </c>
      <c r="AI202" s="12"/>
      <c r="AJ202" s="12">
        <f t="shared" si="52"/>
        <v>1579000</v>
      </c>
    </row>
    <row r="203" spans="23:36" x14ac:dyDescent="0.2">
      <c r="W203" s="27" t="str">
        <f>TRUNC((X203+6)*10/80)&amp;"-"&amp;((X203+6)/8-TRUNC((X203+6)/8))*80</f>
        <v>70-20</v>
      </c>
      <c r="X203" s="12">
        <v>556</v>
      </c>
      <c r="Y203" s="12"/>
      <c r="Z203" s="12">
        <f t="shared" si="47"/>
        <v>42.7</v>
      </c>
      <c r="AA203" s="12">
        <v>4000</v>
      </c>
      <c r="AB203" s="12">
        <f t="shared" si="49"/>
        <v>59900</v>
      </c>
      <c r="AC203" s="12"/>
      <c r="AD203" s="12">
        <f t="shared" si="50"/>
        <v>236200</v>
      </c>
      <c r="AE203" s="12"/>
      <c r="AF203" s="12">
        <f t="shared" si="51"/>
        <v>178700</v>
      </c>
      <c r="AG203" s="12"/>
      <c r="AH203" s="12">
        <f t="shared" si="48"/>
        <v>1008000</v>
      </c>
      <c r="AI203" s="12"/>
      <c r="AJ203" s="12">
        <f t="shared" si="52"/>
        <v>1579000</v>
      </c>
    </row>
    <row r="204" spans="23:36" x14ac:dyDescent="0.2">
      <c r="W204" s="27" t="str">
        <f>TRUNC((X204+6)*10/80)&amp;"-"&amp;((X204+6)/8-TRUNC((X204+6)/8))*80</f>
        <v>70-50</v>
      </c>
      <c r="X204" s="12">
        <v>559</v>
      </c>
      <c r="Y204" s="12"/>
      <c r="Z204" s="12">
        <f t="shared" si="47"/>
        <v>42.7</v>
      </c>
      <c r="AA204" s="12"/>
      <c r="AB204" s="12">
        <f t="shared" si="49"/>
        <v>59900</v>
      </c>
      <c r="AC204" s="12">
        <v>17000</v>
      </c>
      <c r="AD204" s="12">
        <f t="shared" si="50"/>
        <v>253200</v>
      </c>
      <c r="AE204" s="12"/>
      <c r="AF204" s="12">
        <f t="shared" si="51"/>
        <v>178700</v>
      </c>
      <c r="AG204" s="12"/>
      <c r="AH204" s="12">
        <f t="shared" si="48"/>
        <v>1008000</v>
      </c>
      <c r="AI204" s="12"/>
      <c r="AJ204" s="12">
        <f t="shared" si="52"/>
        <v>1579000</v>
      </c>
    </row>
    <row r="205" spans="23:36" x14ac:dyDescent="0.2">
      <c r="W205" s="27" t="str">
        <f>TRUNC((X205+6)*10/80)&amp;"-"&amp;((X205+6)/8-TRUNC((X205+6)/8))*80</f>
        <v>71-0</v>
      </c>
      <c r="X205" s="12">
        <v>562</v>
      </c>
      <c r="Y205" s="12"/>
      <c r="Z205" s="12">
        <f t="shared" si="47"/>
        <v>42.7</v>
      </c>
      <c r="AA205" s="12"/>
      <c r="AB205" s="12">
        <f t="shared" si="49"/>
        <v>59900</v>
      </c>
      <c r="AC205" s="12"/>
      <c r="AD205" s="12">
        <f t="shared" si="50"/>
        <v>253200</v>
      </c>
      <c r="AE205" s="12">
        <v>12800</v>
      </c>
      <c r="AF205" s="12">
        <f t="shared" si="51"/>
        <v>191500</v>
      </c>
      <c r="AG205" s="12"/>
      <c r="AH205" s="12">
        <f t="shared" si="48"/>
        <v>1008000</v>
      </c>
      <c r="AI205" s="12"/>
      <c r="AJ205" s="12">
        <f t="shared" si="52"/>
        <v>1579000</v>
      </c>
    </row>
    <row r="206" spans="23:36" x14ac:dyDescent="0.2">
      <c r="W206" s="27" t="str">
        <f>TRUNC((X206+6)*10/80)&amp;"-"&amp;((X206+6)/8-TRUNC((X206+6)/8))*80</f>
        <v>71-30</v>
      </c>
      <c r="X206" s="12">
        <v>565</v>
      </c>
      <c r="Y206" s="12"/>
      <c r="Z206" s="12">
        <f t="shared" si="47"/>
        <v>42.7</v>
      </c>
      <c r="AA206" s="12"/>
      <c r="AB206" s="12">
        <f t="shared" si="49"/>
        <v>59900</v>
      </c>
      <c r="AC206" s="12"/>
      <c r="AD206" s="12">
        <f t="shared" si="50"/>
        <v>253200</v>
      </c>
      <c r="AE206" s="12"/>
      <c r="AF206" s="12">
        <f t="shared" si="51"/>
        <v>191500</v>
      </c>
      <c r="AG206" s="12">
        <v>72000</v>
      </c>
      <c r="AH206" s="12">
        <f t="shared" si="48"/>
        <v>1080000</v>
      </c>
      <c r="AI206" s="12"/>
      <c r="AJ206" s="12">
        <f t="shared" si="52"/>
        <v>1579000</v>
      </c>
    </row>
    <row r="207" spans="23:36" x14ac:dyDescent="0.2">
      <c r="W207" s="27" t="str">
        <f>TRUNC((X207+6)*10/80)&amp;"-"&amp;((X207+6)/8-TRUNC((X207+6)/8))*80</f>
        <v>71-60</v>
      </c>
      <c r="X207" s="12">
        <v>568</v>
      </c>
      <c r="Y207" s="12"/>
      <c r="Z207" s="12">
        <f t="shared" si="47"/>
        <v>42.7</v>
      </c>
      <c r="AA207" s="12"/>
      <c r="AB207" s="12">
        <f t="shared" si="49"/>
        <v>59900</v>
      </c>
      <c r="AC207" s="12"/>
      <c r="AD207" s="12">
        <f t="shared" si="50"/>
        <v>253200</v>
      </c>
      <c r="AE207" s="12"/>
      <c r="AF207" s="12">
        <f t="shared" si="51"/>
        <v>191500</v>
      </c>
      <c r="AG207" s="12"/>
      <c r="AH207" s="12">
        <f t="shared" si="48"/>
        <v>1080000</v>
      </c>
      <c r="AI207" s="12">
        <v>115000</v>
      </c>
      <c r="AJ207" s="12">
        <f t="shared" si="52"/>
        <v>1694000</v>
      </c>
    </row>
    <row r="208" spans="23:36" x14ac:dyDescent="0.2">
      <c r="W208" s="27" t="str">
        <f>TRUNC((X208+6)*10/80)&amp;"-"&amp;((X208+6)/8-TRUNC((X208+6)/8))*80</f>
        <v>72-10</v>
      </c>
      <c r="X208" s="12">
        <v>571</v>
      </c>
      <c r="Y208" s="58">
        <v>2</v>
      </c>
      <c r="Z208" s="12">
        <f t="shared" si="47"/>
        <v>44.7</v>
      </c>
      <c r="AA208" s="12"/>
      <c r="AB208" s="12">
        <f t="shared" si="49"/>
        <v>59900</v>
      </c>
      <c r="AC208" s="12"/>
      <c r="AD208" s="12">
        <f t="shared" si="50"/>
        <v>253200</v>
      </c>
      <c r="AE208" s="12"/>
      <c r="AF208" s="12">
        <f t="shared" si="51"/>
        <v>191500</v>
      </c>
      <c r="AG208" s="12"/>
      <c r="AH208" s="12">
        <f t="shared" si="48"/>
        <v>1080000</v>
      </c>
      <c r="AI208" s="12"/>
      <c r="AJ208" s="12">
        <f t="shared" si="52"/>
        <v>1694000</v>
      </c>
    </row>
    <row r="209" spans="23:36" x14ac:dyDescent="0.2">
      <c r="W209" s="27" t="str">
        <f>TRUNC((X209+6)*10/80)&amp;"-"&amp;((X209+6)/8-TRUNC((X209+6)/8))*80</f>
        <v>72-40</v>
      </c>
      <c r="X209" s="12">
        <v>574</v>
      </c>
      <c r="Y209" s="12"/>
      <c r="Z209" s="12">
        <f t="shared" si="47"/>
        <v>44.7</v>
      </c>
      <c r="AA209" s="12">
        <v>4000</v>
      </c>
      <c r="AB209" s="12">
        <f t="shared" si="49"/>
        <v>63900</v>
      </c>
      <c r="AC209" s="12"/>
      <c r="AD209" s="12">
        <f t="shared" si="50"/>
        <v>253200</v>
      </c>
      <c r="AE209" s="12"/>
      <c r="AF209" s="12">
        <f t="shared" si="51"/>
        <v>191500</v>
      </c>
      <c r="AG209" s="12"/>
      <c r="AH209" s="12">
        <f t="shared" si="48"/>
        <v>1080000</v>
      </c>
      <c r="AI209" s="12"/>
      <c r="AJ209" s="12">
        <f t="shared" si="52"/>
        <v>1694000</v>
      </c>
    </row>
    <row r="210" spans="23:36" x14ac:dyDescent="0.2">
      <c r="W210" s="27" t="str">
        <f>TRUNC((X210+6)*10/80)&amp;"-"&amp;((X210+6)/8-TRUNC((X210+6)/8))*80</f>
        <v>72-70</v>
      </c>
      <c r="X210" s="12">
        <v>577</v>
      </c>
      <c r="Y210" s="12"/>
      <c r="Z210" s="12">
        <f t="shared" si="47"/>
        <v>44.7</v>
      </c>
      <c r="AA210" s="12"/>
      <c r="AB210" s="12">
        <f t="shared" si="49"/>
        <v>63900</v>
      </c>
      <c r="AC210" s="12">
        <v>17000</v>
      </c>
      <c r="AD210" s="12">
        <f t="shared" si="50"/>
        <v>270200</v>
      </c>
      <c r="AE210" s="12"/>
      <c r="AF210" s="12">
        <f t="shared" si="51"/>
        <v>191500</v>
      </c>
      <c r="AG210" s="12"/>
      <c r="AH210" s="12">
        <f t="shared" si="48"/>
        <v>1080000</v>
      </c>
      <c r="AI210" s="12"/>
      <c r="AJ210" s="12">
        <f t="shared" si="52"/>
        <v>1694000</v>
      </c>
    </row>
    <row r="211" spans="23:36" x14ac:dyDescent="0.2">
      <c r="W211" s="27" t="str">
        <f>TRUNC((X211+6)*10/80)&amp;"-"&amp;((X211+6)/8-TRUNC((X211+6)/8))*80</f>
        <v>73-20</v>
      </c>
      <c r="X211" s="12">
        <v>580</v>
      </c>
      <c r="Y211" s="12"/>
      <c r="Z211" s="12">
        <f t="shared" si="47"/>
        <v>44.7</v>
      </c>
      <c r="AA211" s="12"/>
      <c r="AB211" s="12">
        <f t="shared" si="49"/>
        <v>63900</v>
      </c>
      <c r="AC211" s="12"/>
      <c r="AD211" s="12">
        <f t="shared" si="50"/>
        <v>270200</v>
      </c>
      <c r="AE211" s="12">
        <v>12800</v>
      </c>
      <c r="AF211" s="12">
        <f t="shared" si="51"/>
        <v>204300</v>
      </c>
      <c r="AG211" s="12"/>
      <c r="AH211" s="12">
        <f t="shared" si="48"/>
        <v>1080000</v>
      </c>
      <c r="AI211" s="12"/>
      <c r="AJ211" s="12">
        <f t="shared" si="52"/>
        <v>1694000</v>
      </c>
    </row>
    <row r="212" spans="23:36" x14ac:dyDescent="0.2">
      <c r="W212" s="27" t="str">
        <f>TRUNC((X212+6)*10/80)&amp;"-"&amp;((X212+6)/8-TRUNC((X212+6)/8))*80</f>
        <v>73-50</v>
      </c>
      <c r="X212" s="12">
        <v>583</v>
      </c>
      <c r="Y212" s="12"/>
      <c r="Z212" s="12">
        <f t="shared" si="47"/>
        <v>44.7</v>
      </c>
      <c r="AA212" s="12"/>
      <c r="AB212" s="12">
        <f t="shared" si="49"/>
        <v>63900</v>
      </c>
      <c r="AC212" s="12"/>
      <c r="AD212" s="12">
        <f t="shared" si="50"/>
        <v>270200</v>
      </c>
      <c r="AE212" s="12"/>
      <c r="AF212" s="12">
        <f t="shared" si="51"/>
        <v>204300</v>
      </c>
      <c r="AG212" s="12">
        <v>72000</v>
      </c>
      <c r="AH212" s="12">
        <f t="shared" si="48"/>
        <v>1152000</v>
      </c>
      <c r="AI212" s="12"/>
      <c r="AJ212" s="12">
        <f t="shared" si="52"/>
        <v>1694000</v>
      </c>
    </row>
    <row r="213" spans="23:36" x14ac:dyDescent="0.2">
      <c r="W213" s="27" t="str">
        <f>TRUNC((X213+6)*10/80)&amp;"-"&amp;((X213+6)/8-TRUNC((X213+6)/8))*80</f>
        <v>74-0</v>
      </c>
      <c r="X213" s="12">
        <v>586</v>
      </c>
      <c r="Y213" s="12"/>
      <c r="Z213" s="12">
        <f t="shared" si="47"/>
        <v>44.7</v>
      </c>
      <c r="AA213" s="12"/>
      <c r="AB213" s="12">
        <f t="shared" si="49"/>
        <v>63900</v>
      </c>
      <c r="AC213" s="12"/>
      <c r="AD213" s="12">
        <f t="shared" si="50"/>
        <v>270200</v>
      </c>
      <c r="AE213" s="12"/>
      <c r="AF213" s="12">
        <f t="shared" si="51"/>
        <v>204300</v>
      </c>
      <c r="AG213" s="12"/>
      <c r="AH213" s="12">
        <f t="shared" si="48"/>
        <v>1152000</v>
      </c>
      <c r="AI213" s="12">
        <v>115000</v>
      </c>
      <c r="AJ213" s="12">
        <f t="shared" si="52"/>
        <v>1809000</v>
      </c>
    </row>
    <row r="214" spans="23:36" x14ac:dyDescent="0.2">
      <c r="W214" s="27" t="str">
        <f>TRUNC((X214+6)*10/80)&amp;"-"&amp;((X214+6)/8-TRUNC((X214+6)/8))*80</f>
        <v>74-30</v>
      </c>
      <c r="X214" s="12">
        <v>589</v>
      </c>
      <c r="Y214" s="58">
        <v>2</v>
      </c>
      <c r="Z214" s="12">
        <f t="shared" ref="Z214:Z219" si="53">Y214+Z213</f>
        <v>46.7</v>
      </c>
      <c r="AA214" s="12"/>
      <c r="AB214" s="12">
        <f t="shared" ref="AB214:AB219" si="54">AA214+AB213</f>
        <v>63900</v>
      </c>
      <c r="AC214" s="12"/>
      <c r="AD214" s="12">
        <f t="shared" ref="AD214:AD219" si="55">AC214+AD213</f>
        <v>270200</v>
      </c>
      <c r="AE214" s="12"/>
      <c r="AF214" s="12">
        <f t="shared" ref="AF214:AF219" si="56">AE214+AF213</f>
        <v>204300</v>
      </c>
      <c r="AG214" s="12"/>
      <c r="AH214" s="12">
        <f t="shared" ref="AH214:AH219" si="57">AG214+AH213</f>
        <v>1152000</v>
      </c>
      <c r="AI214" s="12"/>
      <c r="AJ214" s="12">
        <f t="shared" si="52"/>
        <v>1809000</v>
      </c>
    </row>
    <row r="215" spans="23:36" x14ac:dyDescent="0.2">
      <c r="W215" s="27" t="str">
        <f>TRUNC((X215+6)*10/80)&amp;"-"&amp;((X215+6)/8-TRUNC((X215+6)/8))*80</f>
        <v>74-60</v>
      </c>
      <c r="X215" s="12">
        <v>592</v>
      </c>
      <c r="Y215" s="12"/>
      <c r="Z215" s="12">
        <f t="shared" si="53"/>
        <v>46.7</v>
      </c>
      <c r="AA215" s="12">
        <v>4000</v>
      </c>
      <c r="AB215" s="12">
        <f t="shared" si="54"/>
        <v>67900</v>
      </c>
      <c r="AC215" s="12"/>
      <c r="AD215" s="12">
        <f t="shared" si="55"/>
        <v>270200</v>
      </c>
      <c r="AE215" s="12"/>
      <c r="AF215" s="12">
        <f t="shared" si="56"/>
        <v>204300</v>
      </c>
      <c r="AG215" s="12"/>
      <c r="AH215" s="12">
        <f t="shared" si="57"/>
        <v>1152000</v>
      </c>
      <c r="AI215" s="12"/>
      <c r="AJ215" s="12">
        <f t="shared" si="52"/>
        <v>1809000</v>
      </c>
    </row>
    <row r="216" spans="23:36" x14ac:dyDescent="0.2">
      <c r="W216" s="27" t="str">
        <f>TRUNC((X216+6)*10/80)&amp;"-"&amp;((X216+6)/8-TRUNC((X216+6)/8))*80</f>
        <v>75-10</v>
      </c>
      <c r="X216" s="12">
        <v>595</v>
      </c>
      <c r="Y216" s="12"/>
      <c r="Z216" s="12">
        <f t="shared" si="53"/>
        <v>46.7</v>
      </c>
      <c r="AA216" s="12"/>
      <c r="AB216" s="12">
        <f t="shared" si="54"/>
        <v>67900</v>
      </c>
      <c r="AC216" s="12">
        <v>17000</v>
      </c>
      <c r="AD216" s="12">
        <f t="shared" si="55"/>
        <v>287200</v>
      </c>
      <c r="AE216" s="12"/>
      <c r="AF216" s="12">
        <f t="shared" si="56"/>
        <v>204300</v>
      </c>
      <c r="AG216" s="12"/>
      <c r="AH216" s="12">
        <f t="shared" si="57"/>
        <v>1152000</v>
      </c>
      <c r="AI216" s="12"/>
      <c r="AJ216" s="12">
        <f t="shared" si="52"/>
        <v>1809000</v>
      </c>
    </row>
    <row r="217" spans="23:36" x14ac:dyDescent="0.2">
      <c r="W217" s="27" t="str">
        <f>TRUNC((X217+6)*10/80)&amp;"-"&amp;((X217+6)/8-TRUNC((X217+6)/8))*80</f>
        <v>75-40</v>
      </c>
      <c r="X217" s="12">
        <v>598</v>
      </c>
      <c r="Y217" s="12"/>
      <c r="Z217" s="12">
        <f t="shared" si="53"/>
        <v>46.7</v>
      </c>
      <c r="AA217" s="12"/>
      <c r="AB217" s="12">
        <f t="shared" si="54"/>
        <v>67900</v>
      </c>
      <c r="AC217" s="12"/>
      <c r="AD217" s="12">
        <f t="shared" si="55"/>
        <v>287200</v>
      </c>
      <c r="AE217" s="12">
        <v>12800</v>
      </c>
      <c r="AF217" s="12">
        <f t="shared" si="56"/>
        <v>217100</v>
      </c>
      <c r="AG217" s="12"/>
      <c r="AH217" s="12">
        <f t="shared" si="57"/>
        <v>1152000</v>
      </c>
      <c r="AI217" s="12"/>
      <c r="AJ217" s="12">
        <f t="shared" si="52"/>
        <v>1809000</v>
      </c>
    </row>
    <row r="218" spans="23:36" x14ac:dyDescent="0.2">
      <c r="W218" s="27" t="str">
        <f>TRUNC((X218+6)*10/80)&amp;"-"&amp;((X218+6)/8-TRUNC((X218+6)/8))*80</f>
        <v>75-70</v>
      </c>
      <c r="X218" s="12">
        <v>601</v>
      </c>
      <c r="Y218" s="12"/>
      <c r="Z218" s="12">
        <f t="shared" si="53"/>
        <v>46.7</v>
      </c>
      <c r="AA218" s="12"/>
      <c r="AB218" s="12">
        <f t="shared" si="54"/>
        <v>67900</v>
      </c>
      <c r="AC218" s="12"/>
      <c r="AD218" s="12">
        <f t="shared" si="55"/>
        <v>287200</v>
      </c>
      <c r="AE218" s="12"/>
      <c r="AF218" s="12">
        <f t="shared" si="56"/>
        <v>217100</v>
      </c>
      <c r="AG218" s="12">
        <v>72000</v>
      </c>
      <c r="AH218" s="12">
        <f t="shared" si="57"/>
        <v>1224000</v>
      </c>
      <c r="AI218" s="12"/>
      <c r="AJ218" s="12">
        <f t="shared" si="52"/>
        <v>1809000</v>
      </c>
    </row>
  </sheetData>
  <mergeCells count="1">
    <mergeCell ref="L1:S1"/>
  </mergeCells>
  <dataValidations count="1">
    <dataValidation type="list" allowBlank="1" showInputMessage="1" showErrorMessage="1" sqref="AL4 AL6" xr:uid="{A4F147DF-61D2-4371-9199-3AE314DA3732}">
      <formula1>$W$4:$W$218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63F63-88C2-584D-94CF-11603BC99D58}">
  <dimension ref="B2:BM63"/>
  <sheetViews>
    <sheetView zoomScaleNormal="150" zoomScaleSheetLayoutView="100" workbookViewId="0">
      <selection activeCell="D88" sqref="D88"/>
    </sheetView>
  </sheetViews>
  <sheetFormatPr defaultRowHeight="15" x14ac:dyDescent="0.2"/>
  <cols>
    <col min="1" max="1" width="3.09375" bestFit="1" customWidth="1"/>
    <col min="2" max="2" width="10.22265625" bestFit="1" customWidth="1"/>
    <col min="3" max="4" width="5.6484375" bestFit="1" customWidth="1"/>
    <col min="5" max="8" width="5.51171875" bestFit="1" customWidth="1"/>
    <col min="9" max="9" width="7.26171875" bestFit="1" customWidth="1"/>
    <col min="10" max="10" width="5.51171875" bestFit="1" customWidth="1"/>
    <col min="11" max="11" width="9.4140625" bestFit="1" customWidth="1"/>
    <col min="12" max="12" width="5.37890625" bestFit="1" customWidth="1"/>
    <col min="13" max="13" width="9.4140625" bestFit="1" customWidth="1"/>
    <col min="14" max="14" width="5.24609375" bestFit="1" customWidth="1"/>
    <col min="15" max="15" width="9.4140625" bestFit="1" customWidth="1"/>
    <col min="16" max="16" width="5.24609375" bestFit="1" customWidth="1"/>
    <col min="17" max="17" width="9.4140625" bestFit="1" customWidth="1"/>
    <col min="18" max="18" width="5.24609375" bestFit="1" customWidth="1"/>
    <col min="19" max="19" width="9.4140625" bestFit="1" customWidth="1"/>
    <col min="20" max="20" width="5.24609375" bestFit="1" customWidth="1"/>
    <col min="21" max="21" width="9.4140625" bestFit="1" customWidth="1"/>
    <col min="22" max="22" width="5.37890625" bestFit="1" customWidth="1"/>
    <col min="23" max="26" width="9.14453125" bestFit="1" customWidth="1"/>
    <col min="27" max="30" width="9.55078125" bestFit="1" customWidth="1"/>
    <col min="32" max="32" width="5.109375" customWidth="1"/>
    <col min="49" max="49" width="9.55078125" bestFit="1" customWidth="1"/>
    <col min="57" max="57" width="9.55078125" bestFit="1" customWidth="1"/>
    <col min="61" max="65" width="9.55078125" bestFit="1" customWidth="1"/>
  </cols>
  <sheetData>
    <row r="2" spans="2:65" s="2" customFormat="1" ht="70.5" x14ac:dyDescent="0.2">
      <c r="B2" s="2" t="s">
        <v>37</v>
      </c>
      <c r="C2" s="2" t="s">
        <v>39</v>
      </c>
      <c r="D2" s="2" t="s">
        <v>38</v>
      </c>
      <c r="E2" s="2" t="s">
        <v>41</v>
      </c>
      <c r="F2" s="2" t="s">
        <v>40</v>
      </c>
      <c r="G2" s="2" t="s">
        <v>48</v>
      </c>
      <c r="H2" s="2" t="s">
        <v>42</v>
      </c>
      <c r="I2" s="2" t="s">
        <v>47</v>
      </c>
      <c r="K2" s="7" t="s">
        <v>37</v>
      </c>
      <c r="L2" s="7" t="s">
        <v>39</v>
      </c>
      <c r="M2" s="7" t="s">
        <v>37</v>
      </c>
      <c r="N2" s="7" t="s">
        <v>38</v>
      </c>
      <c r="O2" s="7" t="s">
        <v>37</v>
      </c>
      <c r="P2" s="7" t="s">
        <v>41</v>
      </c>
      <c r="Q2" s="7" t="s">
        <v>37</v>
      </c>
      <c r="R2" s="7" t="s">
        <v>40</v>
      </c>
      <c r="S2" s="7" t="s">
        <v>37</v>
      </c>
      <c r="T2" s="7" t="s">
        <v>48</v>
      </c>
      <c r="U2" s="7" t="s">
        <v>37</v>
      </c>
      <c r="V2" s="7" t="s">
        <v>42</v>
      </c>
      <c r="Y2" s="3" t="s">
        <v>39</v>
      </c>
      <c r="Z2" s="3" t="s">
        <v>38</v>
      </c>
      <c r="AA2" s="3" t="s">
        <v>41</v>
      </c>
      <c r="AB2" s="3" t="s">
        <v>40</v>
      </c>
      <c r="AC2" s="4" t="s">
        <v>48</v>
      </c>
      <c r="AD2" s="4" t="s">
        <v>42</v>
      </c>
      <c r="AO2" s="2" t="s">
        <v>37</v>
      </c>
      <c r="AP2" s="2" t="s">
        <v>38</v>
      </c>
      <c r="AQ2" s="2" t="s">
        <v>39</v>
      </c>
      <c r="AR2" s="2" t="s">
        <v>40</v>
      </c>
      <c r="AS2" s="2" t="s">
        <v>41</v>
      </c>
      <c r="AT2" s="2" t="s">
        <v>42</v>
      </c>
      <c r="AU2" s="2" t="s">
        <v>47</v>
      </c>
      <c r="AW2" s="7" t="s">
        <v>37</v>
      </c>
      <c r="AX2" s="7" t="s">
        <v>38</v>
      </c>
      <c r="AY2" s="7" t="s">
        <v>37</v>
      </c>
      <c r="AZ2" s="7" t="s">
        <v>39</v>
      </c>
      <c r="BA2" s="7" t="s">
        <v>37</v>
      </c>
      <c r="BB2" s="7" t="s">
        <v>40</v>
      </c>
      <c r="BC2" s="7" t="s">
        <v>37</v>
      </c>
      <c r="BD2" s="7" t="s">
        <v>41</v>
      </c>
      <c r="BE2" s="7" t="s">
        <v>37</v>
      </c>
      <c r="BF2" s="7" t="s">
        <v>42</v>
      </c>
      <c r="BI2" s="3" t="s">
        <v>38</v>
      </c>
      <c r="BJ2" s="3" t="s">
        <v>39</v>
      </c>
      <c r="BK2" s="3" t="s">
        <v>40</v>
      </c>
      <c r="BL2" s="3" t="s">
        <v>41</v>
      </c>
      <c r="BM2" s="4" t="s">
        <v>42</v>
      </c>
    </row>
    <row r="3" spans="2:65" x14ac:dyDescent="0.2">
      <c r="B3">
        <v>10763613</v>
      </c>
      <c r="C3" s="11">
        <v>2.5299999999999998</v>
      </c>
      <c r="D3" s="11">
        <v>2.58</v>
      </c>
      <c r="E3" s="11">
        <v>2.36</v>
      </c>
      <c r="F3" s="11">
        <v>2.4500000000000002</v>
      </c>
      <c r="G3" s="11">
        <v>2.02</v>
      </c>
      <c r="H3" s="11">
        <v>2.63</v>
      </c>
      <c r="I3" s="11">
        <f>AVERAGE(Tableau18[[#This Row],[Bamboo shoot]:[Clocko fruit]])</f>
        <v>2.4283333333333328</v>
      </c>
      <c r="K3">
        <v>10086034</v>
      </c>
      <c r="L3" s="5">
        <f>VLOOKUP(Tableau29[[#This Row],[Player id]],Tableau18[[Player id]:[Clocko fruit]],2,0)</f>
        <v>2.63</v>
      </c>
      <c r="M3">
        <v>18977827</v>
      </c>
      <c r="N3" s="6">
        <f>VLOOKUP(Tableau310[[#This Row],[Player id]],Tableau18[[Player id]:[Clocko fruit]],3,0)</f>
        <v>2.63</v>
      </c>
      <c r="O3">
        <v>10763613</v>
      </c>
      <c r="P3" s="6">
        <f>VLOOKUP(Tableau411[[#This Row],[Player id]],Tableau18[[Player id]:[Clocko fruit]],4,0)</f>
        <v>2.36</v>
      </c>
      <c r="Q3">
        <v>13117515</v>
      </c>
      <c r="R3" s="6">
        <f>VLOOKUP(Tableau512[[#This Row],[Player id]],Tableau18[[Player id]:[Clocko fruit]],5,0)</f>
        <v>2.63</v>
      </c>
      <c r="S3">
        <v>13117515</v>
      </c>
      <c r="T3" s="6">
        <f>VLOOKUP(Tableau613[[#This Row],[Player id]],Tableau18[[Player id]:[Clocko fruit]],5,0)</f>
        <v>2.63</v>
      </c>
      <c r="U3">
        <v>10048958</v>
      </c>
      <c r="V3" s="6">
        <f>VLOOKUP(Tableau61314[[#This Row],[Player id]],Tableau18[[Player id]:[Clocko fruit]],6,0)</f>
        <v>2.63</v>
      </c>
      <c r="X3" t="s">
        <v>43</v>
      </c>
      <c r="Y3">
        <f>MAX(Tableau18[Bamboo shoot])</f>
        <v>2.63</v>
      </c>
      <c r="Z3">
        <f>MAX(Tableau18[Dragon fruit])</f>
        <v>2.63</v>
      </c>
      <c r="AA3">
        <f>MAX(Tableau18[Phantom fruit])</f>
        <v>2.39</v>
      </c>
      <c r="AB3">
        <f>MAX(Tableau18[Carrot])</f>
        <v>2.63</v>
      </c>
      <c r="AC3">
        <f>MAX(Tableau18[Cherry])</f>
        <v>2.63</v>
      </c>
      <c r="AD3">
        <f>MAX(Tableau18[Clocko fruit])</f>
        <v>2.63</v>
      </c>
      <c r="AF3" t="s">
        <v>49</v>
      </c>
      <c r="AG3" t="s">
        <v>51</v>
      </c>
      <c r="AH3" t="s">
        <v>50</v>
      </c>
      <c r="AI3" t="s">
        <v>52</v>
      </c>
      <c r="AO3">
        <v>10763613</v>
      </c>
      <c r="AP3">
        <v>79</v>
      </c>
      <c r="AQ3">
        <v>90</v>
      </c>
      <c r="AR3">
        <v>88</v>
      </c>
      <c r="AS3">
        <v>83</v>
      </c>
      <c r="AT3">
        <v>100</v>
      </c>
      <c r="AU3">
        <f>AVERAGE(Tableau1[[#This Row],[Dragon fruit]:[Clocko fruit]])</f>
        <v>88</v>
      </c>
      <c r="AW3">
        <v>18977827</v>
      </c>
      <c r="AX3" s="5">
        <v>99</v>
      </c>
      <c r="AY3">
        <v>10086034</v>
      </c>
      <c r="AZ3" s="5">
        <v>96</v>
      </c>
      <c r="BA3">
        <v>13117515</v>
      </c>
      <c r="BB3" s="6">
        <v>99</v>
      </c>
      <c r="BC3">
        <v>10763613</v>
      </c>
      <c r="BD3" s="5">
        <v>83</v>
      </c>
      <c r="BE3">
        <v>10763613</v>
      </c>
      <c r="BF3" s="5">
        <v>100</v>
      </c>
      <c r="BH3" t="s">
        <v>43</v>
      </c>
      <c r="BI3">
        <f>MAX(Tableau1[Dragon fruit])</f>
        <v>99</v>
      </c>
      <c r="BJ3">
        <f>MAX(Tableau1[Bamboo shoot])</f>
        <v>96</v>
      </c>
      <c r="BK3">
        <f>MAX(Tableau1[Carrot])</f>
        <v>99</v>
      </c>
      <c r="BL3">
        <f>MAX(Tableau1[Phantom fruit])</f>
        <v>83</v>
      </c>
      <c r="BM3">
        <f>MAX(Tableau1[Clocko fruit])</f>
        <v>100</v>
      </c>
    </row>
    <row r="4" spans="2:65" x14ac:dyDescent="0.2">
      <c r="B4">
        <v>13117515</v>
      </c>
      <c r="C4" s="11">
        <v>2.62</v>
      </c>
      <c r="D4" s="11">
        <v>2.15</v>
      </c>
      <c r="E4" s="11">
        <v>2.19</v>
      </c>
      <c r="F4" s="11">
        <v>2.63</v>
      </c>
      <c r="G4" s="11">
        <v>2.6</v>
      </c>
      <c r="H4" s="11">
        <v>2.1800000000000002</v>
      </c>
      <c r="I4" s="11">
        <f>AVERAGE(Tableau18[[#This Row],[Bamboo shoot]:[Clocko fruit]])</f>
        <v>2.395</v>
      </c>
      <c r="K4">
        <v>13117515</v>
      </c>
      <c r="L4" s="5">
        <f>VLOOKUP(Tableau29[[#This Row],[Player id]],Tableau18[[Player id]:[Clocko fruit]],2,0)</f>
        <v>2.62</v>
      </c>
      <c r="M4">
        <v>10763613</v>
      </c>
      <c r="N4" s="5">
        <f>VLOOKUP(Tableau310[[#This Row],[Player id]],Tableau18[[Player id]:[Clocko fruit]],3,0)</f>
        <v>2.58</v>
      </c>
      <c r="O4">
        <v>13117515</v>
      </c>
      <c r="P4" s="5">
        <f>VLOOKUP(Tableau411[[#This Row],[Player id]],Tableau18[[Player id]:[Clocko fruit]],4,0)</f>
        <v>2.19</v>
      </c>
      <c r="Q4">
        <v>18977827</v>
      </c>
      <c r="R4" s="6">
        <f>VLOOKUP(Tableau512[[#This Row],[Player id]],Tableau18[[Player id]:[Clocko fruit]],5,0)</f>
        <v>2.59</v>
      </c>
      <c r="S4">
        <v>18977827</v>
      </c>
      <c r="T4" s="6">
        <f>VLOOKUP(Tableau613[[#This Row],[Player id]],Tableau18[[Player id]:[Clocko fruit]],5,0)</f>
        <v>2.59</v>
      </c>
      <c r="U4">
        <v>13117515</v>
      </c>
      <c r="V4" s="6">
        <f>VLOOKUP(Tableau61314[[#This Row],[Player id]],Tableau18[[Player id]:[Clocko fruit]],6,0)</f>
        <v>2.6</v>
      </c>
      <c r="X4" t="s">
        <v>44</v>
      </c>
      <c r="Y4">
        <f>_xlfn.XLOOKUP(Y3,Tableau18[Bamboo shoot],Tableau18[Player id])</f>
        <v>10086034</v>
      </c>
      <c r="Z4">
        <f>_xlfn.XLOOKUP(Z3,Tableau18[Dragon fruit],Tableau18[Player id])</f>
        <v>18977827</v>
      </c>
      <c r="AA4">
        <f>_xlfn.XLOOKUP(AA3,Tableau18[Phantom fruit],Tableau18[Player id])</f>
        <v>13087810</v>
      </c>
      <c r="AB4">
        <f>_xlfn.XLOOKUP(AB3,Tableau18[Carrot],Tableau18[Player id])</f>
        <v>13117515</v>
      </c>
      <c r="AC4">
        <f>_xlfn.XLOOKUP(AC3,Tableau18[Cherry],Tableau18[Player id])</f>
        <v>10048958</v>
      </c>
      <c r="AD4">
        <f>_xlfn.XLOOKUP(AD3,Tableau18[Clocko fruit],Tableau18[Player id])</f>
        <v>10763613</v>
      </c>
      <c r="AF4">
        <v>0.84</v>
      </c>
      <c r="AG4">
        <v>5</v>
      </c>
      <c r="AH4">
        <f>AG4*AF4</f>
        <v>4.2</v>
      </c>
      <c r="AI4">
        <f>AG4^2*AF4</f>
        <v>21</v>
      </c>
      <c r="AO4">
        <v>10327617</v>
      </c>
      <c r="AP4">
        <v>68</v>
      </c>
      <c r="AQ4">
        <v>68</v>
      </c>
      <c r="AR4">
        <v>86</v>
      </c>
      <c r="AS4">
        <v>82</v>
      </c>
      <c r="AT4">
        <v>100</v>
      </c>
      <c r="AU4">
        <f>AVERAGE(Tableau1[[#This Row],[Dragon fruit]:[Clocko fruit]])</f>
        <v>80.8</v>
      </c>
      <c r="AW4">
        <v>10002580</v>
      </c>
      <c r="AX4" s="5">
        <v>87</v>
      </c>
      <c r="AY4">
        <v>10763613</v>
      </c>
      <c r="AZ4" s="5">
        <v>90</v>
      </c>
      <c r="BA4">
        <v>10334064</v>
      </c>
      <c r="BB4" s="6">
        <v>91</v>
      </c>
      <c r="BC4">
        <v>10327617</v>
      </c>
      <c r="BD4" s="6">
        <v>82</v>
      </c>
      <c r="BE4" s="10">
        <v>10327617</v>
      </c>
      <c r="BF4" s="6">
        <v>100</v>
      </c>
      <c r="BH4" t="s">
        <v>44</v>
      </c>
      <c r="BI4">
        <f>_xlfn.XLOOKUP(BI3,Tableau1[Dragon fruit],Tableau1[Player id])</f>
        <v>18977827</v>
      </c>
      <c r="BJ4">
        <f>_xlfn.XLOOKUP(BJ3,Tableau1[Bamboo shoot],Tableau1[Player id])</f>
        <v>10086034</v>
      </c>
      <c r="BK4">
        <f>_xlfn.XLOOKUP(BK3,Tableau1[Carrot],Tableau1[Player id])</f>
        <v>13117515</v>
      </c>
      <c r="BL4">
        <f>_xlfn.XLOOKUP(BL3,Tableau1[Phantom fruit],Tableau1[Player id])</f>
        <v>10763613</v>
      </c>
      <c r="BM4">
        <f>_xlfn.XLOOKUP(BM3,Tableau1[Clocko fruit],Tableau1[Player id])</f>
        <v>10763613</v>
      </c>
    </row>
    <row r="5" spans="2:65" x14ac:dyDescent="0.2">
      <c r="B5">
        <v>18977827</v>
      </c>
      <c r="C5" s="11">
        <v>2.58</v>
      </c>
      <c r="D5" s="11">
        <v>2.63</v>
      </c>
      <c r="E5" s="11">
        <v>1.6</v>
      </c>
      <c r="F5" s="11">
        <v>2.59</v>
      </c>
      <c r="G5" s="11">
        <v>1.95</v>
      </c>
      <c r="H5" s="11">
        <v>1.62</v>
      </c>
      <c r="I5" s="11">
        <f>AVERAGE(Tableau18[[#This Row],[Bamboo shoot]:[Clocko fruit]])</f>
        <v>2.1616666666666666</v>
      </c>
      <c r="K5">
        <v>18977827</v>
      </c>
      <c r="L5" s="6">
        <f>VLOOKUP(Tableau29[[#This Row],[Player id]],Tableau18[[Player id]:[Clocko fruit]],2,0)</f>
        <v>2.58</v>
      </c>
      <c r="M5">
        <v>14736258</v>
      </c>
      <c r="N5" s="6">
        <f>VLOOKUP(Tableau310[[#This Row],[Player id]],Tableau18[[Player id]:[Clocko fruit]],3,0)</f>
        <v>2.39</v>
      </c>
      <c r="O5">
        <v>10327617</v>
      </c>
      <c r="P5" s="5">
        <f>VLOOKUP(Tableau411[[#This Row],[Player id]],Tableau18[[Player id]:[Clocko fruit]],4,0)</f>
        <v>2.13</v>
      </c>
      <c r="Q5">
        <v>14736258</v>
      </c>
      <c r="R5" s="5">
        <f>VLOOKUP(Tableau512[[#This Row],[Player id]],Tableau18[[Player id]:[Clocko fruit]],5,0)</f>
        <v>2.57</v>
      </c>
      <c r="S5">
        <v>14736258</v>
      </c>
      <c r="T5" s="5">
        <f>VLOOKUP(Tableau613[[#This Row],[Player id]],Tableau18[[Player id]:[Clocko fruit]],5,0)</f>
        <v>2.57</v>
      </c>
      <c r="U5">
        <v>10327617</v>
      </c>
      <c r="V5" s="6">
        <f>VLOOKUP(Tableau61314[[#This Row],[Player id]],Tableau18[[Player id]:[Clocko fruit]],6,0)</f>
        <v>2.2999999999999998</v>
      </c>
      <c r="AF5">
        <v>0.1</v>
      </c>
      <c r="AG5">
        <v>10</v>
      </c>
      <c r="AH5">
        <f>AG5*AF5</f>
        <v>1</v>
      </c>
      <c r="AI5">
        <f>AG5^2*AF5</f>
        <v>10</v>
      </c>
      <c r="AO5">
        <v>10086034</v>
      </c>
      <c r="AP5">
        <v>74</v>
      </c>
      <c r="AQ5">
        <v>96</v>
      </c>
      <c r="AR5">
        <v>76</v>
      </c>
      <c r="AS5">
        <v>64</v>
      </c>
      <c r="AT5">
        <v>63</v>
      </c>
      <c r="AU5">
        <f>AVERAGE(Tableau1[[#This Row],[Dragon fruit]:[Clocko fruit]])</f>
        <v>74.599999999999994</v>
      </c>
      <c r="AW5">
        <v>10048958</v>
      </c>
      <c r="AX5" s="5">
        <v>83</v>
      </c>
      <c r="AY5">
        <v>18977827</v>
      </c>
      <c r="AZ5" s="5">
        <v>81</v>
      </c>
      <c r="BA5">
        <v>10048958</v>
      </c>
      <c r="BB5" s="5">
        <v>87</v>
      </c>
      <c r="BC5">
        <v>10187257</v>
      </c>
      <c r="BD5" s="6">
        <v>79</v>
      </c>
      <c r="BE5">
        <v>10409514</v>
      </c>
      <c r="BF5" s="5">
        <v>98</v>
      </c>
    </row>
    <row r="6" spans="2:65" x14ac:dyDescent="0.2">
      <c r="B6">
        <v>10327617</v>
      </c>
      <c r="C6" s="11">
        <v>1.72</v>
      </c>
      <c r="D6" s="11">
        <v>1.74</v>
      </c>
      <c r="E6" s="11">
        <v>2.13</v>
      </c>
      <c r="F6" s="11">
        <v>2.23</v>
      </c>
      <c r="G6" s="11">
        <v>2.2999999999999998</v>
      </c>
      <c r="H6" s="11">
        <v>2.63</v>
      </c>
      <c r="I6" s="11">
        <f>AVERAGE(Tableau18[[#This Row],[Bamboo shoot]:[Clocko fruit]])</f>
        <v>2.125</v>
      </c>
      <c r="K6">
        <v>10763613</v>
      </c>
      <c r="L6" s="5">
        <f>VLOOKUP(Tableau29[[#This Row],[Player id]],Tableau18[[Player id]:[Clocko fruit]],2,0)</f>
        <v>2.5299999999999998</v>
      </c>
      <c r="M6">
        <v>12252537</v>
      </c>
      <c r="N6" s="5">
        <f>VLOOKUP(Tableau310[[#This Row],[Player id]],Tableau18[[Player id]:[Clocko fruit]],3,0)</f>
        <v>2.36</v>
      </c>
      <c r="O6">
        <v>10187257</v>
      </c>
      <c r="P6" s="5">
        <f>VLOOKUP(Tableau411[[#This Row],[Player id]],Tableau18[[Player id]:[Clocko fruit]],4,0)</f>
        <v>2.02</v>
      </c>
      <c r="Q6">
        <v>10763613</v>
      </c>
      <c r="R6" s="5">
        <f>VLOOKUP(Tableau512[[#This Row],[Player id]],Tableau18[[Player id]:[Clocko fruit]],5,0)</f>
        <v>2.4500000000000002</v>
      </c>
      <c r="S6">
        <v>10763613</v>
      </c>
      <c r="T6" s="5">
        <f>VLOOKUP(Tableau613[[#This Row],[Player id]],Tableau18[[Player id]:[Clocko fruit]],5,0)</f>
        <v>2.4500000000000002</v>
      </c>
      <c r="U6">
        <v>10092028</v>
      </c>
      <c r="V6" s="5">
        <f>VLOOKUP(Tableau61314[[#This Row],[Player id]],Tableau18[[Player id]:[Clocko fruit]],6,0)</f>
        <v>2.2599999999999998</v>
      </c>
      <c r="AF6">
        <v>0.04</v>
      </c>
      <c r="AG6">
        <v>15</v>
      </c>
      <c r="AH6">
        <f>AG6*AF6</f>
        <v>0.6</v>
      </c>
      <c r="AI6">
        <f>AG6^2*AF6</f>
        <v>9</v>
      </c>
      <c r="AO6">
        <v>10041728</v>
      </c>
      <c r="AP6">
        <v>81</v>
      </c>
      <c r="AQ6">
        <v>80</v>
      </c>
      <c r="AR6">
        <v>74</v>
      </c>
      <c r="AS6">
        <v>64</v>
      </c>
      <c r="AT6">
        <v>65</v>
      </c>
      <c r="AU6">
        <f>AVERAGE(Tableau1[[#This Row],[Dragon fruit]:[Clocko fruit]])</f>
        <v>72.8</v>
      </c>
      <c r="AW6">
        <v>10041728</v>
      </c>
      <c r="AX6" s="6">
        <v>81</v>
      </c>
      <c r="AY6">
        <v>13682526</v>
      </c>
      <c r="AZ6" s="5">
        <v>80</v>
      </c>
      <c r="BA6">
        <v>10327617</v>
      </c>
      <c r="BB6" s="6">
        <v>86</v>
      </c>
      <c r="BC6">
        <v>13682526</v>
      </c>
      <c r="BD6" s="5">
        <v>78</v>
      </c>
      <c r="BE6">
        <v>10214454</v>
      </c>
      <c r="BF6" s="6">
        <v>82</v>
      </c>
    </row>
    <row r="7" spans="2:65" x14ac:dyDescent="0.2">
      <c r="B7">
        <v>14736258</v>
      </c>
      <c r="C7" s="11">
        <v>1.86</v>
      </c>
      <c r="D7" s="11">
        <v>2.39</v>
      </c>
      <c r="E7" s="11">
        <v>1.8</v>
      </c>
      <c r="F7" s="11">
        <v>2.57</v>
      </c>
      <c r="G7" s="11">
        <v>1.96</v>
      </c>
      <c r="H7" s="11">
        <v>2.13</v>
      </c>
      <c r="I7" s="11">
        <f>AVERAGE(Tableau18[[#This Row],[Bamboo shoot]:[Clocko fruit]])</f>
        <v>2.1183333333333327</v>
      </c>
      <c r="K7">
        <v>10041728</v>
      </c>
      <c r="L7" s="6">
        <f>VLOOKUP(Tableau29[[#This Row],[Player id]],Tableau18[[Player id]:[Clocko fruit]],2,0)</f>
        <v>2.06</v>
      </c>
      <c r="M7">
        <v>10002580</v>
      </c>
      <c r="N7" s="6">
        <f>VLOOKUP(Tableau310[[#This Row],[Player id]],Tableau18[[Player id]:[Clocko fruit]],3,0)</f>
        <v>2.21</v>
      </c>
      <c r="O7">
        <v>13682526</v>
      </c>
      <c r="P7" s="6">
        <f>VLOOKUP(Tableau411[[#This Row],[Player id]],Tableau18[[Player id]:[Clocko fruit]],4,0)</f>
        <v>2</v>
      </c>
      <c r="Q7">
        <v>10334064</v>
      </c>
      <c r="R7" s="5">
        <f>VLOOKUP(Tableau512[[#This Row],[Player id]],Tableau18[[Player id]:[Clocko fruit]],5,0)</f>
        <v>2.41</v>
      </c>
      <c r="S7">
        <v>10334064</v>
      </c>
      <c r="T7" s="6">
        <f>VLOOKUP(Tableau613[[#This Row],[Player id]],Tableau18[[Player id]:[Clocko fruit]],5,0)</f>
        <v>2.41</v>
      </c>
      <c r="U7">
        <v>10763613</v>
      </c>
      <c r="V7" s="5">
        <f>VLOOKUP(Tableau61314[[#This Row],[Player id]],Tableau18[[Player id]:[Clocko fruit]],6,0)</f>
        <v>2.02</v>
      </c>
      <c r="AF7">
        <v>0.01</v>
      </c>
      <c r="AG7">
        <v>20</v>
      </c>
      <c r="AH7">
        <f>AG7*AF7</f>
        <v>0.2</v>
      </c>
      <c r="AI7">
        <f>AG7^2*AF7</f>
        <v>4</v>
      </c>
      <c r="AO7">
        <v>10002580</v>
      </c>
      <c r="AP7">
        <v>87</v>
      </c>
      <c r="AQ7">
        <v>68</v>
      </c>
      <c r="AR7">
        <v>84</v>
      </c>
      <c r="AS7">
        <v>60</v>
      </c>
      <c r="AT7">
        <v>64</v>
      </c>
      <c r="AU7">
        <f>AVERAGE(Tableau1[[#This Row],[Dragon fruit]:[Clocko fruit]])</f>
        <v>72.599999999999994</v>
      </c>
      <c r="AW7">
        <v>12252537</v>
      </c>
      <c r="AX7" s="5">
        <v>76</v>
      </c>
      <c r="AY7">
        <v>10041728</v>
      </c>
      <c r="AZ7" s="6">
        <v>80</v>
      </c>
      <c r="BA7">
        <v>10763613</v>
      </c>
      <c r="BB7" s="5">
        <v>85</v>
      </c>
      <c r="BC7">
        <v>10404376</v>
      </c>
      <c r="BD7" s="6">
        <v>76</v>
      </c>
      <c r="BE7">
        <v>18469277</v>
      </c>
      <c r="BF7" s="6">
        <v>80</v>
      </c>
    </row>
    <row r="8" spans="2:65" x14ac:dyDescent="0.2">
      <c r="B8">
        <v>10334064</v>
      </c>
      <c r="C8" s="11">
        <v>1.6</v>
      </c>
      <c r="D8" s="11">
        <v>1.8</v>
      </c>
      <c r="E8" s="11">
        <v>1.65</v>
      </c>
      <c r="F8" s="11">
        <v>2.41</v>
      </c>
      <c r="G8" s="11">
        <v>1.85</v>
      </c>
      <c r="H8" s="11">
        <v>2.4300000000000002</v>
      </c>
      <c r="I8" s="11">
        <f>AVERAGE(Tableau18[[#This Row],[Bamboo shoot]:[Clocko fruit]])</f>
        <v>1.9566666666666668</v>
      </c>
      <c r="K8">
        <v>10048958</v>
      </c>
      <c r="L8" s="6">
        <f>VLOOKUP(Tableau29[[#This Row],[Player id]],Tableau18[[Player id]:[Clocko fruit]],2,0)</f>
        <v>1.93</v>
      </c>
      <c r="M8">
        <v>13117515</v>
      </c>
      <c r="N8" s="5">
        <f>VLOOKUP(Tableau310[[#This Row],[Player id]],Tableau18[[Player id]:[Clocko fruit]],3,0)</f>
        <v>2.15</v>
      </c>
      <c r="O8">
        <v>10404376</v>
      </c>
      <c r="P8" s="5">
        <f>VLOOKUP(Tableau411[[#This Row],[Player id]],Tableau18[[Player id]:[Clocko fruit]],4,0)</f>
        <v>1.95</v>
      </c>
      <c r="Q8">
        <v>10327617</v>
      </c>
      <c r="R8" s="6">
        <f>VLOOKUP(Tableau512[[#This Row],[Player id]],Tableau18[[Player id]:[Clocko fruit]],5,0)</f>
        <v>2.23</v>
      </c>
      <c r="S8">
        <v>10327617</v>
      </c>
      <c r="T8" s="6">
        <f>VLOOKUP(Tableau613[[#This Row],[Player id]],Tableau18[[Player id]:[Clocko fruit]],5,0)</f>
        <v>2.23</v>
      </c>
      <c r="U8">
        <v>14736258</v>
      </c>
      <c r="V8" s="5">
        <f>VLOOKUP(Tableau61314[[#This Row],[Player id]],Tableau18[[Player id]:[Clocko fruit]],6,0)</f>
        <v>1.96</v>
      </c>
      <c r="AF8">
        <v>0.01</v>
      </c>
      <c r="AG8">
        <v>25</v>
      </c>
      <c r="AH8">
        <f>AG8*AF8</f>
        <v>0.25</v>
      </c>
      <c r="AI8">
        <f>AG8^2*AF8</f>
        <v>6.25</v>
      </c>
      <c r="AO8">
        <v>10404376</v>
      </c>
      <c r="AP8">
        <v>66</v>
      </c>
      <c r="AQ8">
        <v>71</v>
      </c>
      <c r="AR8">
        <v>70</v>
      </c>
      <c r="AS8">
        <v>76</v>
      </c>
      <c r="AT8">
        <v>79</v>
      </c>
      <c r="AU8">
        <f>AVERAGE(Tableau1[[#This Row],[Dragon fruit]:[Clocko fruit]])</f>
        <v>72.400000000000006</v>
      </c>
      <c r="AW8">
        <v>10132613</v>
      </c>
      <c r="AX8" s="5">
        <v>76</v>
      </c>
      <c r="AY8">
        <v>10132613</v>
      </c>
      <c r="AZ8" s="5">
        <v>77</v>
      </c>
      <c r="BA8">
        <v>10002580</v>
      </c>
      <c r="BB8" s="5">
        <v>84</v>
      </c>
      <c r="BC8">
        <v>11354842</v>
      </c>
      <c r="BD8" s="6">
        <v>74</v>
      </c>
      <c r="BE8">
        <v>10404376</v>
      </c>
      <c r="BF8" s="6">
        <v>79</v>
      </c>
    </row>
    <row r="9" spans="2:65" x14ac:dyDescent="0.2">
      <c r="B9">
        <v>10048958</v>
      </c>
      <c r="C9" s="11">
        <v>1.93</v>
      </c>
      <c r="D9" s="11">
        <v>2.11</v>
      </c>
      <c r="E9" s="11">
        <v>1.49</v>
      </c>
      <c r="F9" s="11">
        <v>2.21</v>
      </c>
      <c r="G9" s="11">
        <v>2.63</v>
      </c>
      <c r="H9" s="11">
        <v>1.2</v>
      </c>
      <c r="I9" s="11">
        <f>AVERAGE(Tableau18[[#This Row],[Bamboo shoot]:[Clocko fruit]])</f>
        <v>1.9283333333333335</v>
      </c>
      <c r="K9">
        <v>14736258</v>
      </c>
      <c r="L9" s="6">
        <f>VLOOKUP(Tableau29[[#This Row],[Player id]],Tableau18[[Player id]:[Clocko fruit]],2,0)</f>
        <v>1.86</v>
      </c>
      <c r="M9">
        <v>10048958</v>
      </c>
      <c r="N9" s="6">
        <f>VLOOKUP(Tableau310[[#This Row],[Player id]],Tableau18[[Player id]:[Clocko fruit]],3,0)</f>
        <v>2.11</v>
      </c>
      <c r="O9">
        <v>10132613</v>
      </c>
      <c r="P9" s="6">
        <f>VLOOKUP(Tableau411[[#This Row],[Player id]],Tableau18[[Player id]:[Clocko fruit]],4,0)</f>
        <v>1.94</v>
      </c>
      <c r="Q9">
        <v>10048958</v>
      </c>
      <c r="R9" s="6">
        <f>VLOOKUP(Tableau512[[#This Row],[Player id]],Tableau18[[Player id]:[Clocko fruit]],5,0)</f>
        <v>2.21</v>
      </c>
      <c r="S9">
        <v>10048958</v>
      </c>
      <c r="T9" s="6">
        <f>VLOOKUP(Tableau613[[#This Row],[Player id]],Tableau18[[Player id]:[Clocko fruit]],5,0)</f>
        <v>2.21</v>
      </c>
      <c r="U9">
        <v>18977827</v>
      </c>
      <c r="V9" s="6">
        <f>VLOOKUP(Tableau61314[[#This Row],[Player id]],Tableau18[[Player id]:[Clocko fruit]],6,0)</f>
        <v>1.95</v>
      </c>
      <c r="AH9">
        <f>SUM(AH4:AH8)</f>
        <v>6.25</v>
      </c>
      <c r="AI9">
        <f>SUM(AI4:AI8)</f>
        <v>50.25</v>
      </c>
      <c r="AO9">
        <v>13682526</v>
      </c>
      <c r="AP9">
        <v>62</v>
      </c>
      <c r="AQ9">
        <v>80</v>
      </c>
      <c r="AR9">
        <v>75</v>
      </c>
      <c r="AS9">
        <v>78</v>
      </c>
      <c r="AT9">
        <v>67</v>
      </c>
      <c r="AU9">
        <f>AVERAGE(Tableau1[[#This Row],[Dragon fruit]:[Clocko fruit]])</f>
        <v>72.400000000000006</v>
      </c>
      <c r="AW9">
        <v>10066347</v>
      </c>
      <c r="AX9" s="5">
        <v>76</v>
      </c>
      <c r="AY9">
        <v>10048958</v>
      </c>
      <c r="AZ9" s="5">
        <v>77</v>
      </c>
      <c r="BA9">
        <v>10092028</v>
      </c>
      <c r="BB9" s="6">
        <v>84</v>
      </c>
      <c r="BC9">
        <v>10092028</v>
      </c>
      <c r="BD9" s="6">
        <v>66</v>
      </c>
      <c r="BE9">
        <v>10334064</v>
      </c>
      <c r="BF9" s="6">
        <v>81</v>
      </c>
    </row>
    <row r="10" spans="2:65" x14ac:dyDescent="0.2">
      <c r="B10">
        <v>10086034</v>
      </c>
      <c r="C10" s="11">
        <v>2.63</v>
      </c>
      <c r="D10" s="11">
        <v>1.9</v>
      </c>
      <c r="E10" s="11">
        <v>1.59</v>
      </c>
      <c r="F10" s="11">
        <v>1.89</v>
      </c>
      <c r="G10" s="11">
        <v>1.72</v>
      </c>
      <c r="H10" s="11">
        <v>1.52</v>
      </c>
      <c r="I10" s="11">
        <f>AVERAGE(Tableau18[[#This Row],[Bamboo shoot]:[Clocko fruit]])</f>
        <v>1.875</v>
      </c>
      <c r="K10">
        <v>10187363</v>
      </c>
      <c r="L10" s="5">
        <f>VLOOKUP(Tableau29[[#This Row],[Player id]],Tableau18[[Player id]:[Clocko fruit]],2,0)</f>
        <v>1.82</v>
      </c>
      <c r="M10">
        <v>10041728</v>
      </c>
      <c r="N10" s="5">
        <f>VLOOKUP(Tableau310[[#This Row],[Player id]],Tableau18[[Player id]:[Clocko fruit]],3,0)</f>
        <v>2.1</v>
      </c>
      <c r="O10">
        <v>11354842</v>
      </c>
      <c r="P10" s="6">
        <f>VLOOKUP(Tableau411[[#This Row],[Player id]],Tableau18[[Player id]:[Clocko fruit]],4,0)</f>
        <v>1.87</v>
      </c>
      <c r="Q10">
        <v>10002580</v>
      </c>
      <c r="R10" s="5">
        <f>VLOOKUP(Tableau512[[#This Row],[Player id]],Tableau18[[Player id]:[Clocko fruit]],5,0)</f>
        <v>2.1800000000000002</v>
      </c>
      <c r="S10">
        <v>10002580</v>
      </c>
      <c r="T10" s="6">
        <f>VLOOKUP(Tableau613[[#This Row],[Player id]],Tableau18[[Player id]:[Clocko fruit]],5,0)</f>
        <v>2.1800000000000002</v>
      </c>
      <c r="U10">
        <v>11417755</v>
      </c>
      <c r="V10" s="5">
        <f>VLOOKUP(Tableau61314[[#This Row],[Player id]],Tableau18[[Player id]:[Clocko fruit]],6,0)</f>
        <v>1.89</v>
      </c>
      <c r="AH10" t="s">
        <v>54</v>
      </c>
      <c r="AI10" t="s">
        <v>53</v>
      </c>
      <c r="AO10">
        <v>13117515</v>
      </c>
      <c r="AP10">
        <v>64</v>
      </c>
      <c r="AQ10">
        <v>67</v>
      </c>
      <c r="AR10">
        <v>99</v>
      </c>
      <c r="AS10">
        <v>65</v>
      </c>
      <c r="AT10">
        <v>67</v>
      </c>
      <c r="AU10">
        <f>AVERAGE(Tableau1[[#This Row],[Dragon fruit]:[Clocko fruit]])</f>
        <v>72.400000000000006</v>
      </c>
      <c r="AW10">
        <v>10066347</v>
      </c>
      <c r="AX10" s="5">
        <v>76</v>
      </c>
      <c r="AY10">
        <v>18886393</v>
      </c>
      <c r="AZ10" s="5">
        <v>74</v>
      </c>
      <c r="BA10">
        <v>18886393</v>
      </c>
      <c r="BB10" s="5">
        <v>80</v>
      </c>
      <c r="BC10">
        <v>10264905</v>
      </c>
      <c r="BD10" s="6">
        <v>66</v>
      </c>
      <c r="BE10">
        <v>10430602</v>
      </c>
      <c r="BF10" s="6">
        <v>74</v>
      </c>
    </row>
    <row r="11" spans="2:65" x14ac:dyDescent="0.2">
      <c r="B11">
        <v>10002580</v>
      </c>
      <c r="C11" s="11">
        <v>1.77</v>
      </c>
      <c r="D11" s="11">
        <v>2.21</v>
      </c>
      <c r="E11" s="11">
        <v>1.55</v>
      </c>
      <c r="F11" s="11">
        <v>2.1800000000000002</v>
      </c>
      <c r="G11" s="11">
        <v>1.87</v>
      </c>
      <c r="H11" s="11">
        <v>1.58</v>
      </c>
      <c r="I11" s="11">
        <f>AVERAGE(Tableau18[[#This Row],[Bamboo shoot]:[Clocko fruit]])</f>
        <v>1.8600000000000003</v>
      </c>
      <c r="K11">
        <v>10187257</v>
      </c>
      <c r="L11" s="5">
        <f>VLOOKUP(Tableau29[[#This Row],[Player id]],Tableau18[[Player id]:[Clocko fruit]],2,0)</f>
        <v>1.91</v>
      </c>
      <c r="M11">
        <v>13682526</v>
      </c>
      <c r="N11" s="5">
        <f>VLOOKUP(Tableau310[[#This Row],[Player id]],Tableau18[[Player id]:[Clocko fruit]],3,0)</f>
        <v>2.0499999999999998</v>
      </c>
      <c r="O11">
        <v>10187363</v>
      </c>
      <c r="P11" s="5">
        <f>VLOOKUP(Tableau411[[#This Row],[Player id]],Tableau18[[Player id]:[Clocko fruit]],4,0)</f>
        <v>1.85</v>
      </c>
      <c r="Q11">
        <v>11417755</v>
      </c>
      <c r="R11" s="6">
        <f>VLOOKUP(Tableau512[[#This Row],[Player id]],Tableau18[[Player id]:[Clocko fruit]],5,0)</f>
        <v>2.12</v>
      </c>
      <c r="S11">
        <v>11417755</v>
      </c>
      <c r="T11" s="5">
        <f>VLOOKUP(Tableau613[[#This Row],[Player id]],Tableau18[[Player id]:[Clocko fruit]],5,0)</f>
        <v>2.12</v>
      </c>
      <c r="U11">
        <v>10002580</v>
      </c>
      <c r="V11" s="6">
        <f>VLOOKUP(Tableau61314[[#This Row],[Player id]],Tableau18[[Player id]:[Clocko fruit]],6,0)</f>
        <v>1.87</v>
      </c>
      <c r="AH11">
        <f>AI9-AH9^2</f>
        <v>11.1875</v>
      </c>
      <c r="AI11">
        <f>AH11^(1/2)</f>
        <v>3.344772040064913</v>
      </c>
      <c r="AO11">
        <v>18977827</v>
      </c>
      <c r="AP11">
        <v>99</v>
      </c>
      <c r="AQ11">
        <v>81</v>
      </c>
      <c r="AR11">
        <v>69</v>
      </c>
      <c r="AS11">
        <v>53</v>
      </c>
      <c r="AT11">
        <v>57</v>
      </c>
      <c r="AU11">
        <f>AVERAGE(Tableau1[[#This Row],[Dragon fruit]:[Clocko fruit]])</f>
        <v>71.8</v>
      </c>
      <c r="AW11">
        <v>10054910</v>
      </c>
      <c r="AX11" s="6">
        <v>75</v>
      </c>
      <c r="AY11">
        <v>10187363</v>
      </c>
      <c r="AZ11" s="6">
        <v>74</v>
      </c>
      <c r="BA11">
        <v>18469277</v>
      </c>
      <c r="BB11" s="6">
        <v>78</v>
      </c>
      <c r="BC11">
        <v>13117515</v>
      </c>
      <c r="BD11" s="6">
        <v>65</v>
      </c>
      <c r="BE11">
        <v>11417755</v>
      </c>
      <c r="BF11" s="6">
        <v>73</v>
      </c>
    </row>
    <row r="12" spans="2:65" x14ac:dyDescent="0.2">
      <c r="B12">
        <v>10041728</v>
      </c>
      <c r="C12" s="11">
        <v>2.06</v>
      </c>
      <c r="D12" s="11">
        <v>2.1</v>
      </c>
      <c r="E12" s="11">
        <v>1.66</v>
      </c>
      <c r="F12" s="11">
        <v>1.94</v>
      </c>
      <c r="G12" s="11">
        <v>1.59</v>
      </c>
      <c r="H12" s="11">
        <v>1.6</v>
      </c>
      <c r="I12" s="11">
        <f>AVERAGE(Tableau18[[#This Row],[Bamboo shoot]:[Clocko fruit]])</f>
        <v>1.825</v>
      </c>
      <c r="K12">
        <v>10002580</v>
      </c>
      <c r="L12" s="5">
        <f>VLOOKUP(Tableau29[[#This Row],[Player id]],Tableau18[[Player id]:[Clocko fruit]],2,0)</f>
        <v>1.77</v>
      </c>
      <c r="M12">
        <v>10132613</v>
      </c>
      <c r="N12" s="6">
        <f>VLOOKUP(Tableau310[[#This Row],[Player id]],Tableau18[[Player id]:[Clocko fruit]],3,0)</f>
        <v>1.97</v>
      </c>
      <c r="O12">
        <v>14736258</v>
      </c>
      <c r="P12" s="5">
        <f>VLOOKUP(Tableau411[[#This Row],[Player id]],Tableau18[[Player id]:[Clocko fruit]],4,0)</f>
        <v>1.8</v>
      </c>
      <c r="Q12">
        <v>18886393</v>
      </c>
      <c r="R12" s="5">
        <f>VLOOKUP(Tableau512[[#This Row],[Player id]],Tableau18[[Player id]:[Clocko fruit]],5,0)</f>
        <v>2.11</v>
      </c>
      <c r="S12">
        <v>18886393</v>
      </c>
      <c r="T12" s="6">
        <f>VLOOKUP(Tableau613[[#This Row],[Player id]],Tableau18[[Player id]:[Clocko fruit]],5,0)</f>
        <v>2.11</v>
      </c>
      <c r="U12">
        <v>10334064</v>
      </c>
      <c r="V12" s="6">
        <f>VLOOKUP(Tableau61314[[#This Row],[Player id]],Tableau18[[Player id]:[Clocko fruit]],6,0)</f>
        <v>1.85</v>
      </c>
      <c r="AO12">
        <v>10187257</v>
      </c>
      <c r="AP12">
        <v>68</v>
      </c>
      <c r="AQ12">
        <v>72</v>
      </c>
      <c r="AR12">
        <v>70</v>
      </c>
      <c r="AS12">
        <v>79</v>
      </c>
      <c r="AT12">
        <v>70</v>
      </c>
      <c r="AU12">
        <f>AVERAGE(Tableau1[[#This Row],[Dragon fruit]:[Clocko fruit]])</f>
        <v>71.8</v>
      </c>
      <c r="AW12">
        <v>10086034</v>
      </c>
      <c r="AX12" s="5">
        <v>74</v>
      </c>
      <c r="AY12">
        <v>10187257</v>
      </c>
      <c r="AZ12" s="6">
        <v>72</v>
      </c>
      <c r="BA12">
        <v>10086034</v>
      </c>
      <c r="BB12" s="5">
        <v>76</v>
      </c>
      <c r="BC12">
        <v>10334064</v>
      </c>
      <c r="BD12" s="6">
        <v>65</v>
      </c>
      <c r="BE12">
        <v>10063379</v>
      </c>
      <c r="BF12" s="6">
        <v>71</v>
      </c>
    </row>
    <row r="13" spans="2:65" x14ac:dyDescent="0.2">
      <c r="B13">
        <v>10404376</v>
      </c>
      <c r="C13" s="11">
        <v>1.73</v>
      </c>
      <c r="D13" s="11">
        <v>1.64</v>
      </c>
      <c r="E13" s="11">
        <v>1.95</v>
      </c>
      <c r="F13" s="11">
        <v>1.74</v>
      </c>
      <c r="G13" s="11">
        <v>1.64</v>
      </c>
      <c r="H13" s="11">
        <v>2.16</v>
      </c>
      <c r="I13" s="11">
        <f>AVERAGE(Tableau18[[#This Row],[Bamboo shoot]:[Clocko fruit]])</f>
        <v>1.8100000000000003</v>
      </c>
      <c r="K13">
        <v>10404376</v>
      </c>
      <c r="L13" s="5">
        <f>VLOOKUP(Tableau29[[#This Row],[Player id]],Tableau18[[Player id]:[Clocko fruit]],2,0)</f>
        <v>1.73</v>
      </c>
      <c r="M13">
        <v>18886393</v>
      </c>
      <c r="N13" s="5">
        <f>VLOOKUP(Tableau310[[#This Row],[Player id]],Tableau18[[Player id]:[Clocko fruit]],3,0)</f>
        <v>1.91</v>
      </c>
      <c r="O13">
        <v>10092028</v>
      </c>
      <c r="P13" s="6">
        <f>VLOOKUP(Tableau411[[#This Row],[Player id]],Tableau18[[Player id]:[Clocko fruit]],4,0)</f>
        <v>1.76</v>
      </c>
      <c r="Q13">
        <v>10041728</v>
      </c>
      <c r="R13" s="5">
        <f>VLOOKUP(Tableau512[[#This Row],[Player id]],Tableau18[[Player id]:[Clocko fruit]],5,0)</f>
        <v>1.94</v>
      </c>
      <c r="S13">
        <v>10041728</v>
      </c>
      <c r="T13" s="6">
        <f>VLOOKUP(Tableau613[[#This Row],[Player id]],Tableau18[[Player id]:[Clocko fruit]],5,0)</f>
        <v>1.94</v>
      </c>
      <c r="U13">
        <v>10132613</v>
      </c>
      <c r="V13" s="5">
        <f>VLOOKUP(Tableau61314[[#This Row],[Player id]],Tableau18[[Player id]:[Clocko fruit]],6,0)</f>
        <v>1.85</v>
      </c>
      <c r="AO13">
        <v>10409514</v>
      </c>
      <c r="AP13">
        <v>64</v>
      </c>
      <c r="AQ13">
        <v>65</v>
      </c>
      <c r="AR13">
        <v>67</v>
      </c>
      <c r="AS13">
        <v>63</v>
      </c>
      <c r="AT13">
        <v>98</v>
      </c>
      <c r="AU13">
        <f>AVERAGE(Tableau1[[#This Row],[Dragon fruit]:[Clocko fruit]])</f>
        <v>71.400000000000006</v>
      </c>
      <c r="AW13">
        <v>21007894</v>
      </c>
      <c r="AX13" s="5">
        <v>73</v>
      </c>
      <c r="AY13">
        <v>10092028</v>
      </c>
      <c r="AZ13" s="6">
        <v>72</v>
      </c>
      <c r="BA13">
        <v>10657966</v>
      </c>
      <c r="BB13" s="5">
        <v>76</v>
      </c>
      <c r="BC13">
        <v>10187363</v>
      </c>
      <c r="BD13" s="6">
        <v>65</v>
      </c>
      <c r="BE13">
        <v>10063379</v>
      </c>
      <c r="BF13" s="5">
        <v>71</v>
      </c>
    </row>
    <row r="14" spans="2:65" x14ac:dyDescent="0.2">
      <c r="B14">
        <v>10187257</v>
      </c>
      <c r="C14" s="59">
        <v>1.91</v>
      </c>
      <c r="D14" s="11">
        <v>1.75</v>
      </c>
      <c r="E14" s="11">
        <v>2.02</v>
      </c>
      <c r="F14" s="11">
        <v>1.76</v>
      </c>
      <c r="G14" s="11">
        <v>1.66</v>
      </c>
      <c r="H14" s="11">
        <v>1.75</v>
      </c>
      <c r="I14" s="11">
        <f>AVERAGE(Tableau18[[#This Row],[Bamboo shoot]:[Clocko fruit]])</f>
        <v>1.8083333333333333</v>
      </c>
      <c r="K14">
        <v>10213126</v>
      </c>
      <c r="L14" s="6">
        <f>VLOOKUP(Tableau29[[#This Row],[Player id]],Tableau18[[Player id]:[Clocko fruit]],2,0)</f>
        <v>1.73</v>
      </c>
      <c r="M14">
        <v>10086034</v>
      </c>
      <c r="N14" s="5">
        <f>VLOOKUP(Tableau310[[#This Row],[Player id]],Tableau18[[Player id]:[Clocko fruit]],3,0)</f>
        <v>1.9</v>
      </c>
      <c r="O14">
        <v>18886393</v>
      </c>
      <c r="P14" s="5">
        <f>VLOOKUP(Tableau411[[#This Row],[Player id]],Tableau18[[Player id]:[Clocko fruit]],4,0)</f>
        <v>1.73</v>
      </c>
      <c r="Q14">
        <v>10086034</v>
      </c>
      <c r="R14" s="6">
        <f>VLOOKUP(Tableau512[[#This Row],[Player id]],Tableau18[[Player id]:[Clocko fruit]],5,0)</f>
        <v>1.89</v>
      </c>
      <c r="S14">
        <v>10086034</v>
      </c>
      <c r="T14" s="6">
        <f>VLOOKUP(Tableau613[[#This Row],[Player id]],Tableau18[[Player id]:[Clocko fruit]],5,0)</f>
        <v>1.89</v>
      </c>
      <c r="U14">
        <v>10086034</v>
      </c>
      <c r="V14" s="6">
        <f>VLOOKUP(Tableau61314[[#This Row],[Player id]],Tableau18[[Player id]:[Clocko fruit]],6,0)</f>
        <v>1.72</v>
      </c>
      <c r="AO14">
        <v>10334064</v>
      </c>
      <c r="AP14">
        <v>70</v>
      </c>
      <c r="AQ14">
        <v>64</v>
      </c>
      <c r="AR14">
        <v>78</v>
      </c>
      <c r="AS14">
        <v>65</v>
      </c>
      <c r="AT14">
        <v>76</v>
      </c>
      <c r="AU14">
        <f>AVERAGE(Tableau1[[#This Row],[Dragon fruit]:[Clocko fruit]])</f>
        <v>70.599999999999994</v>
      </c>
      <c r="AW14">
        <v>10649142</v>
      </c>
      <c r="AX14" s="6">
        <v>73</v>
      </c>
      <c r="AY14">
        <v>10404376</v>
      </c>
      <c r="AZ14" s="6">
        <v>71</v>
      </c>
      <c r="BA14">
        <v>13682526</v>
      </c>
      <c r="BB14" s="5">
        <v>75</v>
      </c>
      <c r="BC14">
        <v>10086034</v>
      </c>
      <c r="BD14" s="5">
        <v>64</v>
      </c>
      <c r="BE14">
        <v>10187257</v>
      </c>
      <c r="BF14" s="6">
        <v>70</v>
      </c>
    </row>
    <row r="15" spans="2:65" x14ac:dyDescent="0.2">
      <c r="B15">
        <v>10409514</v>
      </c>
      <c r="C15" s="11">
        <v>1.66</v>
      </c>
      <c r="D15" s="11">
        <v>1.56</v>
      </c>
      <c r="E15" s="11">
        <v>1.53</v>
      </c>
      <c r="F15" s="11">
        <v>1.67</v>
      </c>
      <c r="G15" s="11">
        <v>1.65</v>
      </c>
      <c r="H15" s="11">
        <v>2.63</v>
      </c>
      <c r="I15" s="11">
        <f>AVERAGE(Tableau18[[#This Row],[Bamboo shoot]:[Clocko fruit]])</f>
        <v>1.7833333333333332</v>
      </c>
      <c r="K15">
        <v>10327617</v>
      </c>
      <c r="L15" s="5">
        <f>VLOOKUP(Tableau29[[#This Row],[Player id]],Tableau18[[Player id]:[Clocko fruit]],2,0)</f>
        <v>1.72</v>
      </c>
      <c r="M15">
        <v>10334064</v>
      </c>
      <c r="N15" s="6">
        <f>VLOOKUP(Tableau310[[#This Row],[Player id]],Tableau18[[Player id]:[Clocko fruit]],3,0)</f>
        <v>1.8</v>
      </c>
      <c r="O15">
        <v>10041728</v>
      </c>
      <c r="P15" s="6">
        <f>VLOOKUP(Tableau411[[#This Row],[Player id]],Tableau18[[Player id]:[Clocko fruit]],4,0)</f>
        <v>1.66</v>
      </c>
      <c r="Q15">
        <v>13682526</v>
      </c>
      <c r="R15" s="6">
        <f>VLOOKUP(Tableau512[[#This Row],[Player id]],Tableau18[[Player id]:[Clocko fruit]],5,0)</f>
        <v>1.79</v>
      </c>
      <c r="S15">
        <v>13682526</v>
      </c>
      <c r="T15" s="6">
        <f>VLOOKUP(Tableau613[[#This Row],[Player id]],Tableau18[[Player id]:[Clocko fruit]],5,0)</f>
        <v>1.79</v>
      </c>
      <c r="U15">
        <v>10187257</v>
      </c>
      <c r="V15" s="6">
        <f>VLOOKUP(Tableau61314[[#This Row],[Player id]],Tableau18[[Player id]:[Clocko fruit]],6,0)</f>
        <v>1.66</v>
      </c>
      <c r="AO15">
        <v>10048958</v>
      </c>
      <c r="AP15">
        <v>83</v>
      </c>
      <c r="AQ15">
        <v>77</v>
      </c>
      <c r="AR15">
        <v>87</v>
      </c>
      <c r="AS15">
        <v>57</v>
      </c>
      <c r="AT15">
        <v>45</v>
      </c>
      <c r="AU15">
        <f>AVERAGE(Tableau1[[#This Row],[Dragon fruit]:[Clocko fruit]])</f>
        <v>69.8</v>
      </c>
      <c r="AW15">
        <v>11354842</v>
      </c>
      <c r="AX15" s="6">
        <v>72</v>
      </c>
      <c r="AY15">
        <v>10264905</v>
      </c>
      <c r="AZ15" s="6">
        <v>71</v>
      </c>
      <c r="BA15">
        <v>10041728</v>
      </c>
      <c r="BB15" s="6">
        <v>74</v>
      </c>
      <c r="BC15">
        <v>10041728</v>
      </c>
      <c r="BD15" s="6">
        <v>64</v>
      </c>
      <c r="BE15">
        <v>10922998</v>
      </c>
      <c r="BF15" s="6">
        <v>69</v>
      </c>
    </row>
    <row r="16" spans="2:65" x14ac:dyDescent="0.2">
      <c r="B16">
        <v>11417755</v>
      </c>
      <c r="C16" s="11">
        <v>1.63</v>
      </c>
      <c r="D16" s="11">
        <v>1.57</v>
      </c>
      <c r="E16" s="11">
        <v>1.52</v>
      </c>
      <c r="F16" s="11">
        <v>2.12</v>
      </c>
      <c r="G16" s="11">
        <v>1.89</v>
      </c>
      <c r="H16" s="11">
        <v>1.87</v>
      </c>
      <c r="I16" s="11">
        <f>AVERAGE(Tableau18[[#This Row],[Bamboo shoot]:[Clocko fruit]])</f>
        <v>1.7666666666666668</v>
      </c>
      <c r="K16">
        <v>10409514</v>
      </c>
      <c r="L16" s="5">
        <f>VLOOKUP(Tableau29[[#This Row],[Player id]],Tableau18[[Player id]:[Clocko fruit]],2,0)</f>
        <v>1.66</v>
      </c>
      <c r="M16">
        <v>10092028</v>
      </c>
      <c r="N16" s="5">
        <f>VLOOKUP(Tableau310[[#This Row],[Player id]],Tableau18[[Player id]:[Clocko fruit]],3,0)</f>
        <v>1.79</v>
      </c>
      <c r="O16">
        <v>10334064</v>
      </c>
      <c r="P16" s="5">
        <f>VLOOKUP(Tableau411[[#This Row],[Player id]],Tableau18[[Player id]:[Clocko fruit]],4,0)</f>
        <v>1.65</v>
      </c>
      <c r="Q16">
        <v>10187257</v>
      </c>
      <c r="R16" s="6">
        <f>VLOOKUP(Tableau512[[#This Row],[Player id]],Tableau18[[Player id]:[Clocko fruit]],5,0)</f>
        <v>1.76</v>
      </c>
      <c r="S16">
        <v>10187257</v>
      </c>
      <c r="T16" s="6">
        <f>VLOOKUP(Tableau613[[#This Row],[Player id]],Tableau18[[Player id]:[Clocko fruit]],5,0)</f>
        <v>1.76</v>
      </c>
      <c r="U16">
        <v>10409514</v>
      </c>
      <c r="V16" s="5">
        <f>VLOOKUP(Tableau61314[[#This Row],[Player id]],Tableau18[[Player id]:[Clocko fruit]],6,0)</f>
        <v>1.65</v>
      </c>
      <c r="AO16">
        <v>10092028</v>
      </c>
      <c r="AP16">
        <v>69</v>
      </c>
      <c r="AQ16">
        <v>72</v>
      </c>
      <c r="AR16">
        <v>84</v>
      </c>
      <c r="AS16">
        <v>66</v>
      </c>
      <c r="AT16">
        <v>58</v>
      </c>
      <c r="AU16">
        <f>AVERAGE(Tableau1[[#This Row],[Dragon fruit]:[Clocko fruit]])</f>
        <v>69.8</v>
      </c>
      <c r="AW16">
        <v>14736258</v>
      </c>
      <c r="AX16" s="6">
        <v>72</v>
      </c>
      <c r="AY16">
        <v>10137032</v>
      </c>
      <c r="AZ16" s="5">
        <v>69</v>
      </c>
      <c r="BA16">
        <v>14736258</v>
      </c>
      <c r="BB16" s="6">
        <v>73</v>
      </c>
      <c r="BC16">
        <v>12252537</v>
      </c>
      <c r="BD16" s="5">
        <v>64</v>
      </c>
      <c r="BE16">
        <v>12252537</v>
      </c>
      <c r="BF16" s="5">
        <v>68</v>
      </c>
    </row>
    <row r="17" spans="2:58" x14ac:dyDescent="0.2">
      <c r="B17">
        <v>10092028</v>
      </c>
      <c r="C17" s="11">
        <v>1.58</v>
      </c>
      <c r="D17" s="11">
        <v>1.79</v>
      </c>
      <c r="E17" s="11">
        <v>1.76</v>
      </c>
      <c r="F17" s="11">
        <v>1.59</v>
      </c>
      <c r="G17" s="11">
        <v>2.2599999999999998</v>
      </c>
      <c r="H17" s="11">
        <v>1.61</v>
      </c>
      <c r="I17" s="11">
        <f>AVERAGE(Tableau18[[#This Row],[Bamboo shoot]:[Clocko fruit]])</f>
        <v>1.7649999999999999</v>
      </c>
      <c r="K17">
        <v>12252537</v>
      </c>
      <c r="L17" s="6">
        <f>VLOOKUP(Tableau29[[#This Row],[Player id]],Tableau18[[Player id]:[Clocko fruit]],2,0)</f>
        <v>1.65</v>
      </c>
      <c r="M17">
        <v>11354842</v>
      </c>
      <c r="N17" s="6">
        <f>VLOOKUP(Tableau310[[#This Row],[Player id]],Tableau18[[Player id]:[Clocko fruit]],3,0)</f>
        <v>1.77</v>
      </c>
      <c r="O17">
        <v>16944319</v>
      </c>
      <c r="P17" s="6">
        <f>VLOOKUP(Tableau411[[#This Row],[Player id]],Tableau18[[Player id]:[Clocko fruit]],4,0)</f>
        <v>1.61</v>
      </c>
      <c r="Q17">
        <v>10404376</v>
      </c>
      <c r="R17" s="6">
        <f>VLOOKUP(Tableau512[[#This Row],[Player id]],Tableau18[[Player id]:[Clocko fruit]],5,0)</f>
        <v>1.74</v>
      </c>
      <c r="S17">
        <v>10404376</v>
      </c>
      <c r="T17" s="6">
        <f>VLOOKUP(Tableau613[[#This Row],[Player id]],Tableau18[[Player id]:[Clocko fruit]],5,0)</f>
        <v>1.74</v>
      </c>
      <c r="U17">
        <v>10404376</v>
      </c>
      <c r="V17" s="6">
        <f>VLOOKUP(Tableau61314[[#This Row],[Player id]],Tableau18[[Player id]:[Clocko fruit]],6,0)</f>
        <v>1.64</v>
      </c>
      <c r="AO17">
        <v>12252537</v>
      </c>
      <c r="AP17">
        <v>76</v>
      </c>
      <c r="AQ17">
        <v>67</v>
      </c>
      <c r="AR17">
        <v>70</v>
      </c>
      <c r="AS17">
        <v>64</v>
      </c>
      <c r="AT17">
        <v>68</v>
      </c>
      <c r="AU17">
        <f>AVERAGE(Tableau1[[#This Row],[Dragon fruit]:[Clocko fruit]])</f>
        <v>69</v>
      </c>
      <c r="AW17">
        <v>15276961</v>
      </c>
      <c r="AX17" s="6">
        <v>72</v>
      </c>
      <c r="AY17">
        <v>10065853</v>
      </c>
      <c r="AZ17" s="5">
        <v>69</v>
      </c>
      <c r="BA17">
        <v>10001407</v>
      </c>
      <c r="BB17" s="5">
        <v>73</v>
      </c>
      <c r="BC17">
        <v>10063379</v>
      </c>
      <c r="BD17" s="6">
        <v>64</v>
      </c>
      <c r="BE17">
        <v>13682526</v>
      </c>
      <c r="BF17" s="5">
        <v>67</v>
      </c>
    </row>
    <row r="18" spans="2:58" x14ac:dyDescent="0.2">
      <c r="B18">
        <v>13682526</v>
      </c>
      <c r="C18" s="11">
        <v>1.47</v>
      </c>
      <c r="D18" s="11">
        <v>2.0499999999999998</v>
      </c>
      <c r="E18" s="11">
        <v>2</v>
      </c>
      <c r="F18" s="11">
        <v>1.79</v>
      </c>
      <c r="G18" s="11">
        <v>1.56</v>
      </c>
      <c r="H18" s="11">
        <v>1.65</v>
      </c>
      <c r="I18" s="11">
        <f>AVERAGE(Tableau18[[#This Row],[Bamboo shoot]:[Clocko fruit]])</f>
        <v>1.7533333333333332</v>
      </c>
      <c r="K18">
        <v>11417755</v>
      </c>
      <c r="L18" s="5">
        <f>VLOOKUP(Tableau29[[#This Row],[Player id]],Tableau18[[Player id]:[Clocko fruit]],2,0)</f>
        <v>1.63</v>
      </c>
      <c r="M18">
        <v>10327617</v>
      </c>
      <c r="N18" s="5">
        <f>VLOOKUP(Tableau310[[#This Row],[Player id]],Tableau18[[Player id]:[Clocko fruit]],3,0)</f>
        <v>1.74</v>
      </c>
      <c r="O18">
        <v>18977827</v>
      </c>
      <c r="P18" s="6">
        <f>VLOOKUP(Tableau411[[#This Row],[Player id]],Tableau18[[Player id]:[Clocko fruit]],4,0)</f>
        <v>1.6</v>
      </c>
      <c r="Q18">
        <v>12252537</v>
      </c>
      <c r="R18" s="6">
        <f>VLOOKUP(Tableau512[[#This Row],[Player id]],Tableau18[[Player id]:[Clocko fruit]],5,0)</f>
        <v>1.71</v>
      </c>
      <c r="S18">
        <v>12252537</v>
      </c>
      <c r="T18" s="5">
        <f>VLOOKUP(Tableau613[[#This Row],[Player id]],Tableau18[[Player id]:[Clocko fruit]],5,0)</f>
        <v>1.71</v>
      </c>
      <c r="U18">
        <v>10187363</v>
      </c>
      <c r="V18" s="6">
        <f>VLOOKUP(Tableau61314[[#This Row],[Player id]],Tableau18[[Player id]:[Clocko fruit]],6,0)</f>
        <v>1.62</v>
      </c>
      <c r="AO18">
        <v>10187363</v>
      </c>
      <c r="AP18">
        <v>67</v>
      </c>
      <c r="AQ18">
        <v>74</v>
      </c>
      <c r="AR18">
        <v>70</v>
      </c>
      <c r="AS18">
        <v>65</v>
      </c>
      <c r="AT18">
        <v>65</v>
      </c>
      <c r="AU18">
        <f>AVERAGE(Tableau1[[#This Row],[Dragon fruit]:[Clocko fruit]])</f>
        <v>68.2</v>
      </c>
      <c r="AW18">
        <v>17424686</v>
      </c>
      <c r="AX18" s="5">
        <v>71</v>
      </c>
      <c r="AY18">
        <v>10795976</v>
      </c>
      <c r="AZ18" s="6">
        <v>68</v>
      </c>
      <c r="BA18">
        <v>10132613</v>
      </c>
      <c r="BB18" s="5">
        <v>72</v>
      </c>
      <c r="BC18">
        <v>10063379</v>
      </c>
      <c r="BD18" s="5">
        <v>64</v>
      </c>
      <c r="BE18">
        <v>13117515</v>
      </c>
      <c r="BF18" s="6">
        <v>67</v>
      </c>
    </row>
    <row r="19" spans="2:58" x14ac:dyDescent="0.2">
      <c r="B19">
        <v>10132613</v>
      </c>
      <c r="C19" s="11">
        <v>1.61</v>
      </c>
      <c r="D19" s="11">
        <v>1.97</v>
      </c>
      <c r="E19" s="11">
        <v>1.94</v>
      </c>
      <c r="F19" s="11">
        <v>1.53</v>
      </c>
      <c r="G19" s="11">
        <v>1.85</v>
      </c>
      <c r="H19" s="11">
        <v>1.55</v>
      </c>
      <c r="I19" s="11">
        <f>AVERAGE(Tableau18[[#This Row],[Bamboo shoot]:[Clocko fruit]])</f>
        <v>1.7416666666666669</v>
      </c>
      <c r="K19">
        <v>10132613</v>
      </c>
      <c r="L19" s="5">
        <f>VLOOKUP(Tableau29[[#This Row],[Player id]],Tableau18[[Player id]:[Clocko fruit]],2,0)</f>
        <v>1.61</v>
      </c>
      <c r="M19">
        <v>10187363</v>
      </c>
      <c r="N19" s="6">
        <f>VLOOKUP(Tableau310[[#This Row],[Player id]],Tableau18[[Player id]:[Clocko fruit]],3,0)</f>
        <v>1.74</v>
      </c>
      <c r="O19">
        <v>10086034</v>
      </c>
      <c r="P19" s="5">
        <f>VLOOKUP(Tableau411[[#This Row],[Player id]],Tableau18[[Player id]:[Clocko fruit]],4,0)</f>
        <v>1.59</v>
      </c>
      <c r="Q19">
        <v>10187363</v>
      </c>
      <c r="R19" s="5">
        <f>VLOOKUP(Tableau512[[#This Row],[Player id]],Tableau18[[Player id]:[Clocko fruit]],5,0)</f>
        <v>1.71</v>
      </c>
      <c r="S19">
        <v>10187363</v>
      </c>
      <c r="T19" s="6">
        <f>VLOOKUP(Tableau613[[#This Row],[Player id]],Tableau18[[Player id]:[Clocko fruit]],5,0)</f>
        <v>1.71</v>
      </c>
      <c r="U19">
        <v>10041728</v>
      </c>
      <c r="V19" s="6">
        <f>VLOOKUP(Tableau61314[[#This Row],[Player id]],Tableau18[[Player id]:[Clocko fruit]],6,0)</f>
        <v>1.59</v>
      </c>
      <c r="AO19">
        <v>10132613</v>
      </c>
      <c r="AP19">
        <v>76</v>
      </c>
      <c r="AQ19">
        <v>77</v>
      </c>
      <c r="AR19">
        <v>72</v>
      </c>
      <c r="AS19">
        <v>51</v>
      </c>
      <c r="AT19">
        <v>64</v>
      </c>
      <c r="AU19">
        <f>AVERAGE(Tableau1[[#This Row],[Dragon fruit]:[Clocko fruit]])</f>
        <v>68</v>
      </c>
      <c r="AW19">
        <v>10001407</v>
      </c>
      <c r="AX19" s="5">
        <v>71</v>
      </c>
      <c r="AY19">
        <v>10327617</v>
      </c>
      <c r="AZ19" s="6">
        <v>68</v>
      </c>
      <c r="BA19">
        <v>10054910</v>
      </c>
      <c r="BB19" s="6">
        <v>71</v>
      </c>
      <c r="BC19">
        <v>10213126</v>
      </c>
      <c r="BD19" s="5">
        <v>64</v>
      </c>
      <c r="BE19">
        <v>16944319</v>
      </c>
      <c r="BF19" s="5">
        <v>66</v>
      </c>
    </row>
    <row r="20" spans="2:58" x14ac:dyDescent="0.2">
      <c r="B20">
        <v>10187363</v>
      </c>
      <c r="C20" s="11">
        <v>1.82</v>
      </c>
      <c r="D20" s="11">
        <v>1.74</v>
      </c>
      <c r="E20" s="11">
        <v>1.85</v>
      </c>
      <c r="F20" s="11">
        <v>1.71</v>
      </c>
      <c r="G20" s="11">
        <v>1.62</v>
      </c>
      <c r="H20" s="11">
        <v>1.7</v>
      </c>
      <c r="I20" s="11">
        <f>AVERAGE(Tableau18[[#This Row],[Bamboo shoot]:[Clocko fruit]])</f>
        <v>1.74</v>
      </c>
      <c r="K20">
        <v>10334064</v>
      </c>
      <c r="L20" s="6">
        <f>VLOOKUP(Tableau29[[#This Row],[Player id]],Tableau18[[Player id]:[Clocko fruit]],2,0)</f>
        <v>1.6</v>
      </c>
      <c r="M20">
        <v>10063379</v>
      </c>
      <c r="N20" s="5">
        <f>VLOOKUP(Tableau310[[#This Row],[Player id]],Tableau18[[Player id]:[Clocko fruit]],3,0)</f>
        <v>1.74</v>
      </c>
      <c r="O20">
        <v>10213126</v>
      </c>
      <c r="P20" s="5">
        <f>VLOOKUP(Tableau411[[#This Row],[Player id]],Tableau18[[Player id]:[Clocko fruit]],4,0)</f>
        <v>1.57</v>
      </c>
      <c r="Q20">
        <v>10213126</v>
      </c>
      <c r="R20" s="5">
        <f>VLOOKUP(Tableau512[[#This Row],[Player id]],Tableau18[[Player id]:[Clocko fruit]],5,0)</f>
        <v>1.71</v>
      </c>
      <c r="S20">
        <v>10213126</v>
      </c>
      <c r="T20" s="5">
        <f>VLOOKUP(Tableau613[[#This Row],[Player id]],Tableau18[[Player id]:[Clocko fruit]],5,0)</f>
        <v>1.71</v>
      </c>
      <c r="U20">
        <v>13682526</v>
      </c>
      <c r="V20" s="6">
        <f>VLOOKUP(Tableau61314[[#This Row],[Player id]],Tableau18[[Player id]:[Clocko fruit]],6,0)</f>
        <v>1.56</v>
      </c>
      <c r="AO20">
        <v>11354842</v>
      </c>
      <c r="AP20">
        <v>72</v>
      </c>
      <c r="AQ20">
        <v>63</v>
      </c>
      <c r="AR20">
        <v>66</v>
      </c>
      <c r="AS20">
        <v>74</v>
      </c>
      <c r="AT20">
        <v>60</v>
      </c>
      <c r="AU20">
        <f>AVERAGE(Tableau1[[#This Row],[Dragon fruit]:[Clocko fruit]])</f>
        <v>67</v>
      </c>
      <c r="AW20">
        <v>10334064</v>
      </c>
      <c r="AX20" s="6">
        <v>70</v>
      </c>
      <c r="AY20">
        <v>10080156</v>
      </c>
      <c r="AZ20" s="6">
        <v>68</v>
      </c>
      <c r="BA20">
        <v>10080156</v>
      </c>
      <c r="BB20" s="6">
        <v>71</v>
      </c>
      <c r="BC20">
        <v>10388368</v>
      </c>
      <c r="BD20" s="5">
        <v>64</v>
      </c>
      <c r="BE20">
        <v>10101668</v>
      </c>
      <c r="BF20" s="5">
        <v>76</v>
      </c>
    </row>
    <row r="21" spans="2:58" x14ac:dyDescent="0.2">
      <c r="B21">
        <v>12252537</v>
      </c>
      <c r="C21" s="11">
        <v>1.65</v>
      </c>
      <c r="D21" s="11">
        <v>2.36</v>
      </c>
      <c r="E21" s="11">
        <v>1.53</v>
      </c>
      <c r="F21" s="11">
        <v>1.71</v>
      </c>
      <c r="G21" s="11">
        <v>1.28</v>
      </c>
      <c r="H21" s="11">
        <v>1.76</v>
      </c>
      <c r="I21" s="11">
        <f>AVERAGE(Tableau18[[#This Row],[Bamboo shoot]:[Clocko fruit]])</f>
        <v>1.7149999999999999</v>
      </c>
      <c r="K21">
        <v>10063379</v>
      </c>
      <c r="L21" s="5">
        <f>VLOOKUP(Tableau29[[#This Row],[Player id]],Tableau18[[Player id]:[Clocko fruit]],2,0)</f>
        <v>1.59</v>
      </c>
      <c r="M21">
        <v>10063379</v>
      </c>
      <c r="N21" s="5">
        <f>VLOOKUP(Tableau310[[#This Row],[Player id]],Tableau18[[Player id]:[Clocko fruit]],3,0)</f>
        <v>1.74</v>
      </c>
      <c r="O21">
        <v>10063379</v>
      </c>
      <c r="P21" s="6">
        <f>VLOOKUP(Tableau411[[#This Row],[Player id]],Tableau18[[Player id]:[Clocko fruit]],4,0)</f>
        <v>1.56</v>
      </c>
      <c r="Q21">
        <v>10063379</v>
      </c>
      <c r="R21" s="5">
        <f>VLOOKUP(Tableau512[[#This Row],[Player id]],Tableau18[[Player id]:[Clocko fruit]],5,0)</f>
        <v>1.7</v>
      </c>
      <c r="S21">
        <v>10063379</v>
      </c>
      <c r="T21" s="6">
        <f>VLOOKUP(Tableau613[[#This Row],[Player id]],Tableau18[[Player id]:[Clocko fruit]],5,0)</f>
        <v>1.7</v>
      </c>
      <c r="U21">
        <v>11354842</v>
      </c>
      <c r="V21" s="5">
        <f>VLOOKUP(Tableau61314[[#This Row],[Player id]],Tableau18[[Player id]:[Clocko fruit]],6,0)</f>
        <v>1.56</v>
      </c>
      <c r="AO21">
        <v>18886393</v>
      </c>
      <c r="AP21">
        <v>66</v>
      </c>
      <c r="AQ21">
        <v>74</v>
      </c>
      <c r="AR21">
        <v>80</v>
      </c>
      <c r="AS21">
        <v>51</v>
      </c>
      <c r="AT21">
        <v>64</v>
      </c>
      <c r="AU21">
        <f>AVERAGE(Tableau1[[#This Row],[Dragon fruit]:[Clocko fruit]])</f>
        <v>67</v>
      </c>
      <c r="AW21">
        <v>10063379</v>
      </c>
      <c r="AX21" s="6">
        <v>70</v>
      </c>
      <c r="AY21">
        <v>10066347</v>
      </c>
      <c r="AZ21" s="5">
        <v>68</v>
      </c>
      <c r="BA21">
        <v>10065853</v>
      </c>
      <c r="BB21" s="5">
        <v>71</v>
      </c>
      <c r="BC21">
        <v>10409514</v>
      </c>
      <c r="BD21" s="5">
        <v>63</v>
      </c>
      <c r="BE21">
        <v>10303958</v>
      </c>
      <c r="BF21" s="6">
        <v>66</v>
      </c>
    </row>
    <row r="22" spans="2:58" x14ac:dyDescent="0.2">
      <c r="B22">
        <v>10063379</v>
      </c>
      <c r="C22" s="11">
        <v>1.59</v>
      </c>
      <c r="D22" s="11">
        <v>1.74</v>
      </c>
      <c r="E22" s="11">
        <v>1.56</v>
      </c>
      <c r="F22" s="11">
        <v>1.7</v>
      </c>
      <c r="G22" s="11">
        <v>1.55</v>
      </c>
      <c r="H22" s="11">
        <v>1.89</v>
      </c>
      <c r="I22" s="11">
        <f>AVERAGE(Tableau18[[#This Row],[Bamboo shoot]:[Clocko fruit]])</f>
        <v>1.6716666666666669</v>
      </c>
      <c r="K22">
        <v>10063379</v>
      </c>
      <c r="L22" s="6">
        <f>VLOOKUP(Tableau29[[#This Row],[Player id]],Tableau18[[Player id]:[Clocko fruit]],2,0)</f>
        <v>1.59</v>
      </c>
      <c r="M22">
        <v>10187257</v>
      </c>
      <c r="N22" s="6">
        <f>VLOOKUP(Tableau310[[#This Row],[Player id]],Tableau18[[Player id]:[Clocko fruit]],3,0)</f>
        <v>1.75</v>
      </c>
      <c r="O22">
        <v>10063379</v>
      </c>
      <c r="P22" s="6">
        <f>VLOOKUP(Tableau411[[#This Row],[Player id]],Tableau18[[Player id]:[Clocko fruit]],4,0)</f>
        <v>1.56</v>
      </c>
      <c r="Q22">
        <v>10063379</v>
      </c>
      <c r="R22" s="5">
        <f>VLOOKUP(Tableau512[[#This Row],[Player id]],Tableau18[[Player id]:[Clocko fruit]],5,0)</f>
        <v>1.7</v>
      </c>
      <c r="S22">
        <v>10063379</v>
      </c>
      <c r="T22" s="6">
        <f>VLOOKUP(Tableau613[[#This Row],[Player id]],Tableau18[[Player id]:[Clocko fruit]],5,0)</f>
        <v>1.7</v>
      </c>
      <c r="U22">
        <v>10063379</v>
      </c>
      <c r="V22" s="6">
        <f>VLOOKUP(Tableau61314[[#This Row],[Player id]],Tableau18[[Player id]:[Clocko fruit]],6,0)</f>
        <v>1.55</v>
      </c>
      <c r="AO22">
        <v>10063379</v>
      </c>
      <c r="AP22">
        <v>70</v>
      </c>
      <c r="AQ22">
        <v>61</v>
      </c>
      <c r="AR22">
        <v>68</v>
      </c>
      <c r="AS22">
        <v>64</v>
      </c>
      <c r="AT22">
        <v>71</v>
      </c>
      <c r="AU22">
        <f>AVERAGE(Tableau1[[#This Row],[Dragon fruit]:[Clocko fruit]])</f>
        <v>66.8</v>
      </c>
      <c r="AW22">
        <v>10063379</v>
      </c>
      <c r="AX22" s="5">
        <v>70</v>
      </c>
      <c r="AY22">
        <v>10066347</v>
      </c>
      <c r="AZ22" s="5">
        <v>68</v>
      </c>
      <c r="BA22">
        <v>10404376</v>
      </c>
      <c r="BB22" s="6">
        <v>70</v>
      </c>
      <c r="BC22">
        <v>16944319</v>
      </c>
      <c r="BD22" s="5">
        <v>63</v>
      </c>
      <c r="BE22">
        <v>10041728</v>
      </c>
      <c r="BF22" s="6">
        <v>65</v>
      </c>
    </row>
    <row r="23" spans="2:58" x14ac:dyDescent="0.2">
      <c r="B23">
        <v>10063379</v>
      </c>
      <c r="C23" s="11">
        <v>1.59</v>
      </c>
      <c r="D23" s="11">
        <v>1.74</v>
      </c>
      <c r="E23" s="11">
        <v>1.56</v>
      </c>
      <c r="F23" s="11">
        <v>1.7</v>
      </c>
      <c r="G23" s="11">
        <v>1.55</v>
      </c>
      <c r="H23" s="11">
        <v>1.89</v>
      </c>
      <c r="I23" s="11">
        <f>AVERAGE(Tableau18[[#This Row],[Bamboo shoot]:[Clocko fruit]])</f>
        <v>1.6716666666666669</v>
      </c>
      <c r="K23">
        <v>10092028</v>
      </c>
      <c r="L23" s="6">
        <f>VLOOKUP(Tableau29[[#This Row],[Player id]],Tableau18[[Player id]:[Clocko fruit]],2,0)</f>
        <v>1.58</v>
      </c>
      <c r="M23">
        <v>10213126</v>
      </c>
      <c r="N23" s="5">
        <f>VLOOKUP(Tableau310[[#This Row],[Player id]],Tableau18[[Player id]:[Clocko fruit]],3,0)</f>
        <v>1.71</v>
      </c>
      <c r="O23">
        <v>10002580</v>
      </c>
      <c r="P23" s="5">
        <f>VLOOKUP(Tableau411[[#This Row],[Player id]],Tableau18[[Player id]:[Clocko fruit]],4,0)</f>
        <v>1.55</v>
      </c>
      <c r="Q23">
        <v>10409514</v>
      </c>
      <c r="R23" s="6">
        <f>VLOOKUP(Tableau512[[#This Row],[Player id]],Tableau18[[Player id]:[Clocko fruit]],5,0)</f>
        <v>1.67</v>
      </c>
      <c r="S23">
        <v>10409514</v>
      </c>
      <c r="T23" s="5">
        <f>VLOOKUP(Tableau613[[#This Row],[Player id]],Tableau18[[Player id]:[Clocko fruit]],5,0)</f>
        <v>1.67</v>
      </c>
      <c r="U23">
        <v>10063379</v>
      </c>
      <c r="V23" s="6">
        <f>VLOOKUP(Tableau61314[[#This Row],[Player id]],Tableau18[[Player id]:[Clocko fruit]],6,0)</f>
        <v>1.55</v>
      </c>
      <c r="AO23">
        <v>10063379</v>
      </c>
      <c r="AP23">
        <v>70</v>
      </c>
      <c r="AQ23">
        <v>61</v>
      </c>
      <c r="AR23">
        <v>68</v>
      </c>
      <c r="AS23">
        <v>64</v>
      </c>
      <c r="AT23">
        <v>71</v>
      </c>
      <c r="AU23">
        <f>AVERAGE(Tableau1[[#This Row],[Dragon fruit]:[Clocko fruit]])</f>
        <v>66.8</v>
      </c>
      <c r="AW23">
        <v>10092028</v>
      </c>
      <c r="AX23" s="6">
        <v>69</v>
      </c>
      <c r="AY23">
        <v>10002580</v>
      </c>
      <c r="AZ23" s="5">
        <v>68</v>
      </c>
      <c r="BA23">
        <v>10187257</v>
      </c>
      <c r="BB23" s="6">
        <v>70</v>
      </c>
      <c r="BC23">
        <v>10294719</v>
      </c>
      <c r="BD23" s="5">
        <v>63</v>
      </c>
      <c r="BE23">
        <v>10187363</v>
      </c>
      <c r="BF23" s="6">
        <v>65</v>
      </c>
    </row>
    <row r="24" spans="2:58" x14ac:dyDescent="0.2">
      <c r="B24">
        <v>18886393</v>
      </c>
      <c r="C24" s="11">
        <v>1.1299999999999999</v>
      </c>
      <c r="D24" s="11">
        <v>1.91</v>
      </c>
      <c r="E24" s="11">
        <v>1.73</v>
      </c>
      <c r="F24" s="11">
        <v>2.11</v>
      </c>
      <c r="G24" s="11">
        <v>1.54</v>
      </c>
      <c r="H24" s="11">
        <v>1.61</v>
      </c>
      <c r="I24" s="11">
        <f>AVERAGE(Tableau18[[#This Row],[Bamboo shoot]:[Clocko fruit]])</f>
        <v>1.6716666666666662</v>
      </c>
      <c r="K24">
        <v>10214454</v>
      </c>
      <c r="L24" s="6">
        <f>VLOOKUP(Tableau29[[#This Row],[Player id]],Tableau18[[Player id]:[Clocko fruit]],2,0)</f>
        <v>1.55</v>
      </c>
      <c r="M24">
        <v>10214454</v>
      </c>
      <c r="N24" s="6">
        <f>VLOOKUP(Tableau310[[#This Row],[Player id]],Tableau18[[Player id]:[Clocko fruit]],3,0)</f>
        <v>1.71</v>
      </c>
      <c r="O24">
        <v>10409514</v>
      </c>
      <c r="P24" s="5">
        <f>VLOOKUP(Tableau411[[#This Row],[Player id]],Tableau18[[Player id]:[Clocko fruit]],4,0)</f>
        <v>1.53</v>
      </c>
      <c r="Q24">
        <v>10214454</v>
      </c>
      <c r="R24" s="5">
        <f>VLOOKUP(Tableau512[[#This Row],[Player id]],Tableau18[[Player id]:[Clocko fruit]],5,0)</f>
        <v>1.65</v>
      </c>
      <c r="S24">
        <v>10214454</v>
      </c>
      <c r="T24" s="5">
        <f>VLOOKUP(Tableau613[[#This Row],[Player id]],Tableau18[[Player id]:[Clocko fruit]],5,0)</f>
        <v>1.65</v>
      </c>
      <c r="U24">
        <v>18886393</v>
      </c>
      <c r="V24" s="6">
        <f>VLOOKUP(Tableau61314[[#This Row],[Player id]],Tableau18[[Player id]:[Clocko fruit]],6,0)</f>
        <v>1.54</v>
      </c>
      <c r="AO24">
        <v>14736258</v>
      </c>
      <c r="AP24">
        <v>72</v>
      </c>
      <c r="AQ24">
        <v>65</v>
      </c>
      <c r="AR24">
        <v>73</v>
      </c>
      <c r="AS24">
        <v>58</v>
      </c>
      <c r="AT24">
        <v>63</v>
      </c>
      <c r="AU24">
        <f>AVERAGE(Tableau1[[#This Row],[Dragon fruit]:[Clocko fruit]])</f>
        <v>66.2</v>
      </c>
      <c r="AW24">
        <v>10214454</v>
      </c>
      <c r="AX24" s="6">
        <v>69</v>
      </c>
      <c r="AY24">
        <v>13117515</v>
      </c>
      <c r="AZ24" s="6">
        <v>67</v>
      </c>
      <c r="BA24">
        <v>12252537</v>
      </c>
      <c r="BB24" s="5">
        <v>70</v>
      </c>
      <c r="BC24">
        <v>10002580</v>
      </c>
      <c r="BD24" s="5">
        <v>60</v>
      </c>
      <c r="BE24">
        <v>11704389</v>
      </c>
      <c r="BF24" s="5">
        <v>65</v>
      </c>
    </row>
    <row r="25" spans="2:58" x14ac:dyDescent="0.2">
      <c r="B25">
        <v>10213126</v>
      </c>
      <c r="C25" s="11">
        <v>1.73</v>
      </c>
      <c r="D25" s="11">
        <v>1.71</v>
      </c>
      <c r="E25" s="11">
        <v>1.57</v>
      </c>
      <c r="F25" s="11">
        <v>1.71</v>
      </c>
      <c r="G25" s="11">
        <v>1.54</v>
      </c>
      <c r="H25" s="11">
        <v>1.73</v>
      </c>
      <c r="I25" s="11">
        <f>AVERAGE(Tableau18[[#This Row],[Bamboo shoot]:[Clocko fruit]])</f>
        <v>1.665</v>
      </c>
      <c r="K25">
        <v>11354842</v>
      </c>
      <c r="L25" s="6">
        <f>VLOOKUP(Tableau29[[#This Row],[Player id]],Tableau18[[Player id]:[Clocko fruit]],2,0)</f>
        <v>1.54</v>
      </c>
      <c r="M25">
        <v>16944319</v>
      </c>
      <c r="N25" s="5">
        <f>VLOOKUP(Tableau310[[#This Row],[Player id]],Tableau18[[Player id]:[Clocko fruit]],3,0)</f>
        <v>1.66</v>
      </c>
      <c r="O25">
        <v>12252537</v>
      </c>
      <c r="P25" s="5">
        <f>VLOOKUP(Tableau411[[#This Row],[Player id]],Tableau18[[Player id]:[Clocko fruit]],4,0)</f>
        <v>1.53</v>
      </c>
      <c r="Q25">
        <v>11354842</v>
      </c>
      <c r="R25" s="5">
        <f>VLOOKUP(Tableau512[[#This Row],[Player id]],Tableau18[[Player id]:[Clocko fruit]],5,0)</f>
        <v>1.6</v>
      </c>
      <c r="S25">
        <v>11354842</v>
      </c>
      <c r="T25" s="5">
        <f>VLOOKUP(Tableau613[[#This Row],[Player id]],Tableau18[[Player id]:[Clocko fruit]],5,0)</f>
        <v>1.6</v>
      </c>
      <c r="U25">
        <v>10213126</v>
      </c>
      <c r="V25" s="5">
        <f>VLOOKUP(Tableau61314[[#This Row],[Player id]],Tableau18[[Player id]:[Clocko fruit]],6,0)</f>
        <v>1.54</v>
      </c>
      <c r="AO25">
        <v>16944319</v>
      </c>
      <c r="AP25">
        <v>62</v>
      </c>
      <c r="AQ25">
        <v>66</v>
      </c>
      <c r="AR25">
        <v>69</v>
      </c>
      <c r="AS25">
        <v>63</v>
      </c>
      <c r="AT25">
        <v>66</v>
      </c>
      <c r="AU25">
        <f>AVERAGE(Tableau1[[#This Row],[Dragon fruit]:[Clocko fruit]])</f>
        <v>65.2</v>
      </c>
      <c r="AW25">
        <v>10080156</v>
      </c>
      <c r="AX25" s="6">
        <v>69</v>
      </c>
      <c r="AY25">
        <v>12252537</v>
      </c>
      <c r="AZ25" s="5">
        <v>67</v>
      </c>
      <c r="BA25">
        <v>10187363</v>
      </c>
      <c r="BB25" s="6">
        <v>70</v>
      </c>
      <c r="BC25">
        <v>10137032</v>
      </c>
      <c r="BD25" s="5">
        <v>60</v>
      </c>
      <c r="BE25">
        <v>10002580</v>
      </c>
      <c r="BF25" s="5">
        <v>64</v>
      </c>
    </row>
    <row r="26" spans="2:58" x14ac:dyDescent="0.2">
      <c r="B26">
        <v>11354842</v>
      </c>
      <c r="C26" s="11">
        <v>1.54</v>
      </c>
      <c r="D26" s="11">
        <v>1.77</v>
      </c>
      <c r="E26" s="11">
        <v>1.87</v>
      </c>
      <c r="F26" s="11">
        <v>1.6</v>
      </c>
      <c r="G26" s="11">
        <v>1.56</v>
      </c>
      <c r="H26" s="11">
        <v>1.52</v>
      </c>
      <c r="I26" s="11">
        <f>AVERAGE(Tableau18[[#This Row],[Bamboo shoot]:[Clocko fruit]])</f>
        <v>1.6433333333333333</v>
      </c>
      <c r="K26">
        <v>13682526</v>
      </c>
      <c r="L26" s="5">
        <f>VLOOKUP(Tableau29[[#This Row],[Player id]],Tableau18[[Player id]:[Clocko fruit]],2,0)</f>
        <v>1.47</v>
      </c>
      <c r="M26">
        <v>10404376</v>
      </c>
      <c r="N26" s="5">
        <f>VLOOKUP(Tableau310[[#This Row],[Player id]],Tableau18[[Player id]:[Clocko fruit]],3,0)</f>
        <v>1.64</v>
      </c>
      <c r="O26">
        <v>11417755</v>
      </c>
      <c r="P26" s="6">
        <f>VLOOKUP(Tableau411[[#This Row],[Player id]],Tableau18[[Player id]:[Clocko fruit]],4,0)</f>
        <v>1.52</v>
      </c>
      <c r="Q26">
        <v>16944319</v>
      </c>
      <c r="R26" s="5">
        <f>VLOOKUP(Tableau512[[#This Row],[Player id]],Tableau18[[Player id]:[Clocko fruit]],5,0)</f>
        <v>1.6</v>
      </c>
      <c r="S26">
        <v>16944319</v>
      </c>
      <c r="T26" s="5">
        <f>VLOOKUP(Tableau613[[#This Row],[Player id]],Tableau18[[Player id]:[Clocko fruit]],5,0)</f>
        <v>1.6</v>
      </c>
      <c r="U26">
        <v>16944319</v>
      </c>
      <c r="V26" s="5">
        <f>VLOOKUP(Tableau61314[[#This Row],[Player id]],Tableau18[[Player id]:[Clocko fruit]],6,0)</f>
        <v>1.53</v>
      </c>
      <c r="AO26">
        <v>11417755</v>
      </c>
      <c r="AP26">
        <v>63</v>
      </c>
      <c r="AQ26">
        <v>64</v>
      </c>
      <c r="AR26">
        <v>70</v>
      </c>
      <c r="AS26">
        <v>55</v>
      </c>
      <c r="AT26">
        <v>73</v>
      </c>
      <c r="AU26">
        <f>AVERAGE(Tableau1[[#This Row],[Dragon fruit]:[Clocko fruit]])</f>
        <v>65</v>
      </c>
      <c r="AW26">
        <v>10763613</v>
      </c>
      <c r="AX26" s="5">
        <v>68</v>
      </c>
      <c r="AY26">
        <v>10213126</v>
      </c>
      <c r="AZ26" s="5">
        <v>67</v>
      </c>
      <c r="BA26">
        <v>11417755</v>
      </c>
      <c r="BB26" s="6">
        <v>70</v>
      </c>
      <c r="BC26">
        <v>14736258</v>
      </c>
      <c r="BD26" s="6">
        <v>58</v>
      </c>
      <c r="BE26">
        <v>10132613</v>
      </c>
      <c r="BF26" s="5">
        <v>64</v>
      </c>
    </row>
    <row r="27" spans="2:58" x14ac:dyDescent="0.2">
      <c r="B27">
        <v>16944319</v>
      </c>
      <c r="C27" s="11">
        <v>1.43</v>
      </c>
      <c r="D27" s="11">
        <v>1.66</v>
      </c>
      <c r="E27" s="11">
        <v>1.61</v>
      </c>
      <c r="F27" s="11">
        <v>1.6</v>
      </c>
      <c r="G27" s="11">
        <v>1.53</v>
      </c>
      <c r="H27" s="11">
        <v>1.55</v>
      </c>
      <c r="I27" s="11">
        <f>AVERAGE(Tableau18[[#This Row],[Bamboo shoot]:[Clocko fruit]])</f>
        <v>1.5633333333333335</v>
      </c>
      <c r="K27">
        <v>16944319</v>
      </c>
      <c r="L27" s="6">
        <f>VLOOKUP(Tableau29[[#This Row],[Player id]],Tableau18[[Player id]:[Clocko fruit]],2,0)</f>
        <v>1.43</v>
      </c>
      <c r="M27">
        <v>11417755</v>
      </c>
      <c r="N27" s="5">
        <f>VLOOKUP(Tableau310[[#This Row],[Player id]],Tableau18[[Player id]:[Clocko fruit]],3,0)</f>
        <v>1.57</v>
      </c>
      <c r="O27">
        <v>10048958</v>
      </c>
      <c r="P27" s="6">
        <f>VLOOKUP(Tableau411[[#This Row],[Player id]],Tableau18[[Player id]:[Clocko fruit]],4,0)</f>
        <v>1.49</v>
      </c>
      <c r="Q27">
        <v>10092028</v>
      </c>
      <c r="R27" s="5">
        <f>VLOOKUP(Tableau512[[#This Row],[Player id]],Tableau18[[Player id]:[Clocko fruit]],5,0)</f>
        <v>1.59</v>
      </c>
      <c r="S27">
        <v>10092028</v>
      </c>
      <c r="T27" s="5">
        <f>VLOOKUP(Tableau613[[#This Row],[Player id]],Tableau18[[Player id]:[Clocko fruit]],5,0)</f>
        <v>1.59</v>
      </c>
      <c r="U27">
        <v>10214454</v>
      </c>
      <c r="V27" s="5">
        <f>VLOOKUP(Tableau61314[[#This Row],[Player id]],Tableau18[[Player id]:[Clocko fruit]],6,0)</f>
        <v>1.33</v>
      </c>
      <c r="AO27">
        <v>10213126</v>
      </c>
      <c r="AP27">
        <v>67</v>
      </c>
      <c r="AQ27">
        <v>67</v>
      </c>
      <c r="AR27">
        <v>68</v>
      </c>
      <c r="AS27">
        <v>64</v>
      </c>
      <c r="AT27">
        <v>58</v>
      </c>
      <c r="AU27">
        <f>AVERAGE(Tableau1[[#This Row],[Dragon fruit]:[Clocko fruit]])</f>
        <v>64.8</v>
      </c>
      <c r="AW27">
        <v>10187257</v>
      </c>
      <c r="AX27" s="6">
        <v>68</v>
      </c>
      <c r="AY27">
        <v>16944319</v>
      </c>
      <c r="AZ27" s="5">
        <v>66</v>
      </c>
      <c r="BA27">
        <v>10137032</v>
      </c>
      <c r="BB27" s="5">
        <v>70</v>
      </c>
      <c r="BC27">
        <v>10392768</v>
      </c>
      <c r="BD27" s="5">
        <v>58</v>
      </c>
      <c r="BE27">
        <v>18886393</v>
      </c>
      <c r="BF27" s="5">
        <v>64</v>
      </c>
    </row>
    <row r="28" spans="2:58" x14ac:dyDescent="0.2">
      <c r="B28">
        <v>10214454</v>
      </c>
      <c r="C28" s="11">
        <v>1.55</v>
      </c>
      <c r="D28" s="11">
        <v>1.71</v>
      </c>
      <c r="E28" s="11">
        <v>0.76</v>
      </c>
      <c r="F28" s="11">
        <v>1.65</v>
      </c>
      <c r="G28" s="11">
        <v>1.33</v>
      </c>
      <c r="H28" s="11">
        <v>2.02</v>
      </c>
      <c r="I28" s="11">
        <f>AVERAGE(Tableau18[[#This Row],[Bamboo shoot]:[Clocko fruit]])</f>
        <v>1.5033333333333332</v>
      </c>
      <c r="K28">
        <v>18886393</v>
      </c>
      <c r="L28" s="6">
        <f>VLOOKUP(Tableau29[[#This Row],[Player id]],Tableau18[[Player id]:[Clocko fruit]],2,0)</f>
        <v>1.1299999999999999</v>
      </c>
      <c r="M28">
        <v>10409514</v>
      </c>
      <c r="N28" s="6">
        <f>VLOOKUP(Tableau310[[#This Row],[Player id]],Tableau18[[Player id]:[Clocko fruit]],3,0)</f>
        <v>1.56</v>
      </c>
      <c r="O28">
        <v>10214454</v>
      </c>
      <c r="P28" s="5">
        <f>VLOOKUP(Tableau411[[#This Row],[Player id]],Tableau18[[Player id]:[Clocko fruit]],4,0)</f>
        <v>0.76</v>
      </c>
      <c r="Q28">
        <v>10132613</v>
      </c>
      <c r="R28" s="5">
        <f>VLOOKUP(Tableau512[[#This Row],[Player id]],Tableau18[[Player id]:[Clocko fruit]],5,0)</f>
        <v>1.53</v>
      </c>
      <c r="S28">
        <v>10132613</v>
      </c>
      <c r="T28" s="5">
        <f>VLOOKUP(Tableau613[[#This Row],[Player id]],Tableau18[[Player id]:[Clocko fruit]],5,0)</f>
        <v>1.53</v>
      </c>
      <c r="U28">
        <v>12252537</v>
      </c>
      <c r="V28" s="5">
        <f>VLOOKUP(Tableau61314[[#This Row],[Player id]],Tableau18[[Player id]:[Clocko fruit]],6,0)</f>
        <v>1.28</v>
      </c>
      <c r="AO28">
        <v>10214454</v>
      </c>
      <c r="AP28">
        <v>69</v>
      </c>
      <c r="AQ28">
        <v>64</v>
      </c>
      <c r="AR28">
        <v>67</v>
      </c>
      <c r="AS28">
        <v>41</v>
      </c>
      <c r="AT28">
        <v>82</v>
      </c>
      <c r="AU28">
        <f>AVERAGE(Tableau1[[#This Row],[Dragon fruit]:[Clocko fruit]])</f>
        <v>64.599999999999994</v>
      </c>
      <c r="AW28">
        <v>10264905</v>
      </c>
      <c r="AX28" s="6">
        <v>68</v>
      </c>
      <c r="AY28">
        <v>10402145</v>
      </c>
      <c r="AZ28" s="6">
        <v>66</v>
      </c>
      <c r="BA28">
        <v>18977827</v>
      </c>
      <c r="BB28" s="5">
        <v>69</v>
      </c>
      <c r="BC28">
        <v>10048958</v>
      </c>
      <c r="BD28" s="5">
        <v>57</v>
      </c>
      <c r="BE28">
        <v>10388368</v>
      </c>
      <c r="BF28" s="5">
        <v>64</v>
      </c>
    </row>
    <row r="29" spans="2:58" x14ac:dyDescent="0.2">
      <c r="B29">
        <v>13087810</v>
      </c>
      <c r="C29" s="11">
        <v>2.4300000000000002</v>
      </c>
      <c r="D29" s="11">
        <v>2.46</v>
      </c>
      <c r="E29" s="11">
        <v>2.39</v>
      </c>
      <c r="F29" s="11">
        <v>2.59</v>
      </c>
      <c r="G29" s="11">
        <v>2.4700000000000002</v>
      </c>
      <c r="H29" s="11">
        <v>2.39</v>
      </c>
      <c r="I29" s="11">
        <f>AVERAGE(Tableau18[[#This Row],[Bamboo shoot]:[Clocko fruit]])</f>
        <v>2.4550000000000005</v>
      </c>
      <c r="K29">
        <v>10137032</v>
      </c>
      <c r="L29" s="6" t="e">
        <f>VLOOKUP(Tableau29[[#This Row],[Player id]],Tableau18[[Player id]:[Clocko fruit]],2,0)</f>
        <v>#N/A</v>
      </c>
      <c r="M29">
        <v>10137032</v>
      </c>
      <c r="N29" s="5" t="e">
        <f>VLOOKUP(Tableau310[[#This Row],[Player id]],Tableau18[[Player id]:[Clocko fruit]],3,0)</f>
        <v>#N/A</v>
      </c>
      <c r="O29">
        <v>10137032</v>
      </c>
      <c r="P29" s="5" t="e">
        <f>VLOOKUP(Tableau411[[#This Row],[Player id]],Tableau18[[Player id]:[Clocko fruit]],4,0)</f>
        <v>#N/A</v>
      </c>
      <c r="Q29">
        <v>10137032</v>
      </c>
      <c r="R29" s="6" t="e">
        <f>VLOOKUP(Tableau512[[#This Row],[Player id]],Tableau18[[Player id]:[Clocko fruit]],5,0)</f>
        <v>#N/A</v>
      </c>
      <c r="S29">
        <v>10137032</v>
      </c>
      <c r="T29" s="5" t="e">
        <f>VLOOKUP(Tableau613[[#This Row],[Player id]],Tableau18[[Player id]:[Clocko fruit]],5,0)</f>
        <v>#N/A</v>
      </c>
      <c r="U29">
        <v>10137032</v>
      </c>
      <c r="V29" s="5" t="e">
        <f>VLOOKUP(Tableau61314[[#This Row],[Player id]],Tableau18[[Player id]:[Clocko fruit]],6,0)</f>
        <v>#N/A</v>
      </c>
      <c r="AO29">
        <v>10137032</v>
      </c>
      <c r="AP29">
        <v>67</v>
      </c>
      <c r="AQ29">
        <v>69</v>
      </c>
      <c r="AR29">
        <v>70</v>
      </c>
      <c r="AS29">
        <v>60</v>
      </c>
      <c r="AT29">
        <v>55</v>
      </c>
      <c r="AU29">
        <f>AVERAGE(Tableau1[[#This Row],[Dragon fruit]:[Clocko fruit]])</f>
        <v>64.2</v>
      </c>
      <c r="AW29" s="10">
        <v>10795976</v>
      </c>
      <c r="AX29" s="6">
        <v>75</v>
      </c>
      <c r="AY29">
        <v>10392768</v>
      </c>
      <c r="AZ29" s="5">
        <v>66</v>
      </c>
      <c r="BA29">
        <v>16944319</v>
      </c>
      <c r="BB29" s="5">
        <v>69</v>
      </c>
      <c r="BC29">
        <v>10080156</v>
      </c>
      <c r="BD29" s="6">
        <v>56</v>
      </c>
      <c r="BE29">
        <v>21007894</v>
      </c>
      <c r="BF29" s="5">
        <v>64</v>
      </c>
    </row>
    <row r="30" spans="2:58" x14ac:dyDescent="0.2">
      <c r="B30">
        <v>10054910</v>
      </c>
      <c r="C30" s="11">
        <v>0</v>
      </c>
      <c r="D30" s="11"/>
      <c r="E30" s="11"/>
      <c r="F30" s="11"/>
      <c r="G30" s="11"/>
      <c r="H30" s="11"/>
      <c r="I30" s="11">
        <f>AVERAGE(Tableau18[[#This Row],[Bamboo shoot]:[Clocko fruit]])</f>
        <v>0</v>
      </c>
      <c r="K30">
        <v>10054910</v>
      </c>
      <c r="L30" s="6">
        <f>VLOOKUP(Tableau29[[#This Row],[Player id]],Tableau18[[Player id]:[Clocko fruit]],2,0)</f>
        <v>0</v>
      </c>
      <c r="M30">
        <v>10054910</v>
      </c>
      <c r="N30" s="6">
        <f>VLOOKUP(Tableau310[[#This Row],[Player id]],Tableau18[[Player id]:[Clocko fruit]],3,0)</f>
        <v>0</v>
      </c>
      <c r="O30">
        <v>10054910</v>
      </c>
      <c r="P30" s="6">
        <f>VLOOKUP(Tableau411[[#This Row],[Player id]],Tableau18[[Player id]:[Clocko fruit]],4,0)</f>
        <v>0</v>
      </c>
      <c r="Q30">
        <v>10054910</v>
      </c>
      <c r="R30" s="6">
        <f>VLOOKUP(Tableau512[[#This Row],[Player id]],Tableau18[[Player id]:[Clocko fruit]],5,0)</f>
        <v>0</v>
      </c>
      <c r="S30">
        <v>10054910</v>
      </c>
      <c r="T30" s="5">
        <f>VLOOKUP(Tableau613[[#This Row],[Player id]],Tableau18[[Player id]:[Clocko fruit]],5,0)</f>
        <v>0</v>
      </c>
      <c r="U30">
        <v>10054910</v>
      </c>
      <c r="V30" s="5">
        <f>VLOOKUP(Tableau61314[[#This Row],[Player id]],Tableau18[[Player id]:[Clocko fruit]],6,0)</f>
        <v>0</v>
      </c>
      <c r="AO30">
        <v>10054910</v>
      </c>
      <c r="AP30">
        <v>75</v>
      </c>
      <c r="AQ30">
        <v>64</v>
      </c>
      <c r="AR30">
        <v>71</v>
      </c>
      <c r="AS30">
        <v>54</v>
      </c>
      <c r="AT30">
        <v>56</v>
      </c>
      <c r="AU30">
        <f>AVERAGE(Tableau1[[#This Row],[Dragon fruit]:[Clocko fruit]])</f>
        <v>64</v>
      </c>
      <c r="AW30">
        <v>10016173</v>
      </c>
      <c r="AX30" s="6">
        <v>68</v>
      </c>
      <c r="AY30">
        <v>10094766</v>
      </c>
      <c r="AZ30" s="6">
        <v>66</v>
      </c>
      <c r="BA30">
        <v>10063379</v>
      </c>
      <c r="BB30" s="6">
        <v>68</v>
      </c>
      <c r="BC30">
        <v>11417755</v>
      </c>
      <c r="BD30" s="6">
        <v>55</v>
      </c>
      <c r="BE30">
        <v>10254632</v>
      </c>
      <c r="BF30" s="5">
        <v>64</v>
      </c>
    </row>
    <row r="31" spans="2:58" x14ac:dyDescent="0.2">
      <c r="B31">
        <v>10392768</v>
      </c>
      <c r="C31" s="11">
        <v>0</v>
      </c>
      <c r="D31" s="11"/>
      <c r="E31" s="11"/>
      <c r="F31" s="11"/>
      <c r="G31" s="11"/>
      <c r="H31" s="11"/>
      <c r="I31" s="11">
        <f>AVERAGE(Tableau18[[#This Row],[Bamboo shoot]:[Clocko fruit]])</f>
        <v>0</v>
      </c>
      <c r="K31">
        <v>10392768</v>
      </c>
      <c r="L31" s="6">
        <f>VLOOKUP(Tableau29[[#This Row],[Player id]],Tableau18[[Player id]:[Clocko fruit]],2,0)</f>
        <v>0</v>
      </c>
      <c r="M31">
        <v>10392768</v>
      </c>
      <c r="N31" s="6">
        <f>VLOOKUP(Tableau310[[#This Row],[Player id]],Tableau18[[Player id]:[Clocko fruit]],3,0)</f>
        <v>0</v>
      </c>
      <c r="O31">
        <v>10392768</v>
      </c>
      <c r="P31" s="5">
        <f>VLOOKUP(Tableau411[[#This Row],[Player id]],Tableau18[[Player id]:[Clocko fruit]],4,0)</f>
        <v>0</v>
      </c>
      <c r="Q31">
        <v>10392768</v>
      </c>
      <c r="R31" s="6">
        <f>VLOOKUP(Tableau512[[#This Row],[Player id]],Tableau18[[Player id]:[Clocko fruit]],5,0)</f>
        <v>0</v>
      </c>
      <c r="S31">
        <v>10392768</v>
      </c>
      <c r="T31" s="5">
        <f>VLOOKUP(Tableau613[[#This Row],[Player id]],Tableau18[[Player id]:[Clocko fruit]],5,0)</f>
        <v>0</v>
      </c>
      <c r="U31">
        <v>10392768</v>
      </c>
      <c r="V31" s="5">
        <f>VLOOKUP(Tableau61314[[#This Row],[Player id]],Tableau18[[Player id]:[Clocko fruit]],6,0)</f>
        <v>0</v>
      </c>
      <c r="AO31">
        <v>10392768</v>
      </c>
      <c r="AP31">
        <v>65</v>
      </c>
      <c r="AQ31">
        <v>66</v>
      </c>
      <c r="AR31">
        <v>67</v>
      </c>
      <c r="AS31">
        <v>58</v>
      </c>
      <c r="AT31">
        <v>63</v>
      </c>
      <c r="AU31">
        <f>AVERAGE(Tableau1[[#This Row],[Dragon fruit]:[Clocko fruit]])</f>
        <v>63.8</v>
      </c>
      <c r="AW31">
        <v>10327617</v>
      </c>
      <c r="AX31" s="6">
        <v>67</v>
      </c>
      <c r="AY31">
        <v>14736258</v>
      </c>
      <c r="AZ31" s="6">
        <v>65</v>
      </c>
      <c r="BA31">
        <v>10063379</v>
      </c>
      <c r="BB31" s="5">
        <v>68</v>
      </c>
      <c r="BC31">
        <v>10131593</v>
      </c>
      <c r="BD31" s="6">
        <v>55</v>
      </c>
      <c r="BE31">
        <v>10086034</v>
      </c>
      <c r="BF31" s="5">
        <v>63</v>
      </c>
    </row>
    <row r="32" spans="2:58" x14ac:dyDescent="0.2">
      <c r="B32">
        <v>10094766</v>
      </c>
      <c r="C32" s="11">
        <v>0</v>
      </c>
      <c r="D32" s="11"/>
      <c r="E32" s="11"/>
      <c r="F32" s="11"/>
      <c r="G32" s="11"/>
      <c r="H32" s="11"/>
      <c r="I32" s="11">
        <f>AVERAGE(Tableau18[[#This Row],[Bamboo shoot]:[Clocko fruit]])</f>
        <v>0</v>
      </c>
      <c r="K32">
        <v>10094766</v>
      </c>
      <c r="L32" s="6">
        <f>VLOOKUP(Tableau29[[#This Row],[Player id]],Tableau18[[Player id]:[Clocko fruit]],2,0)</f>
        <v>0</v>
      </c>
      <c r="M32">
        <v>10094766</v>
      </c>
      <c r="N32" s="5">
        <f>VLOOKUP(Tableau310[[#This Row],[Player id]],Tableau18[[Player id]:[Clocko fruit]],3,0)</f>
        <v>0</v>
      </c>
      <c r="O32">
        <v>10094766</v>
      </c>
      <c r="P32" s="5">
        <f>VLOOKUP(Tableau411[[#This Row],[Player id]],Tableau18[[Player id]:[Clocko fruit]],4,0)</f>
        <v>0</v>
      </c>
      <c r="Q32">
        <v>10094766</v>
      </c>
      <c r="R32" s="6">
        <f>VLOOKUP(Tableau512[[#This Row],[Player id]],Tableau18[[Player id]:[Clocko fruit]],5,0)</f>
        <v>0</v>
      </c>
      <c r="S32">
        <v>10094766</v>
      </c>
      <c r="T32" s="6">
        <f>VLOOKUP(Tableau613[[#This Row],[Player id]],Tableau18[[Player id]:[Clocko fruit]],5,0)</f>
        <v>0</v>
      </c>
      <c r="U32">
        <v>10094766</v>
      </c>
      <c r="V32" s="6">
        <f>VLOOKUP(Tableau61314[[#This Row],[Player id]],Tableau18[[Player id]:[Clocko fruit]],6,0)</f>
        <v>0</v>
      </c>
      <c r="AO32">
        <v>10094766</v>
      </c>
      <c r="AP32">
        <v>67</v>
      </c>
      <c r="AQ32">
        <v>66</v>
      </c>
      <c r="AR32">
        <v>68</v>
      </c>
      <c r="AS32">
        <v>53</v>
      </c>
      <c r="AT32">
        <v>63</v>
      </c>
      <c r="AU32">
        <f>AVERAGE(Tableau1[[#This Row],[Dragon fruit]:[Clocko fruit]])</f>
        <v>63.4</v>
      </c>
      <c r="AW32">
        <v>10187363</v>
      </c>
      <c r="AX32" s="6">
        <v>67</v>
      </c>
      <c r="AY32">
        <v>10654816</v>
      </c>
      <c r="AZ32" s="5">
        <v>65</v>
      </c>
      <c r="BA32">
        <v>10213126</v>
      </c>
      <c r="BB32" s="5">
        <v>68</v>
      </c>
      <c r="BC32">
        <v>10402145</v>
      </c>
      <c r="BD32" s="6">
        <v>55</v>
      </c>
      <c r="BE32">
        <v>14736258</v>
      </c>
      <c r="BF32" s="6">
        <v>63</v>
      </c>
    </row>
    <row r="33" spans="2:58" x14ac:dyDescent="0.2">
      <c r="B33">
        <v>10388368</v>
      </c>
      <c r="C33" s="11">
        <v>0</v>
      </c>
      <c r="D33" s="11"/>
      <c r="E33" s="11"/>
      <c r="F33" s="11"/>
      <c r="G33" s="11"/>
      <c r="H33" s="11"/>
      <c r="I33" s="11">
        <f>AVERAGE(Tableau18[[#This Row],[Bamboo shoot]:[Clocko fruit]])</f>
        <v>0</v>
      </c>
      <c r="K33">
        <v>10388368</v>
      </c>
      <c r="L33" s="5">
        <f>VLOOKUP(Tableau29[[#This Row],[Player id]],Tableau18[[Player id]:[Clocko fruit]],2,0)</f>
        <v>0</v>
      </c>
      <c r="M33">
        <v>10388368</v>
      </c>
      <c r="N33" s="6">
        <f>VLOOKUP(Tableau310[[#This Row],[Player id]],Tableau18[[Player id]:[Clocko fruit]],3,0)</f>
        <v>0</v>
      </c>
      <c r="O33">
        <v>10388368</v>
      </c>
      <c r="P33" s="6">
        <f>VLOOKUP(Tableau411[[#This Row],[Player id]],Tableau18[[Player id]:[Clocko fruit]],4,0)</f>
        <v>0</v>
      </c>
      <c r="Q33">
        <v>10388368</v>
      </c>
      <c r="R33" s="6">
        <f>VLOOKUP(Tableau512[[#This Row],[Player id]],Tableau18[[Player id]:[Clocko fruit]],5,0)</f>
        <v>0</v>
      </c>
      <c r="S33">
        <v>10388368</v>
      </c>
      <c r="T33" s="5">
        <f>VLOOKUP(Tableau613[[#This Row],[Player id]],Tableau18[[Player id]:[Clocko fruit]],5,0)</f>
        <v>0</v>
      </c>
      <c r="U33">
        <v>10388368</v>
      </c>
      <c r="V33" s="5">
        <f>VLOOKUP(Tableau61314[[#This Row],[Player id]],Tableau18[[Player id]:[Clocko fruit]],6,0)</f>
        <v>0</v>
      </c>
      <c r="AO33">
        <v>10388368</v>
      </c>
      <c r="AP33">
        <v>64</v>
      </c>
      <c r="AQ33">
        <v>56</v>
      </c>
      <c r="AR33">
        <v>68</v>
      </c>
      <c r="AS33">
        <v>64</v>
      </c>
      <c r="AT33">
        <v>64</v>
      </c>
      <c r="AU33">
        <f>AVERAGE(Tableau1[[#This Row],[Dragon fruit]:[Clocko fruit]])</f>
        <v>63.2</v>
      </c>
      <c r="AW33">
        <v>10213126</v>
      </c>
      <c r="AX33" s="5">
        <v>67</v>
      </c>
      <c r="AY33">
        <v>10649142</v>
      </c>
      <c r="AZ33" s="6">
        <v>65</v>
      </c>
      <c r="BA33">
        <v>10094766</v>
      </c>
      <c r="BB33" s="6">
        <v>68</v>
      </c>
      <c r="BC33">
        <v>10054910</v>
      </c>
      <c r="BD33" s="6">
        <v>54</v>
      </c>
      <c r="BE33">
        <v>10392768</v>
      </c>
      <c r="BF33" s="5">
        <v>63</v>
      </c>
    </row>
    <row r="34" spans="2:58" x14ac:dyDescent="0.2">
      <c r="B34">
        <v>10430602</v>
      </c>
      <c r="C34" s="11">
        <v>0</v>
      </c>
      <c r="D34" s="11"/>
      <c r="E34" s="11"/>
      <c r="F34" s="11"/>
      <c r="G34" s="11"/>
      <c r="H34" s="11"/>
      <c r="I34" s="11">
        <f>AVERAGE(Tableau18[[#This Row],[Bamboo shoot]:[Clocko fruit]])</f>
        <v>0</v>
      </c>
      <c r="K34">
        <v>10430602</v>
      </c>
      <c r="L34" s="5">
        <f>VLOOKUP(Tableau29[[#This Row],[Player id]],Tableau18[[Player id]:[Clocko fruit]],2,0)</f>
        <v>0</v>
      </c>
      <c r="M34">
        <v>10430602</v>
      </c>
      <c r="N34" s="5">
        <f>VLOOKUP(Tableau310[[#This Row],[Player id]],Tableau18[[Player id]:[Clocko fruit]],3,0)</f>
        <v>0</v>
      </c>
      <c r="O34">
        <v>10430602</v>
      </c>
      <c r="P34" s="5">
        <f>VLOOKUP(Tableau411[[#This Row],[Player id]],Tableau18[[Player id]:[Clocko fruit]],4,0)</f>
        <v>0</v>
      </c>
      <c r="Q34">
        <v>10430602</v>
      </c>
      <c r="R34" s="5">
        <f>VLOOKUP(Tableau512[[#This Row],[Player id]],Tableau18[[Player id]:[Clocko fruit]],5,0)</f>
        <v>0</v>
      </c>
      <c r="S34">
        <v>10430602</v>
      </c>
      <c r="T34" s="6">
        <f>VLOOKUP(Tableau613[[#This Row],[Player id]],Tableau18[[Player id]:[Clocko fruit]],5,0)</f>
        <v>0</v>
      </c>
      <c r="U34">
        <v>10430602</v>
      </c>
      <c r="V34" s="6">
        <f>VLOOKUP(Tableau61314[[#This Row],[Player id]],Tableau18[[Player id]:[Clocko fruit]],6,0)</f>
        <v>0</v>
      </c>
      <c r="AO34">
        <v>10430602</v>
      </c>
      <c r="AP34">
        <v>62</v>
      </c>
      <c r="AQ34">
        <v>64</v>
      </c>
      <c r="AR34">
        <v>67</v>
      </c>
      <c r="AS34">
        <v>48</v>
      </c>
      <c r="AT34">
        <v>74</v>
      </c>
      <c r="AU34">
        <f>AVERAGE(Tableau1[[#This Row],[Dragon fruit]:[Clocko fruit]])</f>
        <v>63</v>
      </c>
      <c r="AW34">
        <v>10137032</v>
      </c>
      <c r="AX34" s="5">
        <v>67</v>
      </c>
      <c r="AY34">
        <v>10409514</v>
      </c>
      <c r="AZ34" s="5">
        <v>65</v>
      </c>
      <c r="BA34">
        <v>10388368</v>
      </c>
      <c r="BB34" s="5">
        <v>68</v>
      </c>
      <c r="BC34">
        <v>18977827</v>
      </c>
      <c r="BD34" s="5">
        <v>53</v>
      </c>
      <c r="BE34">
        <v>10094766</v>
      </c>
      <c r="BF34" s="6">
        <v>63</v>
      </c>
    </row>
    <row r="35" spans="2:58" x14ac:dyDescent="0.2">
      <c r="B35">
        <v>10066347</v>
      </c>
      <c r="C35" s="11">
        <v>0</v>
      </c>
      <c r="D35" s="11"/>
      <c r="E35" s="11"/>
      <c r="F35" s="11"/>
      <c r="G35" s="11"/>
      <c r="H35" s="11"/>
      <c r="I35" s="11">
        <f>AVERAGE(Tableau18[[#This Row],[Bamboo shoot]:[Clocko fruit]])</f>
        <v>0</v>
      </c>
      <c r="K35">
        <v>10066347</v>
      </c>
      <c r="L35" s="6">
        <f>VLOOKUP(Tableau29[[#This Row],[Player id]],Tableau18[[Player id]:[Clocko fruit]],2,0)</f>
        <v>0</v>
      </c>
      <c r="M35">
        <v>10066347</v>
      </c>
      <c r="N35" s="6">
        <f>VLOOKUP(Tableau310[[#This Row],[Player id]],Tableau18[[Player id]:[Clocko fruit]],3,0)</f>
        <v>0</v>
      </c>
      <c r="O35">
        <v>10066347</v>
      </c>
      <c r="P35" s="5">
        <f>VLOOKUP(Tableau411[[#This Row],[Player id]],Tableau18[[Player id]:[Clocko fruit]],4,0)</f>
        <v>0</v>
      </c>
      <c r="Q35">
        <v>10066347</v>
      </c>
      <c r="R35" s="6">
        <f>VLOOKUP(Tableau512[[#This Row],[Player id]],Tableau18[[Player id]:[Clocko fruit]],5,0)</f>
        <v>0</v>
      </c>
      <c r="S35">
        <v>10066347</v>
      </c>
      <c r="T35" s="5">
        <f>VLOOKUP(Tableau613[[#This Row],[Player id]],Tableau18[[Player id]:[Clocko fruit]],5,0)</f>
        <v>0</v>
      </c>
      <c r="U35">
        <v>10066347</v>
      </c>
      <c r="V35" s="5">
        <f>VLOOKUP(Tableau61314[[#This Row],[Player id]],Tableau18[[Player id]:[Clocko fruit]],6,0)</f>
        <v>0</v>
      </c>
      <c r="AO35">
        <v>10066347</v>
      </c>
      <c r="AP35">
        <v>76</v>
      </c>
      <c r="AQ35">
        <v>68</v>
      </c>
      <c r="AR35">
        <v>66</v>
      </c>
      <c r="AS35">
        <v>52</v>
      </c>
      <c r="AT35">
        <v>52</v>
      </c>
      <c r="AU35">
        <f>AVERAGE(Tableau1[[#This Row],[Dragon fruit]:[Clocko fruit]])</f>
        <v>62.8</v>
      </c>
      <c r="AW35">
        <v>10094766</v>
      </c>
      <c r="AX35" s="6">
        <v>67</v>
      </c>
      <c r="AY35">
        <v>10201365</v>
      </c>
      <c r="AZ35" s="6">
        <v>65</v>
      </c>
      <c r="BA35">
        <v>10409514</v>
      </c>
      <c r="BB35" s="5">
        <v>67</v>
      </c>
      <c r="BC35">
        <v>10094766</v>
      </c>
      <c r="BD35" s="6">
        <v>53</v>
      </c>
      <c r="BE35">
        <v>10065853</v>
      </c>
      <c r="BF35" s="5">
        <v>63</v>
      </c>
    </row>
    <row r="36" spans="2:58" x14ac:dyDescent="0.2">
      <c r="B36">
        <v>10080156</v>
      </c>
      <c r="C36" s="11">
        <v>0</v>
      </c>
      <c r="D36" s="11"/>
      <c r="E36" s="11"/>
      <c r="F36" s="11"/>
      <c r="G36" s="11"/>
      <c r="H36" s="11"/>
      <c r="I36" s="11">
        <f>AVERAGE(Tableau18[[#This Row],[Bamboo shoot]:[Clocko fruit]])</f>
        <v>0</v>
      </c>
      <c r="K36">
        <v>10080156</v>
      </c>
      <c r="L36" s="6">
        <f>VLOOKUP(Tableau29[[#This Row],[Player id]],Tableau18[[Player id]:[Clocko fruit]],2,0)</f>
        <v>0</v>
      </c>
      <c r="M36">
        <v>10080156</v>
      </c>
      <c r="N36" s="6">
        <f>VLOOKUP(Tableau310[[#This Row],[Player id]],Tableau18[[Player id]:[Clocko fruit]],3,0)</f>
        <v>0</v>
      </c>
      <c r="O36">
        <v>10080156</v>
      </c>
      <c r="P36" s="6">
        <f>VLOOKUP(Tableau411[[#This Row],[Player id]],Tableau18[[Player id]:[Clocko fruit]],4,0)</f>
        <v>0</v>
      </c>
      <c r="Q36">
        <v>10080156</v>
      </c>
      <c r="R36" s="6">
        <f>VLOOKUP(Tableau512[[#This Row],[Player id]],Tableau18[[Player id]:[Clocko fruit]],5,0)</f>
        <v>0</v>
      </c>
      <c r="S36">
        <v>10080156</v>
      </c>
      <c r="T36" s="5">
        <f>VLOOKUP(Tableau613[[#This Row],[Player id]],Tableau18[[Player id]:[Clocko fruit]],5,0)</f>
        <v>0</v>
      </c>
      <c r="U36">
        <v>10080156</v>
      </c>
      <c r="V36" s="5">
        <f>VLOOKUP(Tableau61314[[#This Row],[Player id]],Tableau18[[Player id]:[Clocko fruit]],6,0)</f>
        <v>0</v>
      </c>
      <c r="AO36">
        <v>10080156</v>
      </c>
      <c r="AP36">
        <v>69</v>
      </c>
      <c r="AQ36">
        <v>68</v>
      </c>
      <c r="AR36">
        <v>71</v>
      </c>
      <c r="AS36">
        <v>56</v>
      </c>
      <c r="AT36">
        <v>50</v>
      </c>
      <c r="AU36">
        <f>AVERAGE(Tableau1[[#This Row],[Dragon fruit]:[Clocko fruit]])</f>
        <v>62.8</v>
      </c>
      <c r="AW36">
        <v>10404376</v>
      </c>
      <c r="AX36" s="6">
        <v>66</v>
      </c>
      <c r="AY36">
        <v>10131593</v>
      </c>
      <c r="AZ36" s="6">
        <v>65</v>
      </c>
      <c r="BA36">
        <v>10214454</v>
      </c>
      <c r="BB36" s="6">
        <v>67</v>
      </c>
      <c r="BC36">
        <v>10795976</v>
      </c>
      <c r="BD36" s="6">
        <v>53</v>
      </c>
      <c r="BE36">
        <v>10284645</v>
      </c>
      <c r="BF36" s="5">
        <v>63</v>
      </c>
    </row>
    <row r="37" spans="2:58" x14ac:dyDescent="0.2">
      <c r="B37">
        <v>10066347</v>
      </c>
      <c r="C37" s="11">
        <v>0</v>
      </c>
      <c r="D37" s="11"/>
      <c r="E37" s="11"/>
      <c r="F37" s="11"/>
      <c r="G37" s="11"/>
      <c r="H37" s="11"/>
      <c r="I37" s="11">
        <f>AVERAGE(Tableau18[[#This Row],[Bamboo shoot]:[Clocko fruit]])</f>
        <v>0</v>
      </c>
      <c r="K37">
        <v>10066347</v>
      </c>
      <c r="L37" s="5">
        <f>VLOOKUP(Tableau29[[#This Row],[Player id]],Tableau18[[Player id]:[Clocko fruit]],2,0)</f>
        <v>0</v>
      </c>
      <c r="M37">
        <v>10066347</v>
      </c>
      <c r="N37" s="6">
        <f>VLOOKUP(Tableau310[[#This Row],[Player id]],Tableau18[[Player id]:[Clocko fruit]],3,0)</f>
        <v>0</v>
      </c>
      <c r="O37">
        <v>10066347</v>
      </c>
      <c r="P37" s="5">
        <f>VLOOKUP(Tableau411[[#This Row],[Player id]],Tableau18[[Player id]:[Clocko fruit]],4,0)</f>
        <v>0</v>
      </c>
      <c r="Q37">
        <v>10066347</v>
      </c>
      <c r="R37" s="5">
        <f>VLOOKUP(Tableau512[[#This Row],[Player id]],Tableau18[[Player id]:[Clocko fruit]],5,0)</f>
        <v>0</v>
      </c>
      <c r="S37">
        <v>10066347</v>
      </c>
      <c r="T37" s="6">
        <f>VLOOKUP(Tableau613[[#This Row],[Player id]],Tableau18[[Player id]:[Clocko fruit]],5,0)</f>
        <v>0</v>
      </c>
      <c r="U37">
        <v>10066347</v>
      </c>
      <c r="V37" s="6">
        <f>VLOOKUP(Tableau61314[[#This Row],[Player id]],Tableau18[[Player id]:[Clocko fruit]],6,0)</f>
        <v>0</v>
      </c>
      <c r="AO37">
        <v>10066347</v>
      </c>
      <c r="AP37">
        <v>76</v>
      </c>
      <c r="AQ37">
        <v>68</v>
      </c>
      <c r="AR37">
        <v>66</v>
      </c>
      <c r="AS37">
        <v>52</v>
      </c>
      <c r="AT37">
        <v>52</v>
      </c>
      <c r="AU37">
        <f>AVERAGE(Tableau1[[#This Row],[Dragon fruit]:[Clocko fruit]])</f>
        <v>62.8</v>
      </c>
      <c r="AW37">
        <v>18886393</v>
      </c>
      <c r="AX37" s="5">
        <v>66</v>
      </c>
      <c r="AY37">
        <v>10016173</v>
      </c>
      <c r="AZ37" s="6">
        <v>65</v>
      </c>
      <c r="BA37">
        <v>10392768</v>
      </c>
      <c r="BB37" s="5">
        <v>67</v>
      </c>
      <c r="BC37">
        <v>10066347</v>
      </c>
      <c r="BD37" s="5">
        <v>52</v>
      </c>
      <c r="BE37">
        <v>11354842</v>
      </c>
      <c r="BF37" s="6">
        <v>60</v>
      </c>
    </row>
    <row r="38" spans="2:58" x14ac:dyDescent="0.2">
      <c r="B38">
        <v>10264905</v>
      </c>
      <c r="C38" s="11">
        <v>0</v>
      </c>
      <c r="D38" s="11"/>
      <c r="E38" s="11"/>
      <c r="F38" s="11"/>
      <c r="G38" s="11"/>
      <c r="H38" s="11"/>
      <c r="I38" s="11">
        <f>AVERAGE(Tableau18[[#This Row],[Bamboo shoot]:[Clocko fruit]])</f>
        <v>0</v>
      </c>
      <c r="K38">
        <v>10264905</v>
      </c>
      <c r="L38" s="5">
        <f>VLOOKUP(Tableau29[[#This Row],[Player id]],Tableau18[[Player id]:[Clocko fruit]],2,0)</f>
        <v>0</v>
      </c>
      <c r="M38">
        <v>10264905</v>
      </c>
      <c r="N38" s="5">
        <f>VLOOKUP(Tableau310[[#This Row],[Player id]],Tableau18[[Player id]:[Clocko fruit]],3,0)</f>
        <v>0</v>
      </c>
      <c r="O38">
        <v>10264905</v>
      </c>
      <c r="P38" s="6">
        <f>VLOOKUP(Tableau411[[#This Row],[Player id]],Tableau18[[Player id]:[Clocko fruit]],4,0)</f>
        <v>0</v>
      </c>
      <c r="Q38">
        <v>10264905</v>
      </c>
      <c r="R38" s="5">
        <f>VLOOKUP(Tableau512[[#This Row],[Player id]],Tableau18[[Player id]:[Clocko fruit]],5,0)</f>
        <v>0</v>
      </c>
      <c r="S38">
        <v>10264905</v>
      </c>
      <c r="T38" s="5">
        <f>VLOOKUP(Tableau613[[#This Row],[Player id]],Tableau18[[Player id]:[Clocko fruit]],5,0)</f>
        <v>0</v>
      </c>
      <c r="U38">
        <v>10264905</v>
      </c>
      <c r="V38" s="5">
        <f>VLOOKUP(Tableau61314[[#This Row],[Player id]],Tableau18[[Player id]:[Clocko fruit]],6,0)</f>
        <v>0</v>
      </c>
      <c r="AO38">
        <v>10264905</v>
      </c>
      <c r="AP38">
        <v>68</v>
      </c>
      <c r="AQ38">
        <v>71</v>
      </c>
      <c r="AR38">
        <v>67</v>
      </c>
      <c r="AS38">
        <v>66</v>
      </c>
      <c r="AT38">
        <v>42</v>
      </c>
      <c r="AU38">
        <f>AVERAGE(Tableau1[[#This Row],[Dragon fruit]:[Clocko fruit]])</f>
        <v>62.8</v>
      </c>
      <c r="AW38">
        <v>10065853</v>
      </c>
      <c r="AX38" s="5">
        <v>66</v>
      </c>
      <c r="AY38">
        <v>21007894</v>
      </c>
      <c r="AZ38" s="5">
        <v>64</v>
      </c>
      <c r="BA38">
        <v>10430602</v>
      </c>
      <c r="BB38" s="6">
        <v>67</v>
      </c>
      <c r="BC38">
        <v>10066347</v>
      </c>
      <c r="BD38" s="5">
        <v>52</v>
      </c>
      <c r="BE38">
        <v>10654816</v>
      </c>
      <c r="BF38" s="5">
        <v>59</v>
      </c>
    </row>
    <row r="39" spans="2:58" x14ac:dyDescent="0.2">
      <c r="B39">
        <v>21007894</v>
      </c>
      <c r="C39" s="11">
        <v>0</v>
      </c>
      <c r="D39" s="11"/>
      <c r="E39" s="11"/>
      <c r="F39" s="11"/>
      <c r="G39" s="11"/>
      <c r="H39" s="11"/>
      <c r="I39" s="11">
        <f>AVERAGE(Tableau18[[#This Row],[Bamboo shoot]:[Clocko fruit]])</f>
        <v>0</v>
      </c>
      <c r="K39">
        <v>21007894</v>
      </c>
      <c r="L39" s="5">
        <f>VLOOKUP(Tableau29[[#This Row],[Player id]],Tableau18[[Player id]:[Clocko fruit]],2,0)</f>
        <v>0</v>
      </c>
      <c r="M39">
        <v>21007894</v>
      </c>
      <c r="N39" s="6">
        <f>VLOOKUP(Tableau310[[#This Row],[Player id]],Tableau18[[Player id]:[Clocko fruit]],3,0)</f>
        <v>0</v>
      </c>
      <c r="O39">
        <v>21007894</v>
      </c>
      <c r="P39" s="6">
        <f>VLOOKUP(Tableau411[[#This Row],[Player id]],Tableau18[[Player id]:[Clocko fruit]],4,0)</f>
        <v>0</v>
      </c>
      <c r="Q39">
        <v>21007894</v>
      </c>
      <c r="R39" s="5">
        <f>VLOOKUP(Tableau512[[#This Row],[Player id]],Tableau18[[Player id]:[Clocko fruit]],5,0)</f>
        <v>0</v>
      </c>
      <c r="S39">
        <v>21007894</v>
      </c>
      <c r="T39" s="6">
        <f>VLOOKUP(Tableau613[[#This Row],[Player id]],Tableau18[[Player id]:[Clocko fruit]],5,0)</f>
        <v>0</v>
      </c>
      <c r="U39">
        <v>21007894</v>
      </c>
      <c r="V39" s="6">
        <f>VLOOKUP(Tableau61314[[#This Row],[Player id]],Tableau18[[Player id]:[Clocko fruit]],6,0)</f>
        <v>0</v>
      </c>
      <c r="AO39">
        <v>21007894</v>
      </c>
      <c r="AP39">
        <v>73</v>
      </c>
      <c r="AQ39">
        <v>64</v>
      </c>
      <c r="AR39">
        <v>63</v>
      </c>
      <c r="AS39">
        <v>50</v>
      </c>
      <c r="AT39">
        <v>64</v>
      </c>
      <c r="AU39">
        <f>AVERAGE(Tableau1[[#This Row],[Dragon fruit]:[Clocko fruit]])</f>
        <v>62.8</v>
      </c>
      <c r="AW39">
        <v>10654816</v>
      </c>
      <c r="AX39" s="5">
        <v>66</v>
      </c>
      <c r="AY39">
        <v>11417755</v>
      </c>
      <c r="AZ39" s="6">
        <v>64</v>
      </c>
      <c r="BA39">
        <v>10264905</v>
      </c>
      <c r="BB39" s="6">
        <v>67</v>
      </c>
      <c r="BC39">
        <v>10132613</v>
      </c>
      <c r="BD39" s="5">
        <v>51</v>
      </c>
      <c r="BE39">
        <v>10092028</v>
      </c>
      <c r="BF39" s="6">
        <v>58</v>
      </c>
    </row>
    <row r="40" spans="2:58" x14ac:dyDescent="0.2">
      <c r="B40">
        <v>18469277</v>
      </c>
      <c r="C40" s="11">
        <v>0</v>
      </c>
      <c r="D40" s="11"/>
      <c r="E40" s="11"/>
      <c r="F40" s="11"/>
      <c r="G40" s="11"/>
      <c r="H40" s="11"/>
      <c r="I40" s="11">
        <f>AVERAGE(Tableau18[[#This Row],[Bamboo shoot]:[Clocko fruit]])</f>
        <v>0</v>
      </c>
      <c r="K40">
        <v>18469277</v>
      </c>
      <c r="L40" s="5">
        <f>VLOOKUP(Tableau29[[#This Row],[Player id]],Tableau18[[Player id]:[Clocko fruit]],2,0)</f>
        <v>0</v>
      </c>
      <c r="M40">
        <v>18469277</v>
      </c>
      <c r="N40" s="6">
        <f>VLOOKUP(Tableau310[[#This Row],[Player id]],Tableau18[[Player id]:[Clocko fruit]],3,0)</f>
        <v>0</v>
      </c>
      <c r="O40">
        <v>18469277</v>
      </c>
      <c r="P40" s="5">
        <f>VLOOKUP(Tableau411[[#This Row],[Player id]],Tableau18[[Player id]:[Clocko fruit]],4,0)</f>
        <v>0</v>
      </c>
      <c r="Q40">
        <v>18469277</v>
      </c>
      <c r="R40" s="5">
        <f>VLOOKUP(Tableau512[[#This Row],[Player id]],Tableau18[[Player id]:[Clocko fruit]],5,0)</f>
        <v>0</v>
      </c>
      <c r="S40">
        <v>18469277</v>
      </c>
      <c r="T40" s="5">
        <f>VLOOKUP(Tableau613[[#This Row],[Player id]],Tableau18[[Player id]:[Clocko fruit]],5,0)</f>
        <v>0</v>
      </c>
      <c r="U40">
        <v>18469277</v>
      </c>
      <c r="V40" s="5">
        <f>VLOOKUP(Tableau61314[[#This Row],[Player id]],Tableau18[[Player id]:[Clocko fruit]],6,0)</f>
        <v>0</v>
      </c>
      <c r="AO40">
        <v>18469277</v>
      </c>
      <c r="AP40">
        <v>53</v>
      </c>
      <c r="AQ40">
        <v>63</v>
      </c>
      <c r="AR40">
        <v>78</v>
      </c>
      <c r="AS40">
        <v>39</v>
      </c>
      <c r="AT40">
        <v>80</v>
      </c>
      <c r="AU40">
        <f>AVERAGE(Tableau1[[#This Row],[Dragon fruit]:[Clocko fruit]])</f>
        <v>62.6</v>
      </c>
      <c r="AW40">
        <v>10392768</v>
      </c>
      <c r="AX40" s="5">
        <v>65</v>
      </c>
      <c r="AY40">
        <v>10922998</v>
      </c>
      <c r="AZ40" s="6">
        <v>64</v>
      </c>
      <c r="BA40">
        <v>10101668</v>
      </c>
      <c r="BB40" s="5">
        <v>67</v>
      </c>
      <c r="BC40">
        <v>18886393</v>
      </c>
      <c r="BD40" s="5">
        <v>51</v>
      </c>
      <c r="BE40">
        <v>10213126</v>
      </c>
      <c r="BF40" s="5">
        <v>58</v>
      </c>
    </row>
    <row r="41" spans="2:58" x14ac:dyDescent="0.2">
      <c r="B41">
        <v>10101668</v>
      </c>
      <c r="C41" s="11">
        <v>0</v>
      </c>
      <c r="D41" s="11"/>
      <c r="E41" s="11"/>
      <c r="F41" s="11"/>
      <c r="G41" s="11"/>
      <c r="H41" s="11"/>
      <c r="I41" s="11">
        <f>AVERAGE(Tableau18[[#This Row],[Bamboo shoot]:[Clocko fruit]])</f>
        <v>0</v>
      </c>
      <c r="K41">
        <v>10101668</v>
      </c>
      <c r="L41" s="5">
        <f>VLOOKUP(Tableau29[[#This Row],[Player id]],Tableau18[[Player id]:[Clocko fruit]],2,0)</f>
        <v>0</v>
      </c>
      <c r="M41">
        <v>10101668</v>
      </c>
      <c r="N41" s="5">
        <f>VLOOKUP(Tableau310[[#This Row],[Player id]],Tableau18[[Player id]:[Clocko fruit]],3,0)</f>
        <v>0</v>
      </c>
      <c r="O41">
        <v>10101668</v>
      </c>
      <c r="P41" s="6">
        <f>VLOOKUP(Tableau411[[#This Row],[Player id]],Tableau18[[Player id]:[Clocko fruit]],4,0)</f>
        <v>0</v>
      </c>
      <c r="Q41">
        <v>10101668</v>
      </c>
      <c r="R41" s="5">
        <f>VLOOKUP(Tableau512[[#This Row],[Player id]],Tableau18[[Player id]:[Clocko fruit]],5,0)</f>
        <v>0</v>
      </c>
      <c r="S41">
        <v>10101668</v>
      </c>
      <c r="T41" s="6">
        <f>VLOOKUP(Tableau613[[#This Row],[Player id]],Tableau18[[Player id]:[Clocko fruit]],5,0)</f>
        <v>0</v>
      </c>
      <c r="U41">
        <v>10101668</v>
      </c>
      <c r="V41" s="6">
        <f>VLOOKUP(Tableau61314[[#This Row],[Player id]],Tableau18[[Player id]:[Clocko fruit]],6,0)</f>
        <v>0</v>
      </c>
      <c r="AO41">
        <v>10101668</v>
      </c>
      <c r="AP41">
        <v>65</v>
      </c>
      <c r="AQ41">
        <v>64</v>
      </c>
      <c r="AR41">
        <v>67</v>
      </c>
      <c r="AS41">
        <v>49</v>
      </c>
      <c r="AT41">
        <v>66</v>
      </c>
      <c r="AU41">
        <f>AVERAGE(Tableau1[[#This Row],[Dragon fruit]:[Clocko fruit]])</f>
        <v>62.2</v>
      </c>
      <c r="AW41">
        <v>10101668</v>
      </c>
      <c r="AX41" s="5">
        <v>65</v>
      </c>
      <c r="AY41">
        <v>10657966</v>
      </c>
      <c r="AZ41" s="5">
        <v>64</v>
      </c>
      <c r="BA41">
        <v>10131593</v>
      </c>
      <c r="BB41" s="6">
        <v>67</v>
      </c>
      <c r="BC41">
        <v>10657966</v>
      </c>
      <c r="BD41" s="5">
        <v>51</v>
      </c>
      <c r="BE41">
        <v>10131593</v>
      </c>
      <c r="BF41" s="6">
        <v>58</v>
      </c>
    </row>
    <row r="42" spans="2:58" x14ac:dyDescent="0.2">
      <c r="B42">
        <v>10131593</v>
      </c>
      <c r="C42" s="11">
        <v>0</v>
      </c>
      <c r="D42" s="11"/>
      <c r="E42" s="11"/>
      <c r="F42" s="11"/>
      <c r="G42" s="11"/>
      <c r="H42" s="11"/>
      <c r="I42" s="11">
        <f>AVERAGE(Tableau18[[#This Row],[Bamboo shoot]:[Clocko fruit]])</f>
        <v>0</v>
      </c>
      <c r="K42">
        <v>10131593</v>
      </c>
      <c r="L42" s="6">
        <f>VLOOKUP(Tableau29[[#This Row],[Player id]],Tableau18[[Player id]:[Clocko fruit]],2,0)</f>
        <v>0</v>
      </c>
      <c r="M42">
        <v>10131593</v>
      </c>
      <c r="N42" s="5">
        <f>VLOOKUP(Tableau310[[#This Row],[Player id]],Tableau18[[Player id]:[Clocko fruit]],3,0)</f>
        <v>0</v>
      </c>
      <c r="O42">
        <v>10131593</v>
      </c>
      <c r="P42" s="5">
        <f>VLOOKUP(Tableau411[[#This Row],[Player id]],Tableau18[[Player id]:[Clocko fruit]],4,0)</f>
        <v>0</v>
      </c>
      <c r="Q42">
        <v>10131593</v>
      </c>
      <c r="R42" s="5">
        <f>VLOOKUP(Tableau512[[#This Row],[Player id]],Tableau18[[Player id]:[Clocko fruit]],5,0)</f>
        <v>0</v>
      </c>
      <c r="S42">
        <v>10131593</v>
      </c>
      <c r="T42" s="6">
        <f>VLOOKUP(Tableau613[[#This Row],[Player id]],Tableau18[[Player id]:[Clocko fruit]],5,0)</f>
        <v>0</v>
      </c>
      <c r="U42">
        <v>10131593</v>
      </c>
      <c r="V42" s="6">
        <f>VLOOKUP(Tableau61314[[#This Row],[Player id]],Tableau18[[Player id]:[Clocko fruit]],6,0)</f>
        <v>0</v>
      </c>
      <c r="AO42">
        <v>10131593</v>
      </c>
      <c r="AP42">
        <v>65</v>
      </c>
      <c r="AQ42">
        <v>65</v>
      </c>
      <c r="AR42">
        <v>67</v>
      </c>
      <c r="AS42">
        <v>55</v>
      </c>
      <c r="AT42">
        <v>58</v>
      </c>
      <c r="AU42">
        <f>AVERAGE(Tableau1[[#This Row],[Dragon fruit]:[Clocko fruit]])</f>
        <v>62</v>
      </c>
      <c r="AW42">
        <v>10131593</v>
      </c>
      <c r="AX42" s="6">
        <v>65</v>
      </c>
      <c r="AY42">
        <v>10544332</v>
      </c>
      <c r="AZ42" s="5">
        <v>64</v>
      </c>
      <c r="BA42">
        <v>10254632</v>
      </c>
      <c r="BB42" s="5">
        <v>67</v>
      </c>
      <c r="BC42">
        <v>21007894</v>
      </c>
      <c r="BD42" s="5">
        <v>50</v>
      </c>
      <c r="BE42">
        <v>10932485</v>
      </c>
      <c r="BF42" s="6">
        <v>58</v>
      </c>
    </row>
    <row r="43" spans="2:58" x14ac:dyDescent="0.2">
      <c r="B43">
        <v>10065853</v>
      </c>
      <c r="C43" s="11">
        <v>0</v>
      </c>
      <c r="D43" s="11"/>
      <c r="E43" s="11"/>
      <c r="F43" s="11"/>
      <c r="G43" s="11"/>
      <c r="H43" s="11"/>
      <c r="I43" s="11">
        <f>AVERAGE(Tableau18[[#This Row],[Bamboo shoot]:[Clocko fruit]])</f>
        <v>0</v>
      </c>
      <c r="K43">
        <v>10065853</v>
      </c>
      <c r="L43" s="6">
        <f>VLOOKUP(Tableau29[[#This Row],[Player id]],Tableau18[[Player id]:[Clocko fruit]],2,0)</f>
        <v>0</v>
      </c>
      <c r="M43">
        <v>10065853</v>
      </c>
      <c r="N43" s="6">
        <f>VLOOKUP(Tableau310[[#This Row],[Player id]],Tableau18[[Player id]:[Clocko fruit]],3,0)</f>
        <v>0</v>
      </c>
      <c r="O43">
        <v>10065853</v>
      </c>
      <c r="P43" s="6">
        <f>VLOOKUP(Tableau411[[#This Row],[Player id]],Tableau18[[Player id]:[Clocko fruit]],4,0)</f>
        <v>0</v>
      </c>
      <c r="Q43">
        <v>10065853</v>
      </c>
      <c r="R43" s="6">
        <f>VLOOKUP(Tableau512[[#This Row],[Player id]],Tableau18[[Player id]:[Clocko fruit]],5,0)</f>
        <v>0</v>
      </c>
      <c r="S43">
        <v>10065853</v>
      </c>
      <c r="T43" s="5">
        <f>VLOOKUP(Tableau613[[#This Row],[Player id]],Tableau18[[Player id]:[Clocko fruit]],5,0)</f>
        <v>0</v>
      </c>
      <c r="U43">
        <v>10065853</v>
      </c>
      <c r="V43" s="5">
        <f>VLOOKUP(Tableau61314[[#This Row],[Player id]],Tableau18[[Player id]:[Clocko fruit]],6,0)</f>
        <v>0</v>
      </c>
      <c r="AO43">
        <v>10065853</v>
      </c>
      <c r="AP43">
        <v>66</v>
      </c>
      <c r="AQ43">
        <v>69</v>
      </c>
      <c r="AR43">
        <v>71</v>
      </c>
      <c r="AS43">
        <v>40</v>
      </c>
      <c r="AT43">
        <v>63</v>
      </c>
      <c r="AU43">
        <f>AVERAGE(Tableau1[[#This Row],[Dragon fruit]:[Clocko fruit]])</f>
        <v>61.8</v>
      </c>
      <c r="AW43">
        <v>10922998</v>
      </c>
      <c r="AX43" s="6">
        <v>65</v>
      </c>
      <c r="AY43">
        <v>10430602</v>
      </c>
      <c r="AZ43" s="6">
        <v>64</v>
      </c>
      <c r="BA43">
        <v>10303958</v>
      </c>
      <c r="BB43" s="6">
        <v>67</v>
      </c>
      <c r="BC43">
        <v>10932485</v>
      </c>
      <c r="BD43" s="6">
        <v>50</v>
      </c>
      <c r="BE43">
        <v>18977827</v>
      </c>
      <c r="BF43" s="5">
        <v>57</v>
      </c>
    </row>
    <row r="44" spans="2:58" x14ac:dyDescent="0.2">
      <c r="B44">
        <v>10795976</v>
      </c>
      <c r="C44" s="11">
        <v>0</v>
      </c>
      <c r="D44" s="11"/>
      <c r="E44" s="11"/>
      <c r="F44" s="11"/>
      <c r="G44" s="11"/>
      <c r="H44" s="11"/>
      <c r="I44" s="11">
        <f>AVERAGE(Tableau18[[#This Row],[Bamboo shoot]:[Clocko fruit]])</f>
        <v>0</v>
      </c>
      <c r="K44">
        <v>10795976</v>
      </c>
      <c r="L44" s="6">
        <f>VLOOKUP(Tableau29[[#This Row],[Player id]],Tableau18[[Player id]:[Clocko fruit]],2,0)</f>
        <v>0</v>
      </c>
      <c r="M44">
        <v>10795976</v>
      </c>
      <c r="N44" s="6">
        <f>VLOOKUP(Tableau310[[#This Row],[Player id]],Tableau18[[Player id]:[Clocko fruit]],3,0)</f>
        <v>0</v>
      </c>
      <c r="O44">
        <v>10795976</v>
      </c>
      <c r="P44" s="6">
        <f>VLOOKUP(Tableau411[[#This Row],[Player id]],Tableau18[[Player id]:[Clocko fruit]],4,0)</f>
        <v>0</v>
      </c>
      <c r="Q44">
        <v>10795976</v>
      </c>
      <c r="R44" s="5">
        <f>VLOOKUP(Tableau512[[#This Row],[Player id]],Tableau18[[Player id]:[Clocko fruit]],5,0)</f>
        <v>0</v>
      </c>
      <c r="S44">
        <v>10795976</v>
      </c>
      <c r="T44" s="6">
        <f>VLOOKUP(Tableau613[[#This Row],[Player id]],Tableau18[[Player id]:[Clocko fruit]],5,0)</f>
        <v>0</v>
      </c>
      <c r="U44">
        <v>10795976</v>
      </c>
      <c r="V44" s="6">
        <f>VLOOKUP(Tableau61314[[#This Row],[Player id]],Tableau18[[Player id]:[Clocko fruit]],6,0)</f>
        <v>0</v>
      </c>
      <c r="AO44">
        <v>10795976</v>
      </c>
      <c r="AP44">
        <v>68</v>
      </c>
      <c r="AQ44">
        <v>68</v>
      </c>
      <c r="AR44">
        <v>66</v>
      </c>
      <c r="AS44">
        <v>53</v>
      </c>
      <c r="AT44">
        <v>54</v>
      </c>
      <c r="AU44">
        <f>AVERAGE(Tableau1[[#This Row],[Dragon fruit]:[Clocko fruit]])</f>
        <v>61.8</v>
      </c>
      <c r="AW44">
        <v>13117515</v>
      </c>
      <c r="AX44" s="6">
        <v>64</v>
      </c>
      <c r="AY44">
        <v>10334064</v>
      </c>
      <c r="AZ44" s="6">
        <v>64</v>
      </c>
      <c r="BA44">
        <v>10016173</v>
      </c>
      <c r="BB44" s="6">
        <v>67</v>
      </c>
      <c r="BC44">
        <v>10101668</v>
      </c>
      <c r="BD44" s="5">
        <v>49</v>
      </c>
      <c r="BE44">
        <v>10054910</v>
      </c>
      <c r="BF44" s="6">
        <v>56</v>
      </c>
    </row>
    <row r="45" spans="2:58" x14ac:dyDescent="0.2">
      <c r="B45">
        <v>10254632</v>
      </c>
      <c r="C45" s="11">
        <v>0</v>
      </c>
      <c r="D45" s="11"/>
      <c r="E45" s="11"/>
      <c r="F45" s="11"/>
      <c r="G45" s="11"/>
      <c r="H45" s="11"/>
      <c r="I45" s="11">
        <f>AVERAGE(Tableau18[[#This Row],[Bamboo shoot]:[Clocko fruit]])</f>
        <v>0</v>
      </c>
      <c r="K45">
        <v>10254632</v>
      </c>
      <c r="L45" s="5">
        <f>VLOOKUP(Tableau29[[#This Row],[Player id]],Tableau18[[Player id]:[Clocko fruit]],2,0)</f>
        <v>0</v>
      </c>
      <c r="M45">
        <v>10254632</v>
      </c>
      <c r="N45" s="6">
        <f>VLOOKUP(Tableau310[[#This Row],[Player id]],Tableau18[[Player id]:[Clocko fruit]],3,0)</f>
        <v>0</v>
      </c>
      <c r="O45">
        <v>10254632</v>
      </c>
      <c r="P45" s="6">
        <f>VLOOKUP(Tableau411[[#This Row],[Player id]],Tableau18[[Player id]:[Clocko fruit]],4,0)</f>
        <v>0</v>
      </c>
      <c r="Q45">
        <v>10254632</v>
      </c>
      <c r="R45" s="5">
        <f>VLOOKUP(Tableau512[[#This Row],[Player id]],Tableau18[[Player id]:[Clocko fruit]],5,0)</f>
        <v>0</v>
      </c>
      <c r="S45">
        <v>10254632</v>
      </c>
      <c r="T45" s="5">
        <f>VLOOKUP(Tableau613[[#This Row],[Player id]],Tableau18[[Player id]:[Clocko fruit]],5,0)</f>
        <v>0</v>
      </c>
      <c r="U45">
        <v>10254632</v>
      </c>
      <c r="V45" s="5">
        <f>VLOOKUP(Tableau61314[[#This Row],[Player id]],Tableau18[[Player id]:[Clocko fruit]],6,0)</f>
        <v>0</v>
      </c>
      <c r="AO45">
        <v>10254632</v>
      </c>
      <c r="AP45">
        <v>64</v>
      </c>
      <c r="AQ45">
        <v>64</v>
      </c>
      <c r="AR45">
        <v>67</v>
      </c>
      <c r="AS45">
        <v>49</v>
      </c>
      <c r="AT45">
        <v>64</v>
      </c>
      <c r="AU45">
        <f>AVERAGE(Tableau1[[#This Row],[Dragon fruit]:[Clocko fruit]])</f>
        <v>61.6</v>
      </c>
      <c r="AW45">
        <v>10409514</v>
      </c>
      <c r="AX45" s="5">
        <v>64</v>
      </c>
      <c r="AY45">
        <v>10303958</v>
      </c>
      <c r="AZ45" s="6">
        <v>64</v>
      </c>
      <c r="BA45">
        <v>10201365</v>
      </c>
      <c r="BB45" s="6">
        <v>67</v>
      </c>
      <c r="BC45">
        <v>10254632</v>
      </c>
      <c r="BD45" s="5">
        <v>49</v>
      </c>
      <c r="BE45">
        <v>10137032</v>
      </c>
      <c r="BF45" s="5">
        <v>55</v>
      </c>
    </row>
    <row r="46" spans="2:58" x14ac:dyDescent="0.2">
      <c r="B46">
        <v>10303958</v>
      </c>
      <c r="C46" s="11">
        <v>0</v>
      </c>
      <c r="D46" s="11"/>
      <c r="E46" s="11"/>
      <c r="F46" s="11"/>
      <c r="G46" s="11"/>
      <c r="H46" s="11"/>
      <c r="I46" s="11">
        <f>AVERAGE(Tableau18[[#This Row],[Bamboo shoot]:[Clocko fruit]])</f>
        <v>0</v>
      </c>
      <c r="K46">
        <v>10303958</v>
      </c>
      <c r="L46" s="5">
        <f>VLOOKUP(Tableau29[[#This Row],[Player id]],Tableau18[[Player id]:[Clocko fruit]],2,0)</f>
        <v>0</v>
      </c>
      <c r="M46">
        <v>10303958</v>
      </c>
      <c r="N46" s="5">
        <f>VLOOKUP(Tableau310[[#This Row],[Player id]],Tableau18[[Player id]:[Clocko fruit]],3,0)</f>
        <v>0</v>
      </c>
      <c r="O46">
        <v>10303958</v>
      </c>
      <c r="P46" s="6">
        <f>VLOOKUP(Tableau411[[#This Row],[Player id]],Tableau18[[Player id]:[Clocko fruit]],4,0)</f>
        <v>0</v>
      </c>
      <c r="Q46">
        <v>10303958</v>
      </c>
      <c r="R46" s="6">
        <f>VLOOKUP(Tableau512[[#This Row],[Player id]],Tableau18[[Player id]:[Clocko fruit]],5,0)</f>
        <v>0</v>
      </c>
      <c r="S46">
        <v>10303958</v>
      </c>
      <c r="T46" s="6">
        <f>VLOOKUP(Tableau613[[#This Row],[Player id]],Tableau18[[Player id]:[Clocko fruit]],5,0)</f>
        <v>0</v>
      </c>
      <c r="U46">
        <v>10303958</v>
      </c>
      <c r="V46" s="6">
        <f>VLOOKUP(Tableau61314[[#This Row],[Player id]],Tableau18[[Player id]:[Clocko fruit]],6,0)</f>
        <v>0</v>
      </c>
      <c r="AO46">
        <v>10303958</v>
      </c>
      <c r="AP46">
        <v>64</v>
      </c>
      <c r="AQ46">
        <v>64</v>
      </c>
      <c r="AR46">
        <v>67</v>
      </c>
      <c r="AS46">
        <v>46</v>
      </c>
      <c r="AT46">
        <v>66</v>
      </c>
      <c r="AU46">
        <f>AVERAGE(Tableau1[[#This Row],[Dragon fruit]:[Clocko fruit]])</f>
        <v>61.4</v>
      </c>
      <c r="AW46">
        <v>10388368</v>
      </c>
      <c r="AX46" s="5">
        <v>64</v>
      </c>
      <c r="AY46">
        <v>10294719</v>
      </c>
      <c r="AZ46" s="5">
        <v>64</v>
      </c>
      <c r="BA46">
        <v>11354842</v>
      </c>
      <c r="BB46" s="6">
        <v>66</v>
      </c>
      <c r="BC46">
        <v>11639694</v>
      </c>
      <c r="BD46" s="6">
        <v>49</v>
      </c>
      <c r="BE46">
        <v>10795976</v>
      </c>
      <c r="BF46" s="6">
        <v>54</v>
      </c>
    </row>
    <row r="47" spans="2:58" x14ac:dyDescent="0.2">
      <c r="B47">
        <v>10657966</v>
      </c>
      <c r="C47" s="11">
        <v>0</v>
      </c>
      <c r="D47" s="11"/>
      <c r="E47" s="11"/>
      <c r="F47" s="11"/>
      <c r="G47" s="11"/>
      <c r="H47" s="11"/>
      <c r="I47" s="11">
        <f>AVERAGE(Tableau18[[#This Row],[Bamboo shoot]:[Clocko fruit]])</f>
        <v>0</v>
      </c>
      <c r="K47">
        <v>10657966</v>
      </c>
      <c r="L47" s="5">
        <f>VLOOKUP(Tableau29[[#This Row],[Player id]],Tableau18[[Player id]:[Clocko fruit]],2,0)</f>
        <v>0</v>
      </c>
      <c r="M47">
        <v>10657966</v>
      </c>
      <c r="N47" s="5">
        <f>VLOOKUP(Tableau310[[#This Row],[Player id]],Tableau18[[Player id]:[Clocko fruit]],3,0)</f>
        <v>0</v>
      </c>
      <c r="O47">
        <v>10657966</v>
      </c>
      <c r="P47" s="5">
        <f>VLOOKUP(Tableau411[[#This Row],[Player id]],Tableau18[[Player id]:[Clocko fruit]],4,0)</f>
        <v>0</v>
      </c>
      <c r="Q47">
        <v>10657966</v>
      </c>
      <c r="R47" s="6">
        <f>VLOOKUP(Tableau512[[#This Row],[Player id]],Tableau18[[Player id]:[Clocko fruit]],5,0)</f>
        <v>0</v>
      </c>
      <c r="S47">
        <v>10657966</v>
      </c>
      <c r="T47" s="5">
        <f>VLOOKUP(Tableau613[[#This Row],[Player id]],Tableau18[[Player id]:[Clocko fruit]],5,0)</f>
        <v>0</v>
      </c>
      <c r="U47">
        <v>10657966</v>
      </c>
      <c r="V47" s="5">
        <f>VLOOKUP(Tableau61314[[#This Row],[Player id]],Tableau18[[Player id]:[Clocko fruit]],6,0)</f>
        <v>0</v>
      </c>
      <c r="AO47">
        <v>10657966</v>
      </c>
      <c r="AP47">
        <v>63</v>
      </c>
      <c r="AQ47">
        <v>64</v>
      </c>
      <c r="AR47">
        <v>76</v>
      </c>
      <c r="AS47">
        <v>51</v>
      </c>
      <c r="AT47">
        <v>53</v>
      </c>
      <c r="AU47">
        <f>AVERAGE(Tableau1[[#This Row],[Dragon fruit]:[Clocko fruit]])</f>
        <v>61.4</v>
      </c>
      <c r="AW47">
        <v>10254632</v>
      </c>
      <c r="AX47" s="5">
        <v>64</v>
      </c>
      <c r="AY47">
        <v>10284645</v>
      </c>
      <c r="AZ47" s="5">
        <v>64</v>
      </c>
      <c r="BA47">
        <v>10066347</v>
      </c>
      <c r="BB47" s="5">
        <v>66</v>
      </c>
      <c r="BC47">
        <v>15276961</v>
      </c>
      <c r="BD47" s="6">
        <v>49</v>
      </c>
      <c r="BE47">
        <v>10294719</v>
      </c>
      <c r="BF47" s="5">
        <v>54</v>
      </c>
    </row>
    <row r="48" spans="2:58" x14ac:dyDescent="0.2">
      <c r="B48">
        <v>10922998</v>
      </c>
      <c r="C48" s="11">
        <v>0</v>
      </c>
      <c r="D48" s="11"/>
      <c r="E48" s="11"/>
      <c r="F48" s="11"/>
      <c r="G48" s="11"/>
      <c r="H48" s="11"/>
      <c r="I48" s="11">
        <f>AVERAGE(Tableau18[[#This Row],[Bamboo shoot]:[Clocko fruit]])</f>
        <v>0</v>
      </c>
      <c r="K48">
        <v>10922998</v>
      </c>
      <c r="L48" s="6">
        <f>VLOOKUP(Tableau29[[#This Row],[Player id]],Tableau18[[Player id]:[Clocko fruit]],2,0)</f>
        <v>0</v>
      </c>
      <c r="M48">
        <v>10922998</v>
      </c>
      <c r="N48" s="5">
        <f>VLOOKUP(Tableau310[[#This Row],[Player id]],Tableau18[[Player id]:[Clocko fruit]],3,0)</f>
        <v>0</v>
      </c>
      <c r="O48">
        <v>10922998</v>
      </c>
      <c r="P48" s="5">
        <f>VLOOKUP(Tableau411[[#This Row],[Player id]],Tableau18[[Player id]:[Clocko fruit]],4,0)</f>
        <v>0</v>
      </c>
      <c r="Q48">
        <v>10922998</v>
      </c>
      <c r="R48" s="6">
        <f>VLOOKUP(Tableau512[[#This Row],[Player id]],Tableau18[[Player id]:[Clocko fruit]],5,0)</f>
        <v>0</v>
      </c>
      <c r="S48">
        <v>10922998</v>
      </c>
      <c r="T48" s="5">
        <f>VLOOKUP(Tableau613[[#This Row],[Player id]],Tableau18[[Player id]:[Clocko fruit]],5,0)</f>
        <v>0</v>
      </c>
      <c r="U48">
        <v>10922998</v>
      </c>
      <c r="V48" s="5">
        <f>VLOOKUP(Tableau61314[[#This Row],[Player id]],Tableau18[[Player id]:[Clocko fruit]],6,0)</f>
        <v>0</v>
      </c>
      <c r="AO48">
        <v>10922998</v>
      </c>
      <c r="AP48">
        <v>65</v>
      </c>
      <c r="AQ48">
        <v>64</v>
      </c>
      <c r="AR48">
        <v>62</v>
      </c>
      <c r="AS48">
        <v>45</v>
      </c>
      <c r="AT48">
        <v>69</v>
      </c>
      <c r="AU48">
        <f>AVERAGE(Tableau1[[#This Row],[Dragon fruit]:[Clocko fruit]])</f>
        <v>61</v>
      </c>
      <c r="AW48">
        <v>10303958</v>
      </c>
      <c r="AX48" s="6">
        <v>64</v>
      </c>
      <c r="AY48">
        <v>10254632</v>
      </c>
      <c r="AZ48" s="5">
        <v>64</v>
      </c>
      <c r="BA48">
        <v>10066347</v>
      </c>
      <c r="BB48" s="5">
        <v>66</v>
      </c>
      <c r="BC48">
        <v>10430602</v>
      </c>
      <c r="BD48" s="6">
        <v>48</v>
      </c>
      <c r="BE48">
        <v>10657966</v>
      </c>
      <c r="BF48" s="5">
        <v>53</v>
      </c>
    </row>
    <row r="49" spans="2:58" x14ac:dyDescent="0.2">
      <c r="B49">
        <v>10284645</v>
      </c>
      <c r="C49" s="11">
        <v>0</v>
      </c>
      <c r="D49" s="11"/>
      <c r="E49" s="11"/>
      <c r="F49" s="11"/>
      <c r="G49" s="11"/>
      <c r="H49" s="11"/>
      <c r="I49" s="11">
        <f>AVERAGE(Tableau18[[#This Row],[Bamboo shoot]:[Clocko fruit]])</f>
        <v>0</v>
      </c>
      <c r="K49">
        <v>10284645</v>
      </c>
      <c r="L49" s="5">
        <f>VLOOKUP(Tableau29[[#This Row],[Player id]],Tableau18[[Player id]:[Clocko fruit]],2,0)</f>
        <v>0</v>
      </c>
      <c r="M49">
        <v>10284645</v>
      </c>
      <c r="N49" s="5">
        <f>VLOOKUP(Tableau310[[#This Row],[Player id]],Tableau18[[Player id]:[Clocko fruit]],3,0)</f>
        <v>0</v>
      </c>
      <c r="O49">
        <v>10284645</v>
      </c>
      <c r="P49" s="6">
        <f>VLOOKUP(Tableau411[[#This Row],[Player id]],Tableau18[[Player id]:[Clocko fruit]],4,0)</f>
        <v>0</v>
      </c>
      <c r="Q49">
        <v>10284645</v>
      </c>
      <c r="R49" s="5">
        <f>VLOOKUP(Tableau512[[#This Row],[Player id]],Tableau18[[Player id]:[Clocko fruit]],5,0)</f>
        <v>0</v>
      </c>
      <c r="S49">
        <v>10284645</v>
      </c>
      <c r="T49" s="6">
        <f>VLOOKUP(Tableau613[[#This Row],[Player id]],Tableau18[[Player id]:[Clocko fruit]],5,0)</f>
        <v>0</v>
      </c>
      <c r="U49">
        <v>10284645</v>
      </c>
      <c r="V49" s="6">
        <f>VLOOKUP(Tableau61314[[#This Row],[Player id]],Tableau18[[Player id]:[Clocko fruit]],6,0)</f>
        <v>0</v>
      </c>
      <c r="AO49">
        <v>10284645</v>
      </c>
      <c r="AP49">
        <v>63</v>
      </c>
      <c r="AQ49">
        <v>64</v>
      </c>
      <c r="AR49">
        <v>66</v>
      </c>
      <c r="AS49">
        <v>48</v>
      </c>
      <c r="AT49">
        <v>63</v>
      </c>
      <c r="AU49">
        <f>AVERAGE(Tableau1[[#This Row],[Dragon fruit]:[Clocko fruit]])</f>
        <v>60.8</v>
      </c>
      <c r="AW49">
        <v>10294719</v>
      </c>
      <c r="AX49" s="5">
        <v>64</v>
      </c>
      <c r="AY49">
        <v>10219371</v>
      </c>
      <c r="AZ49" s="5">
        <v>64</v>
      </c>
      <c r="BA49">
        <v>10795976</v>
      </c>
      <c r="BB49" s="6">
        <v>66</v>
      </c>
      <c r="BC49">
        <v>10284645</v>
      </c>
      <c r="BD49" s="5">
        <v>48</v>
      </c>
      <c r="BE49">
        <v>10402145</v>
      </c>
      <c r="BF49" s="6">
        <v>53</v>
      </c>
    </row>
    <row r="50" spans="2:58" x14ac:dyDescent="0.2">
      <c r="B50">
        <v>10402145</v>
      </c>
      <c r="C50" s="11">
        <v>0</v>
      </c>
      <c r="D50" s="11"/>
      <c r="E50" s="11"/>
      <c r="F50" s="11"/>
      <c r="G50" s="11"/>
      <c r="H50" s="11"/>
      <c r="I50" s="11">
        <f>AVERAGE(Tableau18[[#This Row],[Bamboo shoot]:[Clocko fruit]])</f>
        <v>0</v>
      </c>
      <c r="K50">
        <v>10402145</v>
      </c>
      <c r="L50" s="6">
        <f>VLOOKUP(Tableau29[[#This Row],[Player id]],Tableau18[[Player id]:[Clocko fruit]],2,0)</f>
        <v>0</v>
      </c>
      <c r="M50">
        <v>10402145</v>
      </c>
      <c r="N50" s="6">
        <f>VLOOKUP(Tableau310[[#This Row],[Player id]],Tableau18[[Player id]:[Clocko fruit]],3,0)</f>
        <v>0</v>
      </c>
      <c r="O50">
        <v>10402145</v>
      </c>
      <c r="P50" s="5">
        <f>VLOOKUP(Tableau411[[#This Row],[Player id]],Tableau18[[Player id]:[Clocko fruit]],4,0)</f>
        <v>0</v>
      </c>
      <c r="Q50">
        <v>10402145</v>
      </c>
      <c r="R50" s="6">
        <f>VLOOKUP(Tableau512[[#This Row],[Player id]],Tableau18[[Player id]:[Clocko fruit]],5,0)</f>
        <v>0</v>
      </c>
      <c r="S50">
        <v>10402145</v>
      </c>
      <c r="T50" s="6">
        <f>VLOOKUP(Tableau613[[#This Row],[Player id]],Tableau18[[Player id]:[Clocko fruit]],5,0)</f>
        <v>0</v>
      </c>
      <c r="U50">
        <v>10402145</v>
      </c>
      <c r="V50" s="6">
        <f>VLOOKUP(Tableau61314[[#This Row],[Player id]],Tableau18[[Player id]:[Clocko fruit]],6,0)</f>
        <v>0</v>
      </c>
      <c r="AO50">
        <v>10402145</v>
      </c>
      <c r="AP50">
        <v>63</v>
      </c>
      <c r="AQ50">
        <v>66</v>
      </c>
      <c r="AR50">
        <v>66</v>
      </c>
      <c r="AS50">
        <v>55</v>
      </c>
      <c r="AT50">
        <v>53</v>
      </c>
      <c r="AU50">
        <f>AVERAGE(Tableau1[[#This Row],[Dragon fruit]:[Clocko fruit]])</f>
        <v>60.6</v>
      </c>
      <c r="AW50">
        <v>10201365</v>
      </c>
      <c r="AX50" s="6">
        <v>64</v>
      </c>
      <c r="AY50">
        <v>10214454</v>
      </c>
      <c r="AZ50" s="6">
        <v>64</v>
      </c>
      <c r="BA50">
        <v>10284645</v>
      </c>
      <c r="BB50" s="5">
        <v>66</v>
      </c>
      <c r="BC50">
        <v>10303958</v>
      </c>
      <c r="BD50" s="6">
        <v>46</v>
      </c>
      <c r="BE50">
        <v>10649142</v>
      </c>
      <c r="BF50" s="6">
        <v>53</v>
      </c>
    </row>
    <row r="51" spans="2:58" x14ac:dyDescent="0.2">
      <c r="B51">
        <v>10294719</v>
      </c>
      <c r="C51" s="11">
        <v>0</v>
      </c>
      <c r="D51" s="11"/>
      <c r="E51" s="11"/>
      <c r="F51" s="11"/>
      <c r="G51" s="11"/>
      <c r="H51" s="11"/>
      <c r="I51" s="11">
        <f>AVERAGE(Tableau18[[#This Row],[Bamboo shoot]:[Clocko fruit]])</f>
        <v>0</v>
      </c>
      <c r="K51">
        <v>10294719</v>
      </c>
      <c r="L51" s="6">
        <f>VLOOKUP(Tableau29[[#This Row],[Player id]],Tableau18[[Player id]:[Clocko fruit]],2,0)</f>
        <v>0</v>
      </c>
      <c r="M51">
        <v>10294719</v>
      </c>
      <c r="N51" s="5">
        <f>VLOOKUP(Tableau310[[#This Row],[Player id]],Tableau18[[Player id]:[Clocko fruit]],3,0)</f>
        <v>0</v>
      </c>
      <c r="O51">
        <v>10294719</v>
      </c>
      <c r="P51" s="6">
        <f>VLOOKUP(Tableau411[[#This Row],[Player id]],Tableau18[[Player id]:[Clocko fruit]],4,0)</f>
        <v>0</v>
      </c>
      <c r="Q51">
        <v>10294719</v>
      </c>
      <c r="R51" s="6">
        <f>VLOOKUP(Tableau512[[#This Row],[Player id]],Tableau18[[Player id]:[Clocko fruit]],5,0)</f>
        <v>0</v>
      </c>
      <c r="S51">
        <v>10294719</v>
      </c>
      <c r="T51" s="5">
        <f>VLOOKUP(Tableau613[[#This Row],[Player id]],Tableau18[[Player id]:[Clocko fruit]],5,0)</f>
        <v>0</v>
      </c>
      <c r="U51">
        <v>10294719</v>
      </c>
      <c r="V51" s="5">
        <f>VLOOKUP(Tableau61314[[#This Row],[Player id]],Tableau18[[Player id]:[Clocko fruit]],6,0)</f>
        <v>0</v>
      </c>
      <c r="AO51">
        <v>10294719</v>
      </c>
      <c r="AP51">
        <v>64</v>
      </c>
      <c r="AQ51">
        <v>64</v>
      </c>
      <c r="AR51">
        <v>53</v>
      </c>
      <c r="AS51">
        <v>63</v>
      </c>
      <c r="AT51">
        <v>54</v>
      </c>
      <c r="AU51">
        <f>AVERAGE(Tableau1[[#This Row],[Dragon fruit]:[Clocko fruit]])</f>
        <v>59.6</v>
      </c>
      <c r="AW51">
        <v>11417755</v>
      </c>
      <c r="AX51" s="6">
        <v>63</v>
      </c>
      <c r="AY51">
        <v>10101668</v>
      </c>
      <c r="AZ51" s="5">
        <v>64</v>
      </c>
      <c r="BA51">
        <v>10402145</v>
      </c>
      <c r="BB51" s="6">
        <v>66</v>
      </c>
      <c r="BC51">
        <v>10922998</v>
      </c>
      <c r="BD51" s="6">
        <v>45</v>
      </c>
      <c r="BE51">
        <v>10066347</v>
      </c>
      <c r="BF51" s="5">
        <v>52</v>
      </c>
    </row>
    <row r="52" spans="2:58" x14ac:dyDescent="0.2">
      <c r="B52">
        <v>10649142</v>
      </c>
      <c r="C52" s="11">
        <v>0</v>
      </c>
      <c r="D52" s="11"/>
      <c r="E52" s="11"/>
      <c r="F52" s="11"/>
      <c r="G52" s="11"/>
      <c r="H52" s="11"/>
      <c r="I52" s="11">
        <f>AVERAGE(Tableau18[[#This Row],[Bamboo shoot]:[Clocko fruit]])</f>
        <v>0</v>
      </c>
      <c r="K52">
        <v>10649142</v>
      </c>
      <c r="L52" s="5">
        <f>VLOOKUP(Tableau29[[#This Row],[Player id]],Tableau18[[Player id]:[Clocko fruit]],2,0)</f>
        <v>0</v>
      </c>
      <c r="M52">
        <v>10649142</v>
      </c>
      <c r="N52" s="6">
        <f>VLOOKUP(Tableau310[[#This Row],[Player id]],Tableau18[[Player id]:[Clocko fruit]],3,0)</f>
        <v>0</v>
      </c>
      <c r="O52">
        <v>10649142</v>
      </c>
      <c r="P52" s="6">
        <f>VLOOKUP(Tableau411[[#This Row],[Player id]],Tableau18[[Player id]:[Clocko fruit]],4,0)</f>
        <v>0</v>
      </c>
      <c r="Q52">
        <v>10649142</v>
      </c>
      <c r="R52" s="5">
        <f>VLOOKUP(Tableau512[[#This Row],[Player id]],Tableau18[[Player id]:[Clocko fruit]],5,0)</f>
        <v>0</v>
      </c>
      <c r="S52">
        <v>10649142</v>
      </c>
      <c r="T52" s="5">
        <f>VLOOKUP(Tableau613[[#This Row],[Player id]],Tableau18[[Player id]:[Clocko fruit]],5,0)</f>
        <v>0</v>
      </c>
      <c r="U52">
        <v>10649142</v>
      </c>
      <c r="V52" s="5">
        <f>VLOOKUP(Tableau61314[[#This Row],[Player id]],Tableau18[[Player id]:[Clocko fruit]],6,0)</f>
        <v>0</v>
      </c>
      <c r="AO52">
        <v>10649142</v>
      </c>
      <c r="AP52">
        <v>73</v>
      </c>
      <c r="AQ52">
        <v>65</v>
      </c>
      <c r="AR52">
        <v>66</v>
      </c>
      <c r="AS52">
        <v>41</v>
      </c>
      <c r="AT52">
        <v>53</v>
      </c>
      <c r="AU52">
        <f>AVERAGE(Tableau1[[#This Row],[Dragon fruit]:[Clocko fruit]])</f>
        <v>59.6</v>
      </c>
      <c r="AW52">
        <v>10657966</v>
      </c>
      <c r="AX52" s="5">
        <v>63</v>
      </c>
      <c r="AY52">
        <v>10054910</v>
      </c>
      <c r="AZ52" s="6">
        <v>64</v>
      </c>
      <c r="BA52">
        <v>10649142</v>
      </c>
      <c r="BB52" s="6">
        <v>66</v>
      </c>
      <c r="BC52">
        <v>10654816</v>
      </c>
      <c r="BD52" s="5">
        <v>42</v>
      </c>
      <c r="BE52">
        <v>10066347</v>
      </c>
      <c r="BF52" s="5">
        <v>52</v>
      </c>
    </row>
    <row r="53" spans="2:58" x14ac:dyDescent="0.2">
      <c r="B53">
        <v>10654816</v>
      </c>
      <c r="C53" s="11">
        <v>0</v>
      </c>
      <c r="D53" s="11"/>
      <c r="E53" s="11"/>
      <c r="F53" s="11"/>
      <c r="G53" s="11"/>
      <c r="H53" s="11"/>
      <c r="I53" s="11">
        <f>AVERAGE(Tableau18[[#This Row],[Bamboo shoot]:[Clocko fruit]])</f>
        <v>0</v>
      </c>
      <c r="K53">
        <v>10654816</v>
      </c>
      <c r="L53" s="5">
        <f>VLOOKUP(Tableau29[[#This Row],[Player id]],Tableau18[[Player id]:[Clocko fruit]],2,0)</f>
        <v>0</v>
      </c>
      <c r="M53">
        <v>10654816</v>
      </c>
      <c r="N53" s="6">
        <f>VLOOKUP(Tableau310[[#This Row],[Player id]],Tableau18[[Player id]:[Clocko fruit]],3,0)</f>
        <v>0</v>
      </c>
      <c r="O53">
        <v>10654816</v>
      </c>
      <c r="P53" s="5">
        <f>VLOOKUP(Tableau411[[#This Row],[Player id]],Tableau18[[Player id]:[Clocko fruit]],4,0)</f>
        <v>0</v>
      </c>
      <c r="Q53">
        <v>10654816</v>
      </c>
      <c r="R53" s="6">
        <f>VLOOKUP(Tableau512[[#This Row],[Player id]],Tableau18[[Player id]:[Clocko fruit]],5,0)</f>
        <v>0</v>
      </c>
      <c r="S53">
        <v>10654816</v>
      </c>
      <c r="T53" s="6">
        <f>VLOOKUP(Tableau613[[#This Row],[Player id]],Tableau18[[Player id]:[Clocko fruit]],5,0)</f>
        <v>0</v>
      </c>
      <c r="U53">
        <v>10654816</v>
      </c>
      <c r="V53" s="6">
        <f>VLOOKUP(Tableau61314[[#This Row],[Player id]],Tableau18[[Player id]:[Clocko fruit]],6,0)</f>
        <v>0</v>
      </c>
      <c r="AO53">
        <v>10654816</v>
      </c>
      <c r="AP53">
        <v>66</v>
      </c>
      <c r="AQ53">
        <v>65</v>
      </c>
      <c r="AR53">
        <v>66</v>
      </c>
      <c r="AS53">
        <v>42</v>
      </c>
      <c r="AT53">
        <v>59</v>
      </c>
      <c r="AU53">
        <f>AVERAGE(Tableau1[[#This Row],[Dragon fruit]:[Clocko fruit]])</f>
        <v>59.6</v>
      </c>
      <c r="AW53">
        <v>10284645</v>
      </c>
      <c r="AX53" s="5">
        <v>63</v>
      </c>
      <c r="AY53">
        <v>18469277</v>
      </c>
      <c r="AZ53" s="6">
        <v>63</v>
      </c>
      <c r="BA53">
        <v>10654816</v>
      </c>
      <c r="BB53" s="5">
        <v>66</v>
      </c>
      <c r="BC53">
        <v>10214454</v>
      </c>
      <c r="BD53" s="6">
        <v>41</v>
      </c>
      <c r="BE53">
        <v>11639694</v>
      </c>
      <c r="BF53" s="6">
        <v>52</v>
      </c>
    </row>
    <row r="54" spans="2:58" x14ac:dyDescent="0.2">
      <c r="B54">
        <v>10932485</v>
      </c>
      <c r="C54" s="11">
        <v>0</v>
      </c>
      <c r="D54" s="11"/>
      <c r="E54" s="11"/>
      <c r="F54" s="11"/>
      <c r="G54" s="11"/>
      <c r="H54" s="11"/>
      <c r="I54" s="11">
        <f>AVERAGE(Tableau18[[#This Row],[Bamboo shoot]:[Clocko fruit]])</f>
        <v>0</v>
      </c>
      <c r="K54">
        <v>10932485</v>
      </c>
      <c r="L54" s="6">
        <f>VLOOKUP(Tableau29[[#This Row],[Player id]],Tableau18[[Player id]:[Clocko fruit]],2,0)</f>
        <v>0</v>
      </c>
      <c r="M54">
        <v>10932485</v>
      </c>
      <c r="N54" s="5">
        <f>VLOOKUP(Tableau310[[#This Row],[Player id]],Tableau18[[Player id]:[Clocko fruit]],3,0)</f>
        <v>0</v>
      </c>
      <c r="O54">
        <v>10932485</v>
      </c>
      <c r="P54" s="6">
        <f>VLOOKUP(Tableau411[[#This Row],[Player id]],Tableau18[[Player id]:[Clocko fruit]],4,0)</f>
        <v>0</v>
      </c>
      <c r="Q54">
        <v>10932485</v>
      </c>
      <c r="R54" s="6">
        <f>VLOOKUP(Tableau512[[#This Row],[Player id]],Tableau18[[Player id]:[Clocko fruit]],5,0)</f>
        <v>0</v>
      </c>
      <c r="S54">
        <v>10932485</v>
      </c>
      <c r="T54" s="5">
        <f>VLOOKUP(Tableau613[[#This Row],[Player id]],Tableau18[[Player id]:[Clocko fruit]],5,0)</f>
        <v>0</v>
      </c>
      <c r="U54">
        <v>10932485</v>
      </c>
      <c r="V54" s="5">
        <f>VLOOKUP(Tableau61314[[#This Row],[Player id]],Tableau18[[Player id]:[Clocko fruit]],6,0)</f>
        <v>0</v>
      </c>
      <c r="AO54">
        <v>10932485</v>
      </c>
      <c r="AP54">
        <v>61</v>
      </c>
      <c r="AQ54">
        <v>63</v>
      </c>
      <c r="AR54">
        <v>66</v>
      </c>
      <c r="AS54">
        <v>50</v>
      </c>
      <c r="AT54">
        <v>58</v>
      </c>
      <c r="AU54">
        <f>AVERAGE(Tableau1[[#This Row],[Dragon fruit]:[Clocko fruit]])</f>
        <v>59.6</v>
      </c>
      <c r="AW54">
        <v>10402145</v>
      </c>
      <c r="AX54" s="6">
        <v>63</v>
      </c>
      <c r="AY54">
        <v>17424686</v>
      </c>
      <c r="AZ54" s="5">
        <v>63</v>
      </c>
      <c r="BA54">
        <v>10932485</v>
      </c>
      <c r="BB54" s="6">
        <v>66</v>
      </c>
      <c r="BC54">
        <v>10649142</v>
      </c>
      <c r="BD54" s="6">
        <v>41</v>
      </c>
      <c r="BE54">
        <v>10544332</v>
      </c>
      <c r="BF54" s="5">
        <v>51</v>
      </c>
    </row>
    <row r="55" spans="2:58" x14ac:dyDescent="0.2">
      <c r="B55">
        <v>10544332</v>
      </c>
      <c r="C55" s="11">
        <v>0</v>
      </c>
      <c r="D55" s="11"/>
      <c r="E55" s="11"/>
      <c r="F55" s="11"/>
      <c r="G55" s="11"/>
      <c r="H55" s="11"/>
      <c r="I55" s="11">
        <f>AVERAGE(Tableau18[[#This Row],[Bamboo shoot]:[Clocko fruit]])</f>
        <v>0</v>
      </c>
      <c r="K55">
        <v>10544332</v>
      </c>
      <c r="L55" s="5">
        <f>VLOOKUP(Tableau29[[#This Row],[Player id]],Tableau18[[Player id]:[Clocko fruit]],2,0)</f>
        <v>0</v>
      </c>
      <c r="M55">
        <v>10544332</v>
      </c>
      <c r="N55" s="6">
        <f>VLOOKUP(Tableau310[[#This Row],[Player id]],Tableau18[[Player id]:[Clocko fruit]],3,0)</f>
        <v>0</v>
      </c>
      <c r="O55">
        <v>10544332</v>
      </c>
      <c r="P55" s="5">
        <f>VLOOKUP(Tableau411[[#This Row],[Player id]],Tableau18[[Player id]:[Clocko fruit]],4,0)</f>
        <v>0</v>
      </c>
      <c r="Q55">
        <v>10544332</v>
      </c>
      <c r="R55" s="5">
        <f>VLOOKUP(Tableau512[[#This Row],[Player id]],Tableau18[[Player id]:[Clocko fruit]],5,0)</f>
        <v>0</v>
      </c>
      <c r="S55">
        <v>10544332</v>
      </c>
      <c r="T55" s="6">
        <f>VLOOKUP(Tableau613[[#This Row],[Player id]],Tableau18[[Player id]:[Clocko fruit]],5,0)</f>
        <v>0</v>
      </c>
      <c r="U55">
        <v>10544332</v>
      </c>
      <c r="V55" s="6">
        <f>VLOOKUP(Tableau61314[[#This Row],[Player id]],Tableau18[[Player id]:[Clocko fruit]],6,0)</f>
        <v>0</v>
      </c>
      <c r="AO55">
        <v>10544332</v>
      </c>
      <c r="AP55">
        <v>63</v>
      </c>
      <c r="AQ55">
        <v>64</v>
      </c>
      <c r="AR55">
        <v>66</v>
      </c>
      <c r="AS55">
        <v>39</v>
      </c>
      <c r="AT55">
        <v>51</v>
      </c>
      <c r="AU55">
        <f>AVERAGE(Tableau1[[#This Row],[Dragon fruit]:[Clocko fruit]])</f>
        <v>56.6</v>
      </c>
      <c r="AW55">
        <v>10544332</v>
      </c>
      <c r="AX55" s="5">
        <v>63</v>
      </c>
      <c r="AY55">
        <v>11354842</v>
      </c>
      <c r="AZ55" s="6">
        <v>63</v>
      </c>
      <c r="BA55">
        <v>10544332</v>
      </c>
      <c r="BB55" s="5">
        <v>66</v>
      </c>
      <c r="BC55">
        <v>10065853</v>
      </c>
      <c r="BD55" s="5">
        <v>40</v>
      </c>
      <c r="BE55">
        <v>10080156</v>
      </c>
      <c r="BF55" s="6">
        <v>50</v>
      </c>
    </row>
    <row r="56" spans="2:58" x14ac:dyDescent="0.2">
      <c r="B56">
        <v>11639694</v>
      </c>
      <c r="C56" s="11">
        <v>0</v>
      </c>
      <c r="D56" s="11"/>
      <c r="E56" s="11"/>
      <c r="F56" s="11"/>
      <c r="G56" s="11"/>
      <c r="H56" s="11"/>
      <c r="I56" s="11">
        <f>AVERAGE(Tableau18[[#This Row],[Bamboo shoot]:[Clocko fruit]])</f>
        <v>0</v>
      </c>
      <c r="K56">
        <v>11639694</v>
      </c>
      <c r="L56" s="5">
        <f>VLOOKUP(Tableau29[[#This Row],[Player id]],Tableau18[[Player id]:[Clocko fruit]],2,0)</f>
        <v>0</v>
      </c>
      <c r="M56">
        <v>11639694</v>
      </c>
      <c r="N56" s="6">
        <f>VLOOKUP(Tableau310[[#This Row],[Player id]],Tableau18[[Player id]:[Clocko fruit]],3,0)</f>
        <v>0</v>
      </c>
      <c r="O56">
        <v>11639694</v>
      </c>
      <c r="P56" s="5">
        <f>VLOOKUP(Tableau411[[#This Row],[Player id]],Tableau18[[Player id]:[Clocko fruit]],4,0)</f>
        <v>0</v>
      </c>
      <c r="Q56">
        <v>11639694</v>
      </c>
      <c r="R56" s="6">
        <f>VLOOKUP(Tableau512[[#This Row],[Player id]],Tableau18[[Player id]:[Clocko fruit]],5,0)</f>
        <v>0</v>
      </c>
      <c r="S56">
        <v>11639694</v>
      </c>
      <c r="T56" s="5">
        <f>VLOOKUP(Tableau613[[#This Row],[Player id]],Tableau18[[Player id]:[Clocko fruit]],5,0)</f>
        <v>0</v>
      </c>
      <c r="U56">
        <v>11639694</v>
      </c>
      <c r="V56" s="5">
        <f>VLOOKUP(Tableau61314[[#This Row],[Player id]],Tableau18[[Player id]:[Clocko fruit]],6,0)</f>
        <v>0</v>
      </c>
      <c r="AO56">
        <v>11639694</v>
      </c>
      <c r="AP56">
        <v>61</v>
      </c>
      <c r="AQ56">
        <v>52</v>
      </c>
      <c r="AR56">
        <v>65</v>
      </c>
      <c r="AS56">
        <v>49</v>
      </c>
      <c r="AT56">
        <v>52</v>
      </c>
      <c r="AU56">
        <f>AVERAGE(Tableau1[[#This Row],[Dragon fruit]:[Clocko fruit]])</f>
        <v>55.8</v>
      </c>
      <c r="AW56">
        <v>10219371</v>
      </c>
      <c r="AX56" s="5">
        <v>63</v>
      </c>
      <c r="AY56">
        <v>10932485</v>
      </c>
      <c r="AZ56" s="6">
        <v>63</v>
      </c>
      <c r="BA56">
        <v>10219371</v>
      </c>
      <c r="BB56" s="5">
        <v>66</v>
      </c>
      <c r="BC56">
        <v>18469277</v>
      </c>
      <c r="BD56" s="6">
        <v>39</v>
      </c>
      <c r="BE56">
        <v>17424686</v>
      </c>
      <c r="BF56" s="5">
        <v>49</v>
      </c>
    </row>
    <row r="57" spans="2:58" x14ac:dyDescent="0.2">
      <c r="B57">
        <v>10219371</v>
      </c>
      <c r="C57" s="11">
        <v>0</v>
      </c>
      <c r="D57" s="11"/>
      <c r="E57" s="11"/>
      <c r="F57" s="11"/>
      <c r="G57" s="11"/>
      <c r="H57" s="11"/>
      <c r="I57" s="11">
        <f>AVERAGE(Tableau18[[#This Row],[Bamboo shoot]:[Clocko fruit]])</f>
        <v>0</v>
      </c>
      <c r="K57">
        <v>10219371</v>
      </c>
      <c r="L57" s="5">
        <f>VLOOKUP(Tableau29[[#This Row],[Player id]],Tableau18[[Player id]:[Clocko fruit]],2,0)</f>
        <v>0</v>
      </c>
      <c r="M57">
        <v>10219371</v>
      </c>
      <c r="N57" s="6">
        <f>VLOOKUP(Tableau310[[#This Row],[Player id]],Tableau18[[Player id]:[Clocko fruit]],3,0)</f>
        <v>0</v>
      </c>
      <c r="O57">
        <v>10219371</v>
      </c>
      <c r="P57" s="6">
        <f>VLOOKUP(Tableau411[[#This Row],[Player id]],Tableau18[[Player id]:[Clocko fruit]],4,0)</f>
        <v>0</v>
      </c>
      <c r="Q57">
        <v>10219371</v>
      </c>
      <c r="R57" s="5">
        <f>VLOOKUP(Tableau512[[#This Row],[Player id]],Tableau18[[Player id]:[Clocko fruit]],5,0)</f>
        <v>0</v>
      </c>
      <c r="S57">
        <v>10219371</v>
      </c>
      <c r="T57" s="5">
        <f>VLOOKUP(Tableau613[[#This Row],[Player id]],Tableau18[[Player id]:[Clocko fruit]],5,0)</f>
        <v>0</v>
      </c>
      <c r="U57">
        <v>10219371</v>
      </c>
      <c r="V57" s="5">
        <f>VLOOKUP(Tableau61314[[#This Row],[Player id]],Tableau18[[Player id]:[Clocko fruit]],6,0)</f>
        <v>0</v>
      </c>
      <c r="AO57">
        <v>10219371</v>
      </c>
      <c r="AP57">
        <v>63</v>
      </c>
      <c r="AQ57">
        <v>64</v>
      </c>
      <c r="AR57">
        <v>66</v>
      </c>
      <c r="AS57">
        <v>37</v>
      </c>
      <c r="AT57">
        <v>48</v>
      </c>
      <c r="AU57">
        <f>AVERAGE(Tableau1[[#This Row],[Dragon fruit]:[Clocko fruit]])</f>
        <v>55.6</v>
      </c>
      <c r="AW57">
        <v>13682526</v>
      </c>
      <c r="AX57" s="5">
        <v>62</v>
      </c>
      <c r="AY57">
        <v>10063379</v>
      </c>
      <c r="AZ57" s="6">
        <v>61</v>
      </c>
      <c r="BA57">
        <v>11639694</v>
      </c>
      <c r="BB57" s="6">
        <v>65</v>
      </c>
      <c r="BC57">
        <v>10544332</v>
      </c>
      <c r="BD57" s="5">
        <v>39</v>
      </c>
      <c r="BE57">
        <v>10219371</v>
      </c>
      <c r="BF57" s="5">
        <v>48</v>
      </c>
    </row>
    <row r="58" spans="2:58" x14ac:dyDescent="0.2">
      <c r="B58">
        <v>10016173</v>
      </c>
      <c r="C58" s="11">
        <v>0</v>
      </c>
      <c r="D58" s="11"/>
      <c r="E58" s="11"/>
      <c r="F58" s="11"/>
      <c r="G58" s="11"/>
      <c r="H58" s="11"/>
      <c r="I58" s="11">
        <f>AVERAGE(Tableau18[[#This Row],[Bamboo shoot]:[Clocko fruit]])</f>
        <v>0</v>
      </c>
      <c r="K58">
        <v>10016173</v>
      </c>
      <c r="L58" s="5">
        <f>VLOOKUP(Tableau29[[#This Row],[Player id]],Tableau18[[Player id]:[Clocko fruit]],2,0)</f>
        <v>0</v>
      </c>
      <c r="M58">
        <v>10016173</v>
      </c>
      <c r="N58" s="5">
        <f>VLOOKUP(Tableau310[[#This Row],[Player id]],Tableau18[[Player id]:[Clocko fruit]],3,0)</f>
        <v>0</v>
      </c>
      <c r="O58">
        <v>10016173</v>
      </c>
      <c r="P58" s="5">
        <f>VLOOKUP(Tableau411[[#This Row],[Player id]],Tableau18[[Player id]:[Clocko fruit]],4,0)</f>
        <v>0</v>
      </c>
      <c r="Q58">
        <v>10016173</v>
      </c>
      <c r="R58" s="6">
        <f>VLOOKUP(Tableau512[[#This Row],[Player id]],Tableau18[[Player id]:[Clocko fruit]],5,0)</f>
        <v>0</v>
      </c>
      <c r="S58">
        <v>10016173</v>
      </c>
      <c r="T58" s="5">
        <f>VLOOKUP(Tableau613[[#This Row],[Player id]],Tableau18[[Player id]:[Clocko fruit]],5,0)</f>
        <v>0</v>
      </c>
      <c r="U58">
        <v>10016173</v>
      </c>
      <c r="V58" s="5">
        <f>VLOOKUP(Tableau61314[[#This Row],[Player id]],Tableau18[[Player id]:[Clocko fruit]],6,0)</f>
        <v>0</v>
      </c>
      <c r="AO58">
        <v>10016173</v>
      </c>
      <c r="AP58">
        <v>68</v>
      </c>
      <c r="AQ58">
        <v>65</v>
      </c>
      <c r="AR58">
        <v>67</v>
      </c>
      <c r="AS58">
        <v>39</v>
      </c>
      <c r="AT58">
        <v>39</v>
      </c>
      <c r="AU58">
        <f>AVERAGE(Tableau1[[#This Row],[Dragon fruit]:[Clocko fruit]])</f>
        <v>55.6</v>
      </c>
      <c r="AW58">
        <v>16944319</v>
      </c>
      <c r="AX58" s="5">
        <v>62</v>
      </c>
      <c r="AY58">
        <v>10063379</v>
      </c>
      <c r="AZ58" s="5">
        <v>61</v>
      </c>
      <c r="BA58">
        <v>21007894</v>
      </c>
      <c r="BB58" s="5">
        <v>63</v>
      </c>
      <c r="BC58">
        <v>10016173</v>
      </c>
      <c r="BD58" s="6">
        <v>39</v>
      </c>
      <c r="BE58">
        <v>10048958</v>
      </c>
      <c r="BF58" s="5">
        <v>45</v>
      </c>
    </row>
    <row r="59" spans="2:58" x14ac:dyDescent="0.2">
      <c r="B59">
        <v>17424686</v>
      </c>
      <c r="C59" s="11">
        <v>0</v>
      </c>
      <c r="D59" s="11"/>
      <c r="E59" s="11"/>
      <c r="F59" s="11"/>
      <c r="G59" s="11"/>
      <c r="H59" s="11"/>
      <c r="I59" s="11">
        <f>AVERAGE(Tableau18[[#This Row],[Bamboo shoot]:[Clocko fruit]])</f>
        <v>0</v>
      </c>
      <c r="K59">
        <v>17424686</v>
      </c>
      <c r="L59" s="6">
        <f>VLOOKUP(Tableau29[[#This Row],[Player id]],Tableau18[[Player id]:[Clocko fruit]],2,0)</f>
        <v>0</v>
      </c>
      <c r="M59">
        <v>17424686</v>
      </c>
      <c r="N59" s="5">
        <f>VLOOKUP(Tableau310[[#This Row],[Player id]],Tableau18[[Player id]:[Clocko fruit]],3,0)</f>
        <v>0</v>
      </c>
      <c r="O59">
        <v>17424686</v>
      </c>
      <c r="P59" s="6">
        <f>VLOOKUP(Tableau411[[#This Row],[Player id]],Tableau18[[Player id]:[Clocko fruit]],4,0)</f>
        <v>0</v>
      </c>
      <c r="Q59">
        <v>17424686</v>
      </c>
      <c r="R59" s="6">
        <f>VLOOKUP(Tableau512[[#This Row],[Player id]],Tableau18[[Player id]:[Clocko fruit]],5,0)</f>
        <v>0</v>
      </c>
      <c r="S59">
        <v>17424686</v>
      </c>
      <c r="T59" s="6">
        <f>VLOOKUP(Tableau613[[#This Row],[Player id]],Tableau18[[Player id]:[Clocko fruit]],5,0)</f>
        <v>0</v>
      </c>
      <c r="U59">
        <v>17424686</v>
      </c>
      <c r="V59" s="6">
        <f>VLOOKUP(Tableau61314[[#This Row],[Player id]],Tableau18[[Player id]:[Clocko fruit]],6,0)</f>
        <v>0</v>
      </c>
      <c r="AO59">
        <v>17424686</v>
      </c>
      <c r="AP59">
        <v>71</v>
      </c>
      <c r="AQ59">
        <v>63</v>
      </c>
      <c r="AR59">
        <v>54</v>
      </c>
      <c r="AS59">
        <v>38</v>
      </c>
      <c r="AT59">
        <v>49</v>
      </c>
      <c r="AU59">
        <f>AVERAGE(Tableau1[[#This Row],[Dragon fruit]:[Clocko fruit]])</f>
        <v>55</v>
      </c>
      <c r="AW59">
        <v>10430602</v>
      </c>
      <c r="AX59" s="6">
        <v>62</v>
      </c>
      <c r="AY59">
        <v>10388368</v>
      </c>
      <c r="AZ59" s="5">
        <v>56</v>
      </c>
      <c r="BA59">
        <v>10922998</v>
      </c>
      <c r="BB59" s="6">
        <v>62</v>
      </c>
      <c r="BC59">
        <v>10201365</v>
      </c>
      <c r="BD59" s="6">
        <v>39</v>
      </c>
      <c r="BE59">
        <v>10264905</v>
      </c>
      <c r="BF59" s="6">
        <v>42</v>
      </c>
    </row>
    <row r="60" spans="2:58" x14ac:dyDescent="0.2">
      <c r="B60">
        <v>10201365</v>
      </c>
      <c r="C60" s="11">
        <v>0</v>
      </c>
      <c r="D60" s="11"/>
      <c r="E60" s="11"/>
      <c r="F60" s="11"/>
      <c r="G60" s="11"/>
      <c r="H60" s="11"/>
      <c r="I60" s="11">
        <f>AVERAGE(Tableau18[[#This Row],[Bamboo shoot]:[Clocko fruit]])</f>
        <v>0</v>
      </c>
      <c r="K60">
        <v>10201365</v>
      </c>
      <c r="L60" s="6">
        <f>VLOOKUP(Tableau29[[#This Row],[Player id]],Tableau18[[Player id]:[Clocko fruit]],2,0)</f>
        <v>0</v>
      </c>
      <c r="M60">
        <v>10201365</v>
      </c>
      <c r="N60" s="5">
        <f>VLOOKUP(Tableau310[[#This Row],[Player id]],Tableau18[[Player id]:[Clocko fruit]],3,0)</f>
        <v>0</v>
      </c>
      <c r="O60">
        <v>10201365</v>
      </c>
      <c r="P60" s="6">
        <f>VLOOKUP(Tableau411[[#This Row],[Player id]],Tableau18[[Player id]:[Clocko fruit]],4,0)</f>
        <v>0</v>
      </c>
      <c r="Q60">
        <v>10201365</v>
      </c>
      <c r="R60" s="5">
        <f>VLOOKUP(Tableau512[[#This Row],[Player id]],Tableau18[[Player id]:[Clocko fruit]],5,0)</f>
        <v>0</v>
      </c>
      <c r="S60">
        <v>10201365</v>
      </c>
      <c r="T60" s="6">
        <f>VLOOKUP(Tableau613[[#This Row],[Player id]],Tableau18[[Player id]:[Clocko fruit]],5,0)</f>
        <v>0</v>
      </c>
      <c r="U60">
        <v>10201365</v>
      </c>
      <c r="V60" s="6">
        <f>VLOOKUP(Tableau61314[[#This Row],[Player id]],Tableau18[[Player id]:[Clocko fruit]],6,0)</f>
        <v>0</v>
      </c>
      <c r="AO60">
        <v>10201365</v>
      </c>
      <c r="AP60">
        <v>64</v>
      </c>
      <c r="AQ60">
        <v>65</v>
      </c>
      <c r="AR60">
        <v>67</v>
      </c>
      <c r="AS60">
        <v>39</v>
      </c>
      <c r="AT60">
        <v>38</v>
      </c>
      <c r="AU60">
        <f>AVERAGE(Tableau1[[#This Row],[Dragon fruit]:[Clocko fruit]])</f>
        <v>54.6</v>
      </c>
      <c r="AW60">
        <v>10932485</v>
      </c>
      <c r="AX60" s="6">
        <v>61</v>
      </c>
      <c r="AY60">
        <v>10001407</v>
      </c>
      <c r="AZ60" s="5">
        <v>56</v>
      </c>
      <c r="BA60">
        <v>15276961</v>
      </c>
      <c r="BB60" s="6">
        <v>61</v>
      </c>
      <c r="BC60">
        <v>11704389</v>
      </c>
      <c r="BD60" s="5">
        <v>39</v>
      </c>
      <c r="BE60">
        <v>10016173</v>
      </c>
      <c r="BF60" s="6">
        <v>39</v>
      </c>
    </row>
    <row r="61" spans="2:58" x14ac:dyDescent="0.2">
      <c r="B61">
        <v>11704389</v>
      </c>
      <c r="C61" s="11">
        <v>0</v>
      </c>
      <c r="D61" s="11"/>
      <c r="E61" s="11"/>
      <c r="F61" s="11"/>
      <c r="G61" s="11"/>
      <c r="H61" s="11"/>
      <c r="I61" s="11">
        <f>AVERAGE(Tableau18[[#This Row],[Bamboo shoot]:[Clocko fruit]])</f>
        <v>0</v>
      </c>
      <c r="K61">
        <v>11704389</v>
      </c>
      <c r="L61" s="6">
        <f>VLOOKUP(Tableau29[[#This Row],[Player id]],Tableau18[[Player id]:[Clocko fruit]],2,0)</f>
        <v>0</v>
      </c>
      <c r="M61">
        <v>11704389</v>
      </c>
      <c r="N61" s="5">
        <f>VLOOKUP(Tableau310[[#This Row],[Player id]],Tableau18[[Player id]:[Clocko fruit]],3,0)</f>
        <v>0</v>
      </c>
      <c r="O61">
        <v>11704389</v>
      </c>
      <c r="P61" s="5">
        <f>VLOOKUP(Tableau411[[#This Row],[Player id]],Tableau18[[Player id]:[Clocko fruit]],4,0)</f>
        <v>0</v>
      </c>
      <c r="Q61">
        <v>11704389</v>
      </c>
      <c r="R61" s="5">
        <f>VLOOKUP(Tableau512[[#This Row],[Player id]],Tableau18[[Player id]:[Clocko fruit]],5,0)</f>
        <v>0</v>
      </c>
      <c r="S61">
        <v>11704389</v>
      </c>
      <c r="T61" s="6">
        <f>VLOOKUP(Tableau613[[#This Row],[Player id]],Tableau18[[Player id]:[Clocko fruit]],5,0)</f>
        <v>0</v>
      </c>
      <c r="U61">
        <v>11704389</v>
      </c>
      <c r="V61" s="6">
        <f>VLOOKUP(Tableau61314[[#This Row],[Player id]],Tableau18[[Player id]:[Clocko fruit]],6,0)</f>
        <v>0</v>
      </c>
      <c r="AO61">
        <v>11704389</v>
      </c>
      <c r="AP61">
        <v>61</v>
      </c>
      <c r="AQ61">
        <v>55</v>
      </c>
      <c r="AR61">
        <v>52</v>
      </c>
      <c r="AS61">
        <v>39</v>
      </c>
      <c r="AT61">
        <v>65</v>
      </c>
      <c r="AU61">
        <f>AVERAGE(Tableau1[[#This Row],[Dragon fruit]:[Clocko fruit]])</f>
        <v>54.4</v>
      </c>
      <c r="AW61">
        <v>11639694</v>
      </c>
      <c r="AX61" s="6">
        <v>61</v>
      </c>
      <c r="AY61">
        <v>11704389</v>
      </c>
      <c r="AZ61" s="5">
        <v>55</v>
      </c>
      <c r="BA61">
        <v>17424686</v>
      </c>
      <c r="BB61" s="5">
        <v>54</v>
      </c>
      <c r="BC61">
        <v>17424686</v>
      </c>
      <c r="BD61" s="5">
        <v>38</v>
      </c>
      <c r="BE61">
        <v>10201365</v>
      </c>
      <c r="BF61" s="6">
        <v>38</v>
      </c>
    </row>
    <row r="62" spans="2:58" x14ac:dyDescent="0.2">
      <c r="B62">
        <v>15276961</v>
      </c>
      <c r="C62" s="11">
        <v>0</v>
      </c>
      <c r="D62" s="11"/>
      <c r="E62" s="11"/>
      <c r="F62" s="11"/>
      <c r="G62" s="11"/>
      <c r="H62" s="11"/>
      <c r="I62" s="11">
        <f>AVERAGE(Tableau18[[#This Row],[Bamboo shoot]:[Clocko fruit]])</f>
        <v>0</v>
      </c>
      <c r="K62">
        <v>15276961</v>
      </c>
      <c r="L62" s="5">
        <f>VLOOKUP(Tableau29[[#This Row],[Player id]],Tableau18[[Player id]:[Clocko fruit]],2,0)</f>
        <v>0</v>
      </c>
      <c r="M62">
        <v>15276961</v>
      </c>
      <c r="N62" s="6">
        <f>VLOOKUP(Tableau310[[#This Row],[Player id]],Tableau18[[Player id]:[Clocko fruit]],3,0)</f>
        <v>0</v>
      </c>
      <c r="O62">
        <v>15276961</v>
      </c>
      <c r="P62" s="5">
        <f>VLOOKUP(Tableau411[[#This Row],[Player id]],Tableau18[[Player id]:[Clocko fruit]],4,0)</f>
        <v>0</v>
      </c>
      <c r="Q62">
        <v>15276961</v>
      </c>
      <c r="R62" s="5">
        <f>VLOOKUP(Tableau512[[#This Row],[Player id]],Tableau18[[Player id]:[Clocko fruit]],5,0)</f>
        <v>0</v>
      </c>
      <c r="S62">
        <v>15276961</v>
      </c>
      <c r="T62" s="6">
        <f>VLOOKUP(Tableau613[[#This Row],[Player id]],Tableau18[[Player id]:[Clocko fruit]],5,0)</f>
        <v>0</v>
      </c>
      <c r="U62">
        <v>15276961</v>
      </c>
      <c r="V62" s="6">
        <f>VLOOKUP(Tableau61314[[#This Row],[Player id]],Tableau18[[Player id]:[Clocko fruit]],6,0)</f>
        <v>0</v>
      </c>
      <c r="AO62">
        <v>15276961</v>
      </c>
      <c r="AP62">
        <v>72</v>
      </c>
      <c r="AQ62">
        <v>52</v>
      </c>
      <c r="AR62">
        <v>61</v>
      </c>
      <c r="AS62">
        <v>49</v>
      </c>
      <c r="AT62">
        <v>37</v>
      </c>
      <c r="AU62">
        <f>AVERAGE(Tableau1[[#This Row],[Dragon fruit]:[Clocko fruit]])</f>
        <v>54.2</v>
      </c>
      <c r="AW62">
        <v>11704389</v>
      </c>
      <c r="AX62" s="5">
        <v>61</v>
      </c>
      <c r="AY62">
        <v>15276961</v>
      </c>
      <c r="AZ62" s="6">
        <v>52</v>
      </c>
      <c r="BA62">
        <v>10294719</v>
      </c>
      <c r="BB62" s="5">
        <v>53</v>
      </c>
      <c r="BC62">
        <v>10219371</v>
      </c>
      <c r="BD62" s="5">
        <v>37</v>
      </c>
      <c r="BE62">
        <v>15276961</v>
      </c>
      <c r="BF62" s="6">
        <v>37</v>
      </c>
    </row>
    <row r="63" spans="2:58" x14ac:dyDescent="0.2">
      <c r="B63">
        <v>10001407</v>
      </c>
      <c r="C63" s="11">
        <v>0</v>
      </c>
      <c r="D63" s="11"/>
      <c r="E63" s="11"/>
      <c r="F63" s="11"/>
      <c r="G63" s="11"/>
      <c r="H63" s="11"/>
      <c r="I63" s="11">
        <f>AVERAGE(Tableau18[[#This Row],[Bamboo shoot]:[Clocko fruit]])</f>
        <v>0</v>
      </c>
      <c r="K63">
        <v>10001407</v>
      </c>
      <c r="L63" s="9">
        <f>VLOOKUP(Tableau29[[#This Row],[Player id]],Tableau18[[Player id]:[Clocko fruit]],2,0)</f>
        <v>0</v>
      </c>
      <c r="M63">
        <v>10001407</v>
      </c>
      <c r="N63" s="9">
        <f>VLOOKUP(Tableau310[[#This Row],[Player id]],Tableau18[[Player id]:[Clocko fruit]],3,0)</f>
        <v>0</v>
      </c>
      <c r="O63">
        <v>10001407</v>
      </c>
      <c r="P63" s="8">
        <f>VLOOKUP(Tableau411[[#This Row],[Player id]],Tableau18[[Player id]:[Clocko fruit]],4,0)</f>
        <v>0</v>
      </c>
      <c r="Q63">
        <v>10001407</v>
      </c>
      <c r="R63" s="8">
        <f>VLOOKUP(Tableau512[[#This Row],[Player id]],Tableau18[[Player id]:[Clocko fruit]],5,0)</f>
        <v>0</v>
      </c>
      <c r="S63">
        <v>10001407</v>
      </c>
      <c r="T63" s="8">
        <f>VLOOKUP(Tableau613[[#This Row],[Player id]],Tableau18[[Player id]:[Clocko fruit]],5,0)</f>
        <v>0</v>
      </c>
      <c r="U63">
        <v>10001407</v>
      </c>
      <c r="V63" s="8">
        <f>VLOOKUP(Tableau61314[[#This Row],[Player id]],Tableau18[[Player id]:[Clocko fruit]],6,0)</f>
        <v>0</v>
      </c>
      <c r="AO63">
        <v>10001407</v>
      </c>
      <c r="AP63">
        <v>71</v>
      </c>
      <c r="AQ63">
        <v>56</v>
      </c>
      <c r="AR63">
        <v>73</v>
      </c>
      <c r="AS63">
        <v>0</v>
      </c>
      <c r="AT63">
        <v>0</v>
      </c>
      <c r="AU63">
        <f>AVERAGE(Tableau1[[#This Row],[Dragon fruit]:[Clocko fruit]])</f>
        <v>40</v>
      </c>
      <c r="AW63">
        <v>18469277</v>
      </c>
      <c r="AX63" s="9">
        <v>53</v>
      </c>
      <c r="AY63">
        <v>11639694</v>
      </c>
      <c r="AZ63" s="9">
        <v>52</v>
      </c>
      <c r="BA63">
        <v>11704389</v>
      </c>
      <c r="BB63" s="8">
        <v>52</v>
      </c>
      <c r="BC63">
        <v>10001407</v>
      </c>
      <c r="BD63" s="8">
        <v>0</v>
      </c>
      <c r="BE63">
        <v>10001407</v>
      </c>
      <c r="BF63" s="8">
        <v>0</v>
      </c>
    </row>
  </sheetData>
  <conditionalFormatting sqref="C3:H3">
    <cfRule type="colorScale" priority="1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:H4">
    <cfRule type="colorScale" priority="1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:H5">
    <cfRule type="colorScale" priority="1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6:H6 C7:C37">
    <cfRule type="colorScale" priority="1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8:H38">
    <cfRule type="colorScale" priority="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9:H39"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0:H40"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1:H41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2:H42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3:H43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4:H44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5:H45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6:H46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7:H47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8:H48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9:H49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0:H50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1:H51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2:H52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3:H53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4:H54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5:H55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6:H56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7:H57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8:H58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9:H59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60:H60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61:H61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62:H6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63:H6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:H7">
    <cfRule type="colorScale" priority="1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:H8">
    <cfRule type="colorScale" priority="1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:H9">
    <cfRule type="colorScale" priority="1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:H10">
    <cfRule type="colorScale" priority="1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1:H11">
    <cfRule type="colorScale" priority="1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:H12">
    <cfRule type="colorScale" priority="1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:H13">
    <cfRule type="colorScale" priority="1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4:H14">
    <cfRule type="colorScale" priority="1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5:H15">
    <cfRule type="colorScale" priority="1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6:H16">
    <cfRule type="colorScale" priority="1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7:H17">
    <cfRule type="colorScale" priority="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8:H18">
    <cfRule type="colorScale" priority="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9:H19">
    <cfRule type="colorScale" priority="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0:H20">
    <cfRule type="colorScale" priority="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1:H21">
    <cfRule type="colorScale" priority="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2:H22">
    <cfRule type="colorScale" priority="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3:H23">
    <cfRule type="colorScale" priority="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4:H24">
    <cfRule type="colorScale" priority="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5:H25">
    <cfRule type="colorScale" priority="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6:H26">
    <cfRule type="colorScale" priority="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7:H27">
    <cfRule type="colorScale" priority="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8:H28">
    <cfRule type="colorScale" priority="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9:H29">
    <cfRule type="colorScale" priority="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0:H30">
    <cfRule type="colorScale" priority="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1:H31">
    <cfRule type="colorScale" priority="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2:H32">
    <cfRule type="colorScale" priority="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3:H33">
    <cfRule type="colorScale" priority="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4:H34">
    <cfRule type="colorScale" priority="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5:H35">
    <cfRule type="colorScale" priority="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6:H36">
    <cfRule type="colorScale" priority="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7:H37"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:L63">
    <cfRule type="colorScale" priority="1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3">
    <cfRule type="colorScale" priority="1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4:N63">
    <cfRule type="colorScale" priority="1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4">
    <cfRule type="colorScale" priority="1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5:P63 P3">
    <cfRule type="colorScale" priority="1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3:R6 R8:R63">
    <cfRule type="colorScale" priority="14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7">
    <cfRule type="colorScale" priority="1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3:T4 T6:T63">
    <cfRule type="colorScale" priority="1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5">
    <cfRule type="colorScale" priority="13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3:V4 V6:V63">
    <cfRule type="colorScale" priority="1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5">
    <cfRule type="colorScale" priority="13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3:AP63 D66:D81 D64">
    <cfRule type="colorScale" priority="1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3:AQ63 E66:E81 E64">
    <cfRule type="colorScale" priority="1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3:AR63 F66:F81 F64">
    <cfRule type="colorScale" priority="1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3:AS63 G66:G81 G64">
    <cfRule type="colorScale" priority="15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T3:AT63 H66:H81 H64">
    <cfRule type="colorScale" priority="1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3:AX63">
    <cfRule type="colorScale" priority="1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3:AZ63">
    <cfRule type="colorScale" priority="1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3:BB63">
    <cfRule type="colorScale" priority="1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3:BD63">
    <cfRule type="colorScale" priority="15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F3:BF63">
    <cfRule type="colorScale" priority="1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3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71A4B-6058-BF43-8DD8-23920E9F0F43}">
  <dimension ref="B1:AD119"/>
  <sheetViews>
    <sheetView zoomScaleNormal="150" zoomScaleSheetLayoutView="100" workbookViewId="0">
      <selection activeCell="AA79" sqref="AA79"/>
    </sheetView>
  </sheetViews>
  <sheetFormatPr defaultColWidth="8.609375" defaultRowHeight="15" x14ac:dyDescent="0.2"/>
  <cols>
    <col min="2" max="2" width="9.14453125" bestFit="1" customWidth="1"/>
    <col min="3" max="3" width="9.14453125" hidden="1" customWidth="1"/>
    <col min="4" max="4" width="4.16796875" bestFit="1" customWidth="1"/>
    <col min="5" max="5" width="6.1875" bestFit="1" customWidth="1"/>
    <col min="6" max="6" width="3.8984375" bestFit="1" customWidth="1"/>
    <col min="7" max="7" width="4.83984375" bestFit="1" customWidth="1"/>
    <col min="8" max="8" width="4.70703125" bestFit="1" customWidth="1"/>
    <col min="9" max="9" width="5.24609375" bestFit="1" customWidth="1"/>
    <col min="10" max="10" width="3.8984375" bestFit="1" customWidth="1"/>
    <col min="11" max="11" width="11.703125" bestFit="1" customWidth="1"/>
    <col min="12" max="12" width="11.703125" customWidth="1"/>
    <col min="13" max="13" width="4.4375" customWidth="1"/>
    <col min="14" max="14" width="5.37890625" bestFit="1" customWidth="1"/>
    <col min="15" max="15" width="4.03515625" bestFit="1" customWidth="1"/>
    <col min="16" max="16" width="4.9765625" bestFit="1" customWidth="1"/>
    <col min="17" max="17" width="4.16796875" bestFit="1" customWidth="1"/>
    <col min="18" max="18" width="5.24609375" bestFit="1" customWidth="1"/>
    <col min="19" max="19" width="3.8984375" bestFit="1" customWidth="1"/>
    <col min="20" max="20" width="7.93359375" bestFit="1" customWidth="1"/>
    <col min="21" max="21" width="9.81640625" bestFit="1" customWidth="1"/>
    <col min="22" max="22" width="10.0859375" hidden="1" customWidth="1"/>
    <col min="23" max="23" width="3.8984375" bestFit="1" customWidth="1"/>
    <col min="24" max="24" width="4.9765625" bestFit="1" customWidth="1"/>
    <col min="25" max="25" width="3.62890625" bestFit="1" customWidth="1"/>
    <col min="26" max="26" width="4.5703125" bestFit="1" customWidth="1"/>
    <col min="27" max="27" width="4.3046875" bestFit="1" customWidth="1"/>
    <col min="28" max="28" width="5.24609375" bestFit="1" customWidth="1"/>
  </cols>
  <sheetData>
    <row r="1" spans="2:30" ht="15.75" thickBot="1" x14ac:dyDescent="0.25">
      <c r="B1" s="78" t="s">
        <v>55</v>
      </c>
      <c r="C1" s="79"/>
      <c r="D1" s="79"/>
      <c r="E1" s="79"/>
      <c r="F1" s="79"/>
      <c r="G1" s="79"/>
      <c r="H1" s="79"/>
      <c r="I1" s="79"/>
      <c r="K1" s="74" t="s">
        <v>69</v>
      </c>
      <c r="L1" s="75"/>
      <c r="M1" s="76"/>
      <c r="N1" s="76"/>
      <c r="O1" s="76"/>
      <c r="P1" s="76"/>
      <c r="Q1" s="76"/>
      <c r="R1" s="77"/>
      <c r="T1" s="74" t="s">
        <v>171</v>
      </c>
      <c r="U1" s="75"/>
      <c r="V1" s="75"/>
      <c r="W1" s="76"/>
      <c r="X1" s="76"/>
      <c r="Y1" s="76"/>
      <c r="Z1" s="76"/>
      <c r="AA1" s="76"/>
      <c r="AB1" s="77"/>
    </row>
    <row r="2" spans="2:30" ht="15.75" thickBot="1" x14ac:dyDescent="0.25">
      <c r="B2" s="43" t="s">
        <v>45</v>
      </c>
      <c r="C2" s="18"/>
      <c r="D2" s="16" t="s">
        <v>58</v>
      </c>
      <c r="E2" s="17" t="s">
        <v>57</v>
      </c>
      <c r="F2" s="17" t="s">
        <v>46</v>
      </c>
      <c r="G2" s="34" t="s">
        <v>56</v>
      </c>
      <c r="H2" s="34" t="s">
        <v>66</v>
      </c>
      <c r="I2" s="18" t="s">
        <v>67</v>
      </c>
      <c r="K2" s="40" t="s">
        <v>45</v>
      </c>
      <c r="L2" s="41"/>
      <c r="M2" s="16" t="s">
        <v>58</v>
      </c>
      <c r="N2" s="17" t="s">
        <v>57</v>
      </c>
      <c r="O2" s="17" t="s">
        <v>46</v>
      </c>
      <c r="P2" s="34" t="s">
        <v>56</v>
      </c>
      <c r="Q2" s="34" t="s">
        <v>66</v>
      </c>
      <c r="R2" s="18" t="s">
        <v>67</v>
      </c>
      <c r="T2" s="43" t="s">
        <v>45</v>
      </c>
      <c r="U2" s="48" t="s">
        <v>212</v>
      </c>
      <c r="V2" s="44" t="s">
        <v>166</v>
      </c>
      <c r="W2" s="16" t="s">
        <v>58</v>
      </c>
      <c r="X2" s="17" t="s">
        <v>57</v>
      </c>
      <c r="Y2" s="17" t="s">
        <v>46</v>
      </c>
      <c r="Z2" s="34" t="s">
        <v>56</v>
      </c>
      <c r="AA2" s="34" t="s">
        <v>66</v>
      </c>
      <c r="AB2" s="18" t="s">
        <v>67</v>
      </c>
    </row>
    <row r="3" spans="2:30" x14ac:dyDescent="0.2">
      <c r="B3" s="29">
        <v>1000</v>
      </c>
      <c r="C3" s="31"/>
      <c r="D3" s="35">
        <v>30</v>
      </c>
      <c r="E3" s="20">
        <f>D3</f>
        <v>30</v>
      </c>
      <c r="F3" s="20">
        <v>0</v>
      </c>
      <c r="G3" s="20">
        <f>F3</f>
        <v>0</v>
      </c>
      <c r="H3" s="20">
        <v>0</v>
      </c>
      <c r="I3" s="21"/>
      <c r="K3" s="13">
        <v>200000</v>
      </c>
      <c r="L3" s="42"/>
      <c r="M3" s="19">
        <v>30</v>
      </c>
      <c r="N3" s="20">
        <f>M3</f>
        <v>30</v>
      </c>
      <c r="O3" s="20">
        <v>0</v>
      </c>
      <c r="P3" s="20">
        <f>O3</f>
        <v>0</v>
      </c>
      <c r="Q3" s="20">
        <v>0</v>
      </c>
      <c r="R3" s="21"/>
      <c r="T3" s="29" t="s">
        <v>71</v>
      </c>
      <c r="U3" s="49">
        <f>_xlfn.TEXTBEFORE(T3,"k")*1000/(5*(1+_xlfn.TEXTBEFORE(_xlfn.TEXTAFTER(U$2,"+"),"%")/100)*1.25)</f>
        <v>8.2191780821917817</v>
      </c>
      <c r="V3" s="45">
        <f>_xlfn.TEXTBEFORE(T3,"k")*1000/5/(1+_xlfn.TEXTBEFORE(_xlfn.TEXTAFTER(V$2,"+"),"%")/100)/2/1.25/0.22</f>
        <v>15.026296018031557</v>
      </c>
      <c r="W3" s="19">
        <v>60</v>
      </c>
      <c r="X3" s="20">
        <f>W3</f>
        <v>60</v>
      </c>
      <c r="Y3" s="20">
        <v>0</v>
      </c>
      <c r="Z3" s="20">
        <f>Y3</f>
        <v>0</v>
      </c>
      <c r="AA3" s="20">
        <v>0</v>
      </c>
      <c r="AB3" s="21">
        <f>AA3</f>
        <v>0</v>
      </c>
    </row>
    <row r="4" spans="2:30" x14ac:dyDescent="0.2">
      <c r="B4" s="32">
        <v>5000</v>
      </c>
      <c r="C4" s="38"/>
      <c r="D4" s="36">
        <v>30</v>
      </c>
      <c r="E4" s="12">
        <f>E3+D4</f>
        <v>60</v>
      </c>
      <c r="F4" s="12">
        <v>0</v>
      </c>
      <c r="G4" s="12">
        <f>G3+F4</f>
        <v>0</v>
      </c>
      <c r="H4" s="12">
        <v>0</v>
      </c>
      <c r="I4" s="23"/>
      <c r="K4" s="14">
        <v>400000</v>
      </c>
      <c r="L4" s="38"/>
      <c r="M4" s="22">
        <v>30</v>
      </c>
      <c r="N4" s="12">
        <f>N3+M4</f>
        <v>60</v>
      </c>
      <c r="O4" s="12">
        <v>0</v>
      </c>
      <c r="P4" s="12">
        <f>P3+O4</f>
        <v>0</v>
      </c>
      <c r="Q4" s="12">
        <v>0</v>
      </c>
      <c r="R4" s="23"/>
      <c r="T4" s="32" t="s">
        <v>70</v>
      </c>
      <c r="U4" s="50">
        <f>_xlfn.TEXTBEFORE(T4,"k")*1000/(5*(1+_xlfn.TEXTBEFORE(_xlfn.TEXTAFTER(U$2,"+"),"%")/100)*1.25)</f>
        <v>109.58904109589041</v>
      </c>
      <c r="V4" s="46">
        <f>_xlfn.TEXTBEFORE(T4,"k")*1000/5/(1+_xlfn.TEXTBEFORE(_xlfn.TEXTAFTER(V$2,"+"),"%")/100)/2/1.25/0.22</f>
        <v>200.35061357375406</v>
      </c>
      <c r="W4" s="22">
        <v>0</v>
      </c>
      <c r="X4" s="12">
        <f>X3+W4</f>
        <v>60</v>
      </c>
      <c r="Y4" s="12">
        <v>1</v>
      </c>
      <c r="Z4" s="12">
        <f>Z3+Y4</f>
        <v>1</v>
      </c>
      <c r="AA4" s="12">
        <v>3</v>
      </c>
      <c r="AB4" s="12">
        <f>AB3+AA4</f>
        <v>3</v>
      </c>
    </row>
    <row r="5" spans="2:30" x14ac:dyDescent="0.2">
      <c r="B5" s="32">
        <v>10000</v>
      </c>
      <c r="C5" s="38"/>
      <c r="D5" s="36">
        <v>30</v>
      </c>
      <c r="E5" s="12">
        <f t="shared" ref="E5:E68" si="0">E4+D5</f>
        <v>90</v>
      </c>
      <c r="F5" s="12">
        <v>0</v>
      </c>
      <c r="G5" s="12">
        <f>G4+F5</f>
        <v>0</v>
      </c>
      <c r="H5" s="12"/>
      <c r="I5" s="23"/>
      <c r="K5" s="14">
        <v>800000</v>
      </c>
      <c r="L5" s="38"/>
      <c r="M5" s="22">
        <v>30</v>
      </c>
      <c r="N5" s="12">
        <f t="shared" ref="N5:N68" si="1">N4+M5</f>
        <v>90</v>
      </c>
      <c r="O5" s="12">
        <v>0</v>
      </c>
      <c r="P5" s="12">
        <f>P4+O5</f>
        <v>0</v>
      </c>
      <c r="Q5" s="12">
        <v>5</v>
      </c>
      <c r="R5" s="23"/>
      <c r="T5" s="32" t="s">
        <v>72</v>
      </c>
      <c r="U5" s="50">
        <f>_xlfn.TEXTBEFORE(T5,"k")*1000/(5*(1+_xlfn.TEXTBEFORE(_xlfn.TEXTAFTER(U$2,"+"),"%")/100)*1.25)</f>
        <v>175.34246575342465</v>
      </c>
      <c r="V5" s="46">
        <f t="shared" ref="V5:V68" si="2">_xlfn.TEXTBEFORE(T5,"k")*1000/5/(1+_xlfn.TEXTBEFORE(_xlfn.TEXTAFTER(V$2,"+"),"%")/100)/2/1.25/0.22</f>
        <v>320.56098171800653</v>
      </c>
      <c r="W5" s="22">
        <v>0</v>
      </c>
      <c r="X5" s="12">
        <f t="shared" ref="X5:X33" si="3">X4+W5</f>
        <v>60</v>
      </c>
      <c r="Y5" s="12">
        <v>0</v>
      </c>
      <c r="Z5" s="12">
        <f>Z4+Y5</f>
        <v>1</v>
      </c>
      <c r="AA5" s="12">
        <v>0</v>
      </c>
      <c r="AB5" s="12">
        <f t="shared" ref="AB5:AB33" si="4">AB4+AA5</f>
        <v>3</v>
      </c>
    </row>
    <row r="6" spans="2:30" x14ac:dyDescent="0.2">
      <c r="B6" s="32">
        <v>20000</v>
      </c>
      <c r="C6" s="38"/>
      <c r="D6" s="36">
        <v>30</v>
      </c>
      <c r="E6" s="12">
        <f t="shared" si="0"/>
        <v>120</v>
      </c>
      <c r="F6" s="12">
        <v>0</v>
      </c>
      <c r="G6" s="12">
        <f>G5+F6</f>
        <v>0</v>
      </c>
      <c r="H6" s="12"/>
      <c r="I6" s="23"/>
      <c r="K6" s="14">
        <v>1200000</v>
      </c>
      <c r="L6" s="38"/>
      <c r="M6" s="22">
        <v>30</v>
      </c>
      <c r="N6" s="12">
        <f t="shared" si="1"/>
        <v>120</v>
      </c>
      <c r="O6" s="12">
        <v>0</v>
      </c>
      <c r="P6" s="12">
        <f>P5+O6</f>
        <v>0</v>
      </c>
      <c r="Q6" s="12">
        <v>0</v>
      </c>
      <c r="R6" s="23"/>
      <c r="T6" s="32" t="s">
        <v>73</v>
      </c>
      <c r="U6" s="50">
        <f>_xlfn.TEXTBEFORE(T6,"k")*1000/(5*(1+_xlfn.TEXTBEFORE(_xlfn.TEXTAFTER(U$2,"+"),"%")/100)*1.25)</f>
        <v>230.13698630136986</v>
      </c>
      <c r="V6" s="46">
        <f t="shared" si="2"/>
        <v>420.73628850488359</v>
      </c>
      <c r="W6" s="22">
        <v>0</v>
      </c>
      <c r="X6" s="12">
        <f t="shared" si="3"/>
        <v>60</v>
      </c>
      <c r="Y6" s="12">
        <v>0</v>
      </c>
      <c r="Z6" s="12">
        <f t="shared" ref="Z6:Z69" si="5">Z5+Y6</f>
        <v>1</v>
      </c>
      <c r="AA6" s="12">
        <v>0</v>
      </c>
      <c r="AB6" s="12">
        <f t="shared" si="4"/>
        <v>3</v>
      </c>
    </row>
    <row r="7" spans="2:30" x14ac:dyDescent="0.2">
      <c r="B7" s="32">
        <v>50000</v>
      </c>
      <c r="C7" s="38"/>
      <c r="D7" s="36">
        <v>30</v>
      </c>
      <c r="E7" s="12">
        <f t="shared" si="0"/>
        <v>150</v>
      </c>
      <c r="F7" s="12">
        <v>0</v>
      </c>
      <c r="G7" s="12">
        <f>G6+F7</f>
        <v>0</v>
      </c>
      <c r="H7" s="12"/>
      <c r="I7" s="23"/>
      <c r="K7" s="14">
        <v>1600000</v>
      </c>
      <c r="L7" s="38"/>
      <c r="M7" s="22">
        <v>30</v>
      </c>
      <c r="N7" s="12">
        <f t="shared" si="1"/>
        <v>150</v>
      </c>
      <c r="O7" s="12">
        <v>0</v>
      </c>
      <c r="P7" s="12">
        <f>P6+O7</f>
        <v>0</v>
      </c>
      <c r="Q7" s="12">
        <v>0</v>
      </c>
      <c r="R7" s="23"/>
      <c r="T7" s="32" t="s">
        <v>74</v>
      </c>
      <c r="U7" s="50">
        <f>_xlfn.TEXTBEFORE(T7,"k")*1000/(5*(1+_xlfn.TEXTBEFORE(_xlfn.TEXTAFTER(U$2,"+"),"%")/100)*1.25)</f>
        <v>290.41095890410958</v>
      </c>
      <c r="V7" s="46">
        <f t="shared" si="2"/>
        <v>530.92912597044835</v>
      </c>
      <c r="W7" s="22">
        <v>0</v>
      </c>
      <c r="X7" s="12">
        <f t="shared" si="3"/>
        <v>60</v>
      </c>
      <c r="Y7" s="12">
        <v>0</v>
      </c>
      <c r="Z7" s="12">
        <f t="shared" si="5"/>
        <v>1</v>
      </c>
      <c r="AA7" s="12">
        <v>0</v>
      </c>
      <c r="AB7" s="12">
        <f t="shared" si="4"/>
        <v>3</v>
      </c>
      <c r="AD7">
        <f>_xlfn.TEXTBEFORE(T3,"k")*1000/((1+_xlfn.TEXTBEFORE(_xlfn.TEXTAFTER(V$2,"+"),"%")/100)*1.25)</f>
        <v>33.057851239669425</v>
      </c>
    </row>
    <row r="8" spans="2:30" x14ac:dyDescent="0.2">
      <c r="B8" s="32">
        <v>100000</v>
      </c>
      <c r="C8" s="38"/>
      <c r="D8" s="36">
        <v>60</v>
      </c>
      <c r="E8" s="12">
        <f t="shared" si="0"/>
        <v>210</v>
      </c>
      <c r="F8" s="12">
        <v>0</v>
      </c>
      <c r="G8" s="12">
        <f>G7+F8</f>
        <v>0</v>
      </c>
      <c r="H8" s="12"/>
      <c r="I8" s="23"/>
      <c r="K8" s="14">
        <v>2000000</v>
      </c>
      <c r="L8" s="38"/>
      <c r="M8" s="22">
        <v>30</v>
      </c>
      <c r="N8" s="12">
        <f t="shared" si="1"/>
        <v>180</v>
      </c>
      <c r="O8" s="12">
        <v>0</v>
      </c>
      <c r="P8" s="12">
        <f>P7+O8</f>
        <v>0</v>
      </c>
      <c r="Q8" s="12">
        <v>5</v>
      </c>
      <c r="R8" s="23"/>
      <c r="T8" s="32" t="s">
        <v>75</v>
      </c>
      <c r="U8" s="50">
        <f>_xlfn.TEXTBEFORE(T8,"k")*1000/(5*(1+_xlfn.TEXTBEFORE(_xlfn.TEXTAFTER(U$2,"+"),"%")/100)*1.25)</f>
        <v>345.20547945205482</v>
      </c>
      <c r="V8" s="46">
        <f t="shared" si="2"/>
        <v>631.10443275732541</v>
      </c>
      <c r="W8" s="22">
        <v>60</v>
      </c>
      <c r="X8" s="12">
        <f t="shared" si="3"/>
        <v>120</v>
      </c>
      <c r="Y8" s="12">
        <v>0</v>
      </c>
      <c r="Z8" s="12">
        <f t="shared" si="5"/>
        <v>1</v>
      </c>
      <c r="AA8" s="12">
        <v>0</v>
      </c>
      <c r="AB8" s="12">
        <f t="shared" si="4"/>
        <v>3</v>
      </c>
    </row>
    <row r="9" spans="2:30" x14ac:dyDescent="0.2">
      <c r="B9" s="32">
        <v>200000</v>
      </c>
      <c r="C9" s="38"/>
      <c r="D9" s="36">
        <v>30</v>
      </c>
      <c r="E9" s="12">
        <f t="shared" si="0"/>
        <v>240</v>
      </c>
      <c r="F9" s="12">
        <v>0</v>
      </c>
      <c r="G9" s="12">
        <f>G8+F9</f>
        <v>0</v>
      </c>
      <c r="H9" s="12"/>
      <c r="I9" s="23"/>
      <c r="K9" s="14">
        <v>2400000</v>
      </c>
      <c r="L9" s="38"/>
      <c r="M9" s="22">
        <v>30</v>
      </c>
      <c r="N9" s="12">
        <f t="shared" si="1"/>
        <v>210</v>
      </c>
      <c r="O9" s="12">
        <v>0</v>
      </c>
      <c r="P9" s="12">
        <f>P8+O9</f>
        <v>0</v>
      </c>
      <c r="Q9" s="12">
        <v>0</v>
      </c>
      <c r="R9" s="23"/>
      <c r="T9" s="32" t="s">
        <v>76</v>
      </c>
      <c r="U9" s="50">
        <f>_xlfn.TEXTBEFORE(T9,"k")*1000/(5*(1+_xlfn.TEXTBEFORE(_xlfn.TEXTAFTER(U$2,"+"),"%")/100)*1.25)</f>
        <v>405.47945205479454</v>
      </c>
      <c r="V9" s="46">
        <f t="shared" si="2"/>
        <v>741.29727022289012</v>
      </c>
      <c r="W9" s="22">
        <v>0</v>
      </c>
      <c r="X9" s="12">
        <f t="shared" si="3"/>
        <v>120</v>
      </c>
      <c r="Y9" s="12">
        <v>0</v>
      </c>
      <c r="Z9" s="12">
        <f t="shared" si="5"/>
        <v>1</v>
      </c>
      <c r="AA9" s="12">
        <v>3</v>
      </c>
      <c r="AB9" s="12">
        <f t="shared" si="4"/>
        <v>6</v>
      </c>
    </row>
    <row r="10" spans="2:30" x14ac:dyDescent="0.2">
      <c r="B10" s="32">
        <v>300000</v>
      </c>
      <c r="C10" s="38"/>
      <c r="D10" s="36">
        <v>30</v>
      </c>
      <c r="E10" s="12">
        <f t="shared" si="0"/>
        <v>270</v>
      </c>
      <c r="F10" s="12">
        <v>2</v>
      </c>
      <c r="G10" s="12">
        <f>G9+F10</f>
        <v>2</v>
      </c>
      <c r="H10" s="12"/>
      <c r="I10" s="23"/>
      <c r="K10" s="14">
        <v>2800000</v>
      </c>
      <c r="L10" s="38"/>
      <c r="M10" s="22">
        <v>30</v>
      </c>
      <c r="N10" s="12">
        <f t="shared" si="1"/>
        <v>240</v>
      </c>
      <c r="O10" s="12">
        <v>0</v>
      </c>
      <c r="P10" s="12">
        <f>P9+O10</f>
        <v>0</v>
      </c>
      <c r="Q10" s="12">
        <v>0</v>
      </c>
      <c r="R10" s="23"/>
      <c r="T10" s="32" t="s">
        <v>77</v>
      </c>
      <c r="U10" s="50">
        <f>_xlfn.TEXTBEFORE(T10,"k")*1000/(5*(1+_xlfn.TEXTBEFORE(_xlfn.TEXTAFTER(U$2,"+"),"%")/100)*1.25)</f>
        <v>460.27397260273972</v>
      </c>
      <c r="V10" s="46">
        <f t="shared" si="2"/>
        <v>841.47257700976718</v>
      </c>
      <c r="W10" s="22">
        <v>0</v>
      </c>
      <c r="X10" s="12">
        <f t="shared" si="3"/>
        <v>120</v>
      </c>
      <c r="Y10" s="12">
        <v>1</v>
      </c>
      <c r="Z10" s="12">
        <f t="shared" si="5"/>
        <v>2</v>
      </c>
      <c r="AA10" s="12">
        <v>0</v>
      </c>
      <c r="AB10" s="12">
        <f t="shared" si="4"/>
        <v>6</v>
      </c>
    </row>
    <row r="11" spans="2:30" x14ac:dyDescent="0.2">
      <c r="B11" s="32">
        <v>400000</v>
      </c>
      <c r="C11" s="38"/>
      <c r="D11" s="36">
        <v>30</v>
      </c>
      <c r="E11" s="12">
        <f t="shared" si="0"/>
        <v>300</v>
      </c>
      <c r="F11" s="12">
        <v>0</v>
      </c>
      <c r="G11" s="12">
        <f>G10+F11</f>
        <v>2</v>
      </c>
      <c r="H11" s="12"/>
      <c r="I11" s="23"/>
      <c r="K11" s="14">
        <v>3200000</v>
      </c>
      <c r="L11" s="38"/>
      <c r="M11" s="22">
        <v>30</v>
      </c>
      <c r="N11" s="12">
        <f t="shared" si="1"/>
        <v>270</v>
      </c>
      <c r="O11" s="12">
        <v>2</v>
      </c>
      <c r="P11" s="12">
        <f>P10+O11</f>
        <v>2</v>
      </c>
      <c r="Q11" s="12"/>
      <c r="R11" s="23"/>
      <c r="T11" s="32" t="s">
        <v>78</v>
      </c>
      <c r="U11" s="50">
        <f>_xlfn.TEXTBEFORE(T11,"k")*1000/(5*(1+_xlfn.TEXTBEFORE(_xlfn.TEXTAFTER(U$2,"+"),"%")/100)*1.25)</f>
        <v>526.02739726027403</v>
      </c>
      <c r="V11" s="46">
        <f t="shared" si="2"/>
        <v>961.68294515401965</v>
      </c>
      <c r="W11" s="22">
        <v>60</v>
      </c>
      <c r="X11" s="12">
        <f t="shared" si="3"/>
        <v>180</v>
      </c>
      <c r="Y11" s="12">
        <v>0</v>
      </c>
      <c r="Z11" s="12">
        <f t="shared" si="5"/>
        <v>2</v>
      </c>
      <c r="AA11" s="12">
        <v>0</v>
      </c>
      <c r="AB11" s="12">
        <f t="shared" si="4"/>
        <v>6</v>
      </c>
    </row>
    <row r="12" spans="2:30" x14ac:dyDescent="0.2">
      <c r="B12" s="32">
        <f>B11+100000</f>
        <v>500000</v>
      </c>
      <c r="C12" s="38"/>
      <c r="D12" s="36">
        <v>30</v>
      </c>
      <c r="E12" s="12">
        <f t="shared" si="0"/>
        <v>330</v>
      </c>
      <c r="F12" s="12">
        <v>0</v>
      </c>
      <c r="G12" s="12">
        <f>G11+F12</f>
        <v>2</v>
      </c>
      <c r="H12" s="12"/>
      <c r="I12" s="23"/>
      <c r="K12" s="14">
        <v>3600000</v>
      </c>
      <c r="L12" s="38"/>
      <c r="M12" s="22">
        <v>30</v>
      </c>
      <c r="N12" s="12">
        <f t="shared" si="1"/>
        <v>300</v>
      </c>
      <c r="O12" s="12">
        <v>0</v>
      </c>
      <c r="P12" s="12">
        <f>P11+O12</f>
        <v>2</v>
      </c>
      <c r="Q12" s="12"/>
      <c r="R12" s="23"/>
      <c r="T12" s="32" t="s">
        <v>79</v>
      </c>
      <c r="U12" s="50">
        <f>_xlfn.TEXTBEFORE(T12,"k")*1000/(5*(1+_xlfn.TEXTBEFORE(_xlfn.TEXTAFTER(U$2,"+"),"%")/100)*1.25)</f>
        <v>580.82191780821915</v>
      </c>
      <c r="V12" s="46">
        <f t="shared" si="2"/>
        <v>1061.8582519408967</v>
      </c>
      <c r="W12" s="22">
        <v>0</v>
      </c>
      <c r="X12" s="12">
        <f t="shared" si="3"/>
        <v>180</v>
      </c>
      <c r="Y12" s="12">
        <v>0</v>
      </c>
      <c r="Z12" s="12">
        <f t="shared" si="5"/>
        <v>2</v>
      </c>
      <c r="AA12" s="12">
        <v>4</v>
      </c>
      <c r="AB12" s="12">
        <f t="shared" si="4"/>
        <v>10</v>
      </c>
    </row>
    <row r="13" spans="2:30" x14ac:dyDescent="0.2">
      <c r="B13" s="32">
        <f t="shared" ref="B13" si="6">B12+100000</f>
        <v>600000</v>
      </c>
      <c r="C13" s="38"/>
      <c r="D13" s="36">
        <v>90</v>
      </c>
      <c r="E13" s="12">
        <f t="shared" si="0"/>
        <v>420</v>
      </c>
      <c r="F13" s="12">
        <v>0</v>
      </c>
      <c r="G13" s="12">
        <f>G12+F13</f>
        <v>2</v>
      </c>
      <c r="H13" s="12"/>
      <c r="I13" s="23"/>
      <c r="K13" s="14">
        <v>4000000</v>
      </c>
      <c r="L13" s="38"/>
      <c r="M13" s="22">
        <v>90</v>
      </c>
      <c r="N13" s="12">
        <f t="shared" si="1"/>
        <v>390</v>
      </c>
      <c r="O13" s="12">
        <v>0</v>
      </c>
      <c r="P13" s="12">
        <f>P12+O13</f>
        <v>2</v>
      </c>
      <c r="Q13" s="12"/>
      <c r="R13" s="23"/>
      <c r="T13" s="32" t="s">
        <v>80</v>
      </c>
      <c r="U13" s="50">
        <f>_xlfn.TEXTBEFORE(T13,"k")*1000/(5*(1+_xlfn.TEXTBEFORE(_xlfn.TEXTAFTER(U$2,"+"),"%")/100)*1.25)</f>
        <v>646.57534246575347</v>
      </c>
      <c r="V13" s="46">
        <f t="shared" si="2"/>
        <v>1182.068620085149</v>
      </c>
      <c r="W13" s="22">
        <v>60</v>
      </c>
      <c r="X13" s="12">
        <f t="shared" si="3"/>
        <v>240</v>
      </c>
      <c r="Y13" s="12">
        <v>0</v>
      </c>
      <c r="Z13" s="12">
        <f t="shared" si="5"/>
        <v>2</v>
      </c>
      <c r="AA13" s="12">
        <v>0</v>
      </c>
      <c r="AB13" s="12">
        <f t="shared" si="4"/>
        <v>10</v>
      </c>
    </row>
    <row r="14" spans="2:30" x14ac:dyDescent="0.2">
      <c r="B14" s="32">
        <f>B13+200000</f>
        <v>800000</v>
      </c>
      <c r="C14" s="38"/>
      <c r="D14" s="36">
        <v>30</v>
      </c>
      <c r="E14" s="12">
        <f t="shared" si="0"/>
        <v>450</v>
      </c>
      <c r="F14" s="12">
        <v>0</v>
      </c>
      <c r="G14" s="12">
        <f>G13+F14</f>
        <v>2</v>
      </c>
      <c r="H14" s="12"/>
      <c r="I14" s="23"/>
      <c r="K14" s="14">
        <v>5000000</v>
      </c>
      <c r="L14" s="38"/>
      <c r="M14" s="22">
        <v>30</v>
      </c>
      <c r="N14" s="12">
        <f t="shared" si="1"/>
        <v>420</v>
      </c>
      <c r="O14" s="12">
        <v>0</v>
      </c>
      <c r="P14" s="12">
        <f>P13+O14</f>
        <v>2</v>
      </c>
      <c r="Q14" s="12"/>
      <c r="R14" s="23"/>
      <c r="T14" s="32" t="s">
        <v>81</v>
      </c>
      <c r="U14" s="50">
        <f>_xlfn.TEXTBEFORE(T14,"k")*1000/(5*(1+_xlfn.TEXTBEFORE(_xlfn.TEXTAFTER(U$2,"+"),"%")/100)*1.25)</f>
        <v>701.36986301369859</v>
      </c>
      <c r="V14" s="46">
        <f t="shared" si="2"/>
        <v>1282.2439268720261</v>
      </c>
      <c r="W14" s="22">
        <v>0</v>
      </c>
      <c r="X14" s="12">
        <f t="shared" si="3"/>
        <v>240</v>
      </c>
      <c r="Y14" s="12">
        <v>0</v>
      </c>
      <c r="Z14" s="12">
        <f t="shared" si="5"/>
        <v>2</v>
      </c>
      <c r="AA14" s="12">
        <v>4</v>
      </c>
      <c r="AB14" s="12">
        <f t="shared" si="4"/>
        <v>14</v>
      </c>
    </row>
    <row r="15" spans="2:30" x14ac:dyDescent="0.2">
      <c r="B15" s="32">
        <f t="shared" ref="B15:B45" si="7">B14+200000</f>
        <v>1000000</v>
      </c>
      <c r="C15" s="38"/>
      <c r="D15" s="36">
        <v>30</v>
      </c>
      <c r="E15" s="12">
        <f t="shared" si="0"/>
        <v>480</v>
      </c>
      <c r="F15" s="12">
        <v>0</v>
      </c>
      <c r="G15" s="12">
        <f>G14+F15</f>
        <v>2</v>
      </c>
      <c r="H15" s="12"/>
      <c r="I15" s="23"/>
      <c r="K15" s="14">
        <v>6000000</v>
      </c>
      <c r="L15" s="38"/>
      <c r="M15" s="22">
        <v>30</v>
      </c>
      <c r="N15" s="12">
        <f t="shared" si="1"/>
        <v>450</v>
      </c>
      <c r="O15" s="12">
        <v>0</v>
      </c>
      <c r="P15" s="12">
        <f>P14+O15</f>
        <v>2</v>
      </c>
      <c r="Q15" s="12"/>
      <c r="R15" s="23"/>
      <c r="T15" s="32" t="s">
        <v>82</v>
      </c>
      <c r="U15" s="50">
        <f>_xlfn.TEXTBEFORE(T15,"k")*1000/(5*(1+_xlfn.TEXTBEFORE(_xlfn.TEXTAFTER(U$2,"+"),"%")/100)*1.25)</f>
        <v>761.64383561643831</v>
      </c>
      <c r="V15" s="46">
        <f t="shared" si="2"/>
        <v>1392.4367643375908</v>
      </c>
      <c r="W15" s="22">
        <v>0</v>
      </c>
      <c r="X15" s="12">
        <f t="shared" si="3"/>
        <v>240</v>
      </c>
      <c r="Y15" s="12">
        <v>1</v>
      </c>
      <c r="Z15" s="12">
        <f t="shared" si="5"/>
        <v>3</v>
      </c>
      <c r="AA15" s="12">
        <v>0</v>
      </c>
      <c r="AB15" s="12">
        <f t="shared" si="4"/>
        <v>14</v>
      </c>
    </row>
    <row r="16" spans="2:30" x14ac:dyDescent="0.2">
      <c r="B16" s="32">
        <f t="shared" si="7"/>
        <v>1200000</v>
      </c>
      <c r="C16" s="38"/>
      <c r="D16" s="36">
        <v>60</v>
      </c>
      <c r="E16" s="12">
        <f t="shared" si="0"/>
        <v>540</v>
      </c>
      <c r="F16" s="12">
        <v>0</v>
      </c>
      <c r="G16" s="12">
        <f>G15+F16</f>
        <v>2</v>
      </c>
      <c r="H16" s="12"/>
      <c r="I16" s="23"/>
      <c r="K16" s="14">
        <v>7000000</v>
      </c>
      <c r="L16" s="38"/>
      <c r="M16" s="22">
        <v>60</v>
      </c>
      <c r="N16" s="12">
        <f t="shared" si="1"/>
        <v>510</v>
      </c>
      <c r="O16" s="12">
        <v>0</v>
      </c>
      <c r="P16" s="12">
        <f>P15+O16</f>
        <v>2</v>
      </c>
      <c r="Q16" s="12"/>
      <c r="R16" s="23"/>
      <c r="T16" s="32" t="s">
        <v>83</v>
      </c>
      <c r="U16" s="50">
        <f>_xlfn.TEXTBEFORE(T16,"k")*1000/(5*(1+_xlfn.TEXTBEFORE(_xlfn.TEXTAFTER(U$2,"+"),"%")/100)*1.25)</f>
        <v>827.39726027397262</v>
      </c>
      <c r="V16" s="46">
        <f t="shared" si="2"/>
        <v>1512.6471324818433</v>
      </c>
      <c r="W16" s="22">
        <v>60</v>
      </c>
      <c r="X16" s="12">
        <f t="shared" si="3"/>
        <v>300</v>
      </c>
      <c r="Y16" s="12">
        <v>0</v>
      </c>
      <c r="Z16" s="12">
        <f t="shared" si="5"/>
        <v>3</v>
      </c>
      <c r="AA16" s="12">
        <v>0</v>
      </c>
      <c r="AB16" s="12">
        <f t="shared" si="4"/>
        <v>14</v>
      </c>
    </row>
    <row r="17" spans="2:28" x14ac:dyDescent="0.2">
      <c r="B17" s="32">
        <f t="shared" si="7"/>
        <v>1400000</v>
      </c>
      <c r="C17" s="38"/>
      <c r="D17" s="36">
        <v>120</v>
      </c>
      <c r="E17" s="12">
        <f t="shared" si="0"/>
        <v>660</v>
      </c>
      <c r="F17" s="12">
        <v>3</v>
      </c>
      <c r="G17" s="12">
        <f>G16+F17</f>
        <v>5</v>
      </c>
      <c r="H17" s="12"/>
      <c r="I17" s="23"/>
      <c r="K17" s="14">
        <v>8000000</v>
      </c>
      <c r="L17" s="38"/>
      <c r="M17" s="22">
        <v>120</v>
      </c>
      <c r="N17" s="12">
        <f t="shared" si="1"/>
        <v>630</v>
      </c>
      <c r="O17" s="12">
        <v>3</v>
      </c>
      <c r="P17" s="12">
        <f>P16+O17</f>
        <v>5</v>
      </c>
      <c r="Q17" s="12"/>
      <c r="R17" s="23"/>
      <c r="T17" s="32" t="s">
        <v>84</v>
      </c>
      <c r="U17" s="50">
        <f>_xlfn.TEXTBEFORE(T17,"k")*1000/(5*(1+_xlfn.TEXTBEFORE(_xlfn.TEXTAFTER(U$2,"+"),"%")/100)*1.25)</f>
        <v>876.71232876712327</v>
      </c>
      <c r="V17" s="46">
        <f t="shared" si="2"/>
        <v>1602.8049085900325</v>
      </c>
      <c r="W17" s="22">
        <v>0</v>
      </c>
      <c r="X17" s="12">
        <f t="shared" si="3"/>
        <v>300</v>
      </c>
      <c r="Y17" s="12">
        <v>0</v>
      </c>
      <c r="Z17" s="12">
        <f t="shared" si="5"/>
        <v>3</v>
      </c>
      <c r="AA17" s="12">
        <v>4</v>
      </c>
      <c r="AB17" s="12">
        <f t="shared" si="4"/>
        <v>18</v>
      </c>
    </row>
    <row r="18" spans="2:28" x14ac:dyDescent="0.2">
      <c r="B18" s="32">
        <f t="shared" si="7"/>
        <v>1600000</v>
      </c>
      <c r="C18" s="38"/>
      <c r="D18" s="36">
        <v>120</v>
      </c>
      <c r="E18" s="12">
        <f t="shared" si="0"/>
        <v>780</v>
      </c>
      <c r="F18" s="12">
        <v>0</v>
      </c>
      <c r="G18" s="12">
        <f>G17+F18</f>
        <v>5</v>
      </c>
      <c r="H18" s="12"/>
      <c r="I18" s="23"/>
      <c r="K18" s="14">
        <v>8400000</v>
      </c>
      <c r="L18" s="38"/>
      <c r="M18" s="22">
        <v>120</v>
      </c>
      <c r="N18" s="12">
        <f t="shared" si="1"/>
        <v>750</v>
      </c>
      <c r="O18" s="12">
        <v>0</v>
      </c>
      <c r="P18" s="12">
        <f>P17+O18</f>
        <v>5</v>
      </c>
      <c r="Q18" s="12"/>
      <c r="R18" s="23"/>
      <c r="T18" s="32" t="s">
        <v>85</v>
      </c>
      <c r="U18" s="50">
        <f>_xlfn.TEXTBEFORE(T18,"k")*1000/(5*(1+_xlfn.TEXTBEFORE(_xlfn.TEXTAFTER(U$2,"+"),"%")/100)*1.25)</f>
        <v>389.04109589041099</v>
      </c>
      <c r="V18" s="46">
        <f t="shared" si="2"/>
        <v>711.24467818682706</v>
      </c>
      <c r="W18" s="22">
        <v>0</v>
      </c>
      <c r="X18" s="12">
        <f t="shared" si="3"/>
        <v>300</v>
      </c>
      <c r="Y18" s="12">
        <v>0</v>
      </c>
      <c r="Z18" s="12">
        <f t="shared" si="5"/>
        <v>3</v>
      </c>
      <c r="AA18" s="12">
        <v>0</v>
      </c>
      <c r="AB18" s="12">
        <f t="shared" si="4"/>
        <v>18</v>
      </c>
    </row>
    <row r="19" spans="2:28" x14ac:dyDescent="0.2">
      <c r="B19" s="32">
        <f t="shared" si="7"/>
        <v>1800000</v>
      </c>
      <c r="C19" s="38"/>
      <c r="D19" s="36">
        <v>120</v>
      </c>
      <c r="E19" s="12">
        <f t="shared" si="0"/>
        <v>900</v>
      </c>
      <c r="F19" s="12">
        <v>0</v>
      </c>
      <c r="G19" s="12">
        <f>G18+F19</f>
        <v>5</v>
      </c>
      <c r="H19" s="12"/>
      <c r="I19" s="23"/>
      <c r="K19" s="14">
        <v>8800000</v>
      </c>
      <c r="L19" s="38"/>
      <c r="M19" s="22">
        <v>120</v>
      </c>
      <c r="N19" s="12">
        <f t="shared" si="1"/>
        <v>870</v>
      </c>
      <c r="O19" s="12">
        <v>0</v>
      </c>
      <c r="P19" s="12">
        <f>P18+O19</f>
        <v>5</v>
      </c>
      <c r="Q19" s="12"/>
      <c r="R19" s="23"/>
      <c r="T19" s="32" t="s">
        <v>86</v>
      </c>
      <c r="U19" s="50">
        <f>_xlfn.TEXTBEFORE(T19,"k")*1000/(5*(1+_xlfn.TEXTBEFORE(_xlfn.TEXTAFTER(U$2,"+"),"%")/100)*1.25)</f>
        <v>997.2602739726027</v>
      </c>
      <c r="V19" s="46">
        <f t="shared" si="2"/>
        <v>1823.1905835211619</v>
      </c>
      <c r="W19" s="22">
        <v>60</v>
      </c>
      <c r="X19" s="12">
        <f t="shared" si="3"/>
        <v>360</v>
      </c>
      <c r="Y19" s="12">
        <v>0</v>
      </c>
      <c r="Z19" s="12">
        <f t="shared" si="5"/>
        <v>3</v>
      </c>
      <c r="AA19" s="12">
        <v>0</v>
      </c>
      <c r="AB19" s="12">
        <f t="shared" si="4"/>
        <v>18</v>
      </c>
    </row>
    <row r="20" spans="2:28" x14ac:dyDescent="0.2">
      <c r="B20" s="32">
        <f t="shared" si="7"/>
        <v>2000000</v>
      </c>
      <c r="C20" s="38"/>
      <c r="D20" s="36">
        <v>120</v>
      </c>
      <c r="E20" s="12">
        <f t="shared" si="0"/>
        <v>1020</v>
      </c>
      <c r="F20" s="12">
        <v>0</v>
      </c>
      <c r="G20" s="12">
        <f>G19+F20</f>
        <v>5</v>
      </c>
      <c r="H20" s="12"/>
      <c r="I20" s="23"/>
      <c r="K20" s="14">
        <v>9200000</v>
      </c>
      <c r="L20" s="38"/>
      <c r="M20" s="22">
        <v>120</v>
      </c>
      <c r="N20" s="12">
        <f t="shared" si="1"/>
        <v>990</v>
      </c>
      <c r="O20" s="12">
        <v>0</v>
      </c>
      <c r="P20" s="12">
        <f>P19+O20</f>
        <v>5</v>
      </c>
      <c r="Q20" s="12"/>
      <c r="R20" s="23"/>
      <c r="T20" s="32" t="s">
        <v>87</v>
      </c>
      <c r="U20" s="50">
        <f>_xlfn.TEXTBEFORE(T20,"k")*1000/(5*(1+_xlfn.TEXTBEFORE(_xlfn.TEXTAFTER(U$2,"+"),"%")/100)*1.25)</f>
        <v>1057.5342465753424</v>
      </c>
      <c r="V20" s="46">
        <f t="shared" si="2"/>
        <v>1933.3834209867266</v>
      </c>
      <c r="W20" s="22">
        <v>0</v>
      </c>
      <c r="X20" s="12">
        <f t="shared" si="3"/>
        <v>360</v>
      </c>
      <c r="Y20" s="12">
        <v>1</v>
      </c>
      <c r="Z20" s="12">
        <f t="shared" si="5"/>
        <v>4</v>
      </c>
      <c r="AA20" s="12">
        <v>0</v>
      </c>
      <c r="AB20" s="12">
        <f t="shared" si="4"/>
        <v>18</v>
      </c>
    </row>
    <row r="21" spans="2:28" x14ac:dyDescent="0.2">
      <c r="B21" s="32">
        <f t="shared" si="7"/>
        <v>2200000</v>
      </c>
      <c r="C21" s="38"/>
      <c r="D21" s="36">
        <v>150</v>
      </c>
      <c r="E21" s="12">
        <f t="shared" si="0"/>
        <v>1170</v>
      </c>
      <c r="F21" s="12">
        <v>0</v>
      </c>
      <c r="G21" s="12">
        <f>G20+F21</f>
        <v>5</v>
      </c>
      <c r="H21" s="12"/>
      <c r="I21" s="23"/>
      <c r="K21" s="14">
        <v>9600000</v>
      </c>
      <c r="L21" s="38"/>
      <c r="M21" s="22">
        <v>150</v>
      </c>
      <c r="N21" s="12">
        <f t="shared" si="1"/>
        <v>1140</v>
      </c>
      <c r="O21" s="12">
        <v>0</v>
      </c>
      <c r="P21" s="12">
        <f>P20+O21</f>
        <v>5</v>
      </c>
      <c r="Q21" s="12"/>
      <c r="R21" s="23"/>
      <c r="T21" s="32" t="s">
        <v>88</v>
      </c>
      <c r="U21" s="50">
        <f>_xlfn.TEXTBEFORE(T21,"k")*1000/(5*(1+_xlfn.TEXTBEFORE(_xlfn.TEXTAFTER(U$2,"+"),"%")/100)*1.25)</f>
        <v>1095.8904109589041</v>
      </c>
      <c r="V21" s="46">
        <f t="shared" si="2"/>
        <v>2003.5061357375407</v>
      </c>
      <c r="W21" s="22">
        <v>0</v>
      </c>
      <c r="X21" s="12">
        <f t="shared" si="3"/>
        <v>360</v>
      </c>
      <c r="Y21" s="12">
        <v>0</v>
      </c>
      <c r="Z21" s="12">
        <f t="shared" si="5"/>
        <v>4</v>
      </c>
      <c r="AA21" s="12">
        <v>4</v>
      </c>
      <c r="AB21" s="12">
        <f t="shared" si="4"/>
        <v>22</v>
      </c>
    </row>
    <row r="22" spans="2:28" x14ac:dyDescent="0.2">
      <c r="B22" s="32">
        <f t="shared" si="7"/>
        <v>2400000</v>
      </c>
      <c r="C22" s="38"/>
      <c r="D22" s="36">
        <v>150</v>
      </c>
      <c r="E22" s="12">
        <f t="shared" si="0"/>
        <v>1320</v>
      </c>
      <c r="F22" s="12">
        <v>0</v>
      </c>
      <c r="G22" s="12">
        <f>G21+F22</f>
        <v>5</v>
      </c>
      <c r="H22" s="12"/>
      <c r="I22" s="23"/>
      <c r="K22" s="14">
        <v>10000000</v>
      </c>
      <c r="L22" s="38"/>
      <c r="M22" s="22">
        <v>150</v>
      </c>
      <c r="N22" s="12">
        <f t="shared" si="1"/>
        <v>1290</v>
      </c>
      <c r="O22" s="12">
        <v>0</v>
      </c>
      <c r="P22" s="12">
        <f>P21+O22</f>
        <v>5</v>
      </c>
      <c r="Q22" s="12"/>
      <c r="R22" s="23"/>
      <c r="T22" s="32" t="s">
        <v>89</v>
      </c>
      <c r="U22" s="50">
        <f>_xlfn.TEXTBEFORE(T22,"k")*1000/(5*(1+_xlfn.TEXTBEFORE(_xlfn.TEXTAFTER(U$2,"+"),"%")/100)*1.25)</f>
        <v>1200</v>
      </c>
      <c r="V22" s="46">
        <f t="shared" si="2"/>
        <v>2193.8392186326073</v>
      </c>
      <c r="W22" s="22">
        <v>60</v>
      </c>
      <c r="X22" s="12">
        <f t="shared" si="3"/>
        <v>420</v>
      </c>
      <c r="Y22" s="12">
        <v>0</v>
      </c>
      <c r="Z22" s="12">
        <f t="shared" si="5"/>
        <v>4</v>
      </c>
      <c r="AA22" s="12">
        <v>0</v>
      </c>
      <c r="AB22" s="12">
        <f t="shared" si="4"/>
        <v>22</v>
      </c>
    </row>
    <row r="23" spans="2:28" x14ac:dyDescent="0.2">
      <c r="B23" s="32">
        <f t="shared" si="7"/>
        <v>2600000</v>
      </c>
      <c r="C23" s="38"/>
      <c r="D23" s="36">
        <v>240</v>
      </c>
      <c r="E23" s="12">
        <f t="shared" si="0"/>
        <v>1560</v>
      </c>
      <c r="F23" s="12">
        <v>0</v>
      </c>
      <c r="G23" s="12">
        <f>G22+F23</f>
        <v>5</v>
      </c>
      <c r="H23" s="12"/>
      <c r="I23" s="23"/>
      <c r="K23" s="14">
        <v>10400000</v>
      </c>
      <c r="L23" s="38"/>
      <c r="M23" s="22">
        <v>240</v>
      </c>
      <c r="N23" s="12">
        <f t="shared" si="1"/>
        <v>1530</v>
      </c>
      <c r="O23" s="12">
        <v>0</v>
      </c>
      <c r="P23" s="12">
        <f>P22+O23</f>
        <v>5</v>
      </c>
      <c r="Q23" s="12"/>
      <c r="R23" s="23"/>
      <c r="T23" s="32" t="s">
        <v>90</v>
      </c>
      <c r="U23" s="50">
        <f>_xlfn.TEXTBEFORE(T23,"k")*1000/(5*(1+_xlfn.TEXTBEFORE(_xlfn.TEXTAFTER(U$2,"+"),"%")/100)*1.25)</f>
        <v>1260.2739726027398</v>
      </c>
      <c r="V23" s="46">
        <f t="shared" si="2"/>
        <v>2304.0320560981718</v>
      </c>
      <c r="W23" s="22">
        <v>0</v>
      </c>
      <c r="X23" s="12">
        <f t="shared" si="3"/>
        <v>420</v>
      </c>
      <c r="Y23" s="12">
        <v>0</v>
      </c>
      <c r="Z23" s="12">
        <f t="shared" si="5"/>
        <v>4</v>
      </c>
      <c r="AA23" s="12">
        <v>4</v>
      </c>
      <c r="AB23" s="12">
        <f t="shared" si="4"/>
        <v>26</v>
      </c>
    </row>
    <row r="24" spans="2:28" x14ac:dyDescent="0.2">
      <c r="B24" s="32">
        <f t="shared" si="7"/>
        <v>2800000</v>
      </c>
      <c r="C24" s="38"/>
      <c r="D24" s="36">
        <v>120</v>
      </c>
      <c r="E24" s="12">
        <f t="shared" si="0"/>
        <v>1680</v>
      </c>
      <c r="F24" s="12">
        <v>0</v>
      </c>
      <c r="G24" s="12">
        <f>G23+F24</f>
        <v>5</v>
      </c>
      <c r="H24" s="12"/>
      <c r="I24" s="23"/>
      <c r="K24" s="14">
        <v>10800000</v>
      </c>
      <c r="L24" s="38"/>
      <c r="M24" s="22">
        <v>120</v>
      </c>
      <c r="N24" s="12">
        <f t="shared" si="1"/>
        <v>1650</v>
      </c>
      <c r="O24" s="12">
        <v>0</v>
      </c>
      <c r="P24" s="12">
        <f>P23+O24</f>
        <v>5</v>
      </c>
      <c r="Q24" s="12"/>
      <c r="R24" s="23"/>
      <c r="T24" s="32" t="s">
        <v>91</v>
      </c>
      <c r="U24" s="50">
        <f>_xlfn.TEXTBEFORE(T24,"k")*1000/(5*(1+_xlfn.TEXTBEFORE(_xlfn.TEXTAFTER(U$2,"+"),"%")/100)*1.25)</f>
        <v>1315.0684931506848</v>
      </c>
      <c r="V24" s="46">
        <f t="shared" si="2"/>
        <v>2404.207362885049</v>
      </c>
      <c r="W24" s="22">
        <v>60</v>
      </c>
      <c r="X24" s="12">
        <f t="shared" si="3"/>
        <v>480</v>
      </c>
      <c r="Y24" s="12">
        <v>0</v>
      </c>
      <c r="Z24" s="12">
        <f t="shared" si="5"/>
        <v>4</v>
      </c>
      <c r="AA24" s="12">
        <v>0</v>
      </c>
      <c r="AB24" s="12">
        <f t="shared" si="4"/>
        <v>26</v>
      </c>
    </row>
    <row r="25" spans="2:28" x14ac:dyDescent="0.2">
      <c r="B25" s="32">
        <f t="shared" si="7"/>
        <v>3000000</v>
      </c>
      <c r="C25" s="38"/>
      <c r="D25" s="36">
        <v>180</v>
      </c>
      <c r="E25" s="12">
        <f t="shared" si="0"/>
        <v>1860</v>
      </c>
      <c r="F25" s="12">
        <v>0</v>
      </c>
      <c r="G25" s="12">
        <f>G24+F25</f>
        <v>5</v>
      </c>
      <c r="H25" s="12"/>
      <c r="I25" s="23"/>
      <c r="K25" s="14">
        <v>11200000</v>
      </c>
      <c r="L25" s="38"/>
      <c r="M25" s="22">
        <v>180</v>
      </c>
      <c r="N25" s="12">
        <f t="shared" si="1"/>
        <v>1830</v>
      </c>
      <c r="O25" s="12">
        <v>0</v>
      </c>
      <c r="P25" s="12">
        <f>P24+O25</f>
        <v>5</v>
      </c>
      <c r="Q25" s="12"/>
      <c r="R25" s="23"/>
      <c r="T25" s="32" t="s">
        <v>92</v>
      </c>
      <c r="U25" s="50">
        <f>_xlfn.TEXTBEFORE(T25,"k")*1000/(5*(1+_xlfn.TEXTBEFORE(_xlfn.TEXTAFTER(U$2,"+"),"%")/100)*1.25)</f>
        <v>1375.3424657534247</v>
      </c>
      <c r="V25" s="46">
        <f t="shared" si="2"/>
        <v>2514.4002003506134</v>
      </c>
      <c r="W25" s="22">
        <v>0</v>
      </c>
      <c r="X25" s="12">
        <f t="shared" si="3"/>
        <v>480</v>
      </c>
      <c r="Y25" s="12">
        <v>1</v>
      </c>
      <c r="Z25" s="12">
        <f t="shared" si="5"/>
        <v>5</v>
      </c>
      <c r="AA25" s="12">
        <v>0</v>
      </c>
      <c r="AB25" s="12">
        <f t="shared" si="4"/>
        <v>26</v>
      </c>
    </row>
    <row r="26" spans="2:28" x14ac:dyDescent="0.2">
      <c r="B26" s="32">
        <f t="shared" si="7"/>
        <v>3200000</v>
      </c>
      <c r="C26" s="38"/>
      <c r="D26" s="36">
        <v>120</v>
      </c>
      <c r="E26" s="12">
        <f t="shared" si="0"/>
        <v>1980</v>
      </c>
      <c r="F26" s="12">
        <v>0</v>
      </c>
      <c r="G26" s="12">
        <f>G25+F26</f>
        <v>5</v>
      </c>
      <c r="H26" s="12"/>
      <c r="I26" s="23"/>
      <c r="K26" s="14">
        <v>11600000</v>
      </c>
      <c r="L26" s="38"/>
      <c r="M26" s="22">
        <v>120</v>
      </c>
      <c r="N26" s="12">
        <f t="shared" si="1"/>
        <v>1950</v>
      </c>
      <c r="O26" s="12">
        <v>0</v>
      </c>
      <c r="P26" s="12">
        <f>P25+O26</f>
        <v>5</v>
      </c>
      <c r="Q26" s="12"/>
      <c r="R26" s="23"/>
      <c r="T26" s="32" t="s">
        <v>93</v>
      </c>
      <c r="U26" s="50">
        <f>_xlfn.TEXTBEFORE(T26,"k")*1000/(5*(1+_xlfn.TEXTBEFORE(_xlfn.TEXTAFTER(U$2,"+"),"%")/100)*1.25)</f>
        <v>1424.6575342465753</v>
      </c>
      <c r="V26" s="46">
        <f t="shared" si="2"/>
        <v>2604.5579764588028</v>
      </c>
      <c r="W26" s="22">
        <v>0</v>
      </c>
      <c r="X26" s="12">
        <f t="shared" si="3"/>
        <v>480</v>
      </c>
      <c r="Y26" s="12">
        <v>0</v>
      </c>
      <c r="Z26" s="12">
        <f t="shared" si="5"/>
        <v>5</v>
      </c>
      <c r="AA26" s="12">
        <v>4</v>
      </c>
      <c r="AB26" s="12">
        <f t="shared" si="4"/>
        <v>30</v>
      </c>
    </row>
    <row r="27" spans="2:28" x14ac:dyDescent="0.2">
      <c r="B27" s="32">
        <f t="shared" si="7"/>
        <v>3400000</v>
      </c>
      <c r="C27" s="38"/>
      <c r="D27" s="36">
        <v>120</v>
      </c>
      <c r="E27" s="12">
        <f t="shared" si="0"/>
        <v>2100</v>
      </c>
      <c r="F27" s="12">
        <v>0</v>
      </c>
      <c r="G27" s="12">
        <f>G26+F27</f>
        <v>5</v>
      </c>
      <c r="H27" s="12"/>
      <c r="I27" s="23"/>
      <c r="K27" s="14">
        <v>12000000</v>
      </c>
      <c r="L27" s="38"/>
      <c r="M27" s="22">
        <v>120</v>
      </c>
      <c r="N27" s="12">
        <f t="shared" si="1"/>
        <v>2070</v>
      </c>
      <c r="O27" s="12">
        <v>0</v>
      </c>
      <c r="P27" s="12">
        <f>P26+O27</f>
        <v>5</v>
      </c>
      <c r="Q27" s="12"/>
      <c r="R27" s="23"/>
      <c r="T27" s="32" t="s">
        <v>94</v>
      </c>
      <c r="U27" s="50">
        <f>_xlfn.TEXTBEFORE(T27,"k")*1000/(5*(1+_xlfn.TEXTBEFORE(_xlfn.TEXTAFTER(U$2,"+"),"%")/100)*1.25)</f>
        <v>1479.4520547945206</v>
      </c>
      <c r="V27" s="46">
        <f t="shared" si="2"/>
        <v>2704.7332832456805</v>
      </c>
      <c r="W27" s="22">
        <v>60</v>
      </c>
      <c r="X27" s="12">
        <f t="shared" si="3"/>
        <v>540</v>
      </c>
      <c r="Y27" s="12">
        <v>0</v>
      </c>
      <c r="Z27" s="12">
        <f t="shared" si="5"/>
        <v>5</v>
      </c>
      <c r="AA27" s="12">
        <v>0</v>
      </c>
      <c r="AB27" s="12">
        <f t="shared" si="4"/>
        <v>30</v>
      </c>
    </row>
    <row r="28" spans="2:28" x14ac:dyDescent="0.2">
      <c r="B28" s="32">
        <f t="shared" si="7"/>
        <v>3600000</v>
      </c>
      <c r="C28" s="38"/>
      <c r="D28" s="36">
        <v>120</v>
      </c>
      <c r="E28" s="12">
        <f t="shared" si="0"/>
        <v>2220</v>
      </c>
      <c r="F28" s="12">
        <v>0</v>
      </c>
      <c r="G28" s="12">
        <f>G27+F28</f>
        <v>5</v>
      </c>
      <c r="H28" s="12"/>
      <c r="I28" s="23"/>
      <c r="K28" s="14">
        <v>12400000</v>
      </c>
      <c r="L28" s="38"/>
      <c r="M28" s="22">
        <v>120</v>
      </c>
      <c r="N28" s="12">
        <f t="shared" si="1"/>
        <v>2190</v>
      </c>
      <c r="O28" s="12">
        <v>0</v>
      </c>
      <c r="P28" s="12">
        <f>P27+O28</f>
        <v>5</v>
      </c>
      <c r="Q28" s="12"/>
      <c r="R28" s="23"/>
      <c r="T28" s="32" t="s">
        <v>95</v>
      </c>
      <c r="U28" s="50">
        <f>_xlfn.TEXTBEFORE(T28,"k")*1000/(5*(1+_xlfn.TEXTBEFORE(_xlfn.TEXTAFTER(U$2,"+"),"%")/100)*1.25)</f>
        <v>1819.1780821917807</v>
      </c>
      <c r="V28" s="46">
        <f t="shared" si="2"/>
        <v>3325.8201853243177</v>
      </c>
      <c r="W28" s="22">
        <v>75</v>
      </c>
      <c r="X28" s="12">
        <f t="shared" si="3"/>
        <v>615</v>
      </c>
      <c r="Y28" s="12">
        <v>0</v>
      </c>
      <c r="Z28" s="12">
        <f t="shared" si="5"/>
        <v>5</v>
      </c>
      <c r="AA28" s="12">
        <v>0</v>
      </c>
      <c r="AB28" s="12">
        <f t="shared" si="4"/>
        <v>30</v>
      </c>
    </row>
    <row r="29" spans="2:28" x14ac:dyDescent="0.2">
      <c r="B29" s="32">
        <f t="shared" si="7"/>
        <v>3800000</v>
      </c>
      <c r="C29" s="38"/>
      <c r="D29" s="36">
        <v>150</v>
      </c>
      <c r="E29" s="12">
        <f t="shared" si="0"/>
        <v>2370</v>
      </c>
      <c r="F29" s="12">
        <v>0</v>
      </c>
      <c r="G29" s="12">
        <f>G28+F29</f>
        <v>5</v>
      </c>
      <c r="H29" s="12"/>
      <c r="I29" s="23"/>
      <c r="K29" s="14">
        <v>12800000</v>
      </c>
      <c r="L29" s="38"/>
      <c r="M29" s="22">
        <v>150</v>
      </c>
      <c r="N29" s="12">
        <f t="shared" si="1"/>
        <v>2340</v>
      </c>
      <c r="O29" s="12">
        <v>0</v>
      </c>
      <c r="P29" s="12">
        <f>P28+O29</f>
        <v>5</v>
      </c>
      <c r="Q29" s="12"/>
      <c r="R29" s="23"/>
      <c r="T29" s="32" t="s">
        <v>96</v>
      </c>
      <c r="U29" s="50">
        <f>_xlfn.TEXTBEFORE(T29,"k")*1000/(5*(1+_xlfn.TEXTBEFORE(_xlfn.TEXTAFTER(U$2,"+"),"%")/100)*1.25)</f>
        <v>1923.2876712328766</v>
      </c>
      <c r="V29" s="46">
        <f t="shared" si="2"/>
        <v>3516.1532682193838</v>
      </c>
      <c r="W29" s="22">
        <v>0</v>
      </c>
      <c r="X29" s="12">
        <f t="shared" si="3"/>
        <v>615</v>
      </c>
      <c r="Y29" s="12">
        <v>1</v>
      </c>
      <c r="Z29" s="12">
        <f t="shared" si="5"/>
        <v>6</v>
      </c>
      <c r="AA29" s="12">
        <v>0</v>
      </c>
      <c r="AB29" s="12">
        <f t="shared" si="4"/>
        <v>30</v>
      </c>
    </row>
    <row r="30" spans="2:28" x14ac:dyDescent="0.2">
      <c r="B30" s="32">
        <f t="shared" si="7"/>
        <v>4000000</v>
      </c>
      <c r="C30" s="38"/>
      <c r="D30" s="36">
        <v>120</v>
      </c>
      <c r="E30" s="12">
        <f t="shared" si="0"/>
        <v>2490</v>
      </c>
      <c r="F30" s="12">
        <v>0</v>
      </c>
      <c r="G30" s="12">
        <f>G29+F30</f>
        <v>5</v>
      </c>
      <c r="H30" s="12"/>
      <c r="I30" s="23"/>
      <c r="K30" s="14">
        <v>13600000</v>
      </c>
      <c r="L30" s="38"/>
      <c r="M30" s="22">
        <v>120</v>
      </c>
      <c r="N30" s="12">
        <f t="shared" si="1"/>
        <v>2460</v>
      </c>
      <c r="O30" s="12">
        <v>0</v>
      </c>
      <c r="P30" s="12">
        <f>P29+O30</f>
        <v>5</v>
      </c>
      <c r="Q30" s="12"/>
      <c r="R30" s="23"/>
      <c r="T30" s="32" t="s">
        <v>97</v>
      </c>
      <c r="U30" s="50">
        <f>_xlfn.TEXTBEFORE(T30,"k")*1000/(5*(1+_xlfn.TEXTBEFORE(_xlfn.TEXTAFTER(U$2,"+"),"%")/100)*1.25)</f>
        <v>2027.3972602739725</v>
      </c>
      <c r="V30" s="46">
        <f t="shared" si="2"/>
        <v>3706.4863511144504</v>
      </c>
      <c r="W30" s="22">
        <v>0</v>
      </c>
      <c r="X30" s="12">
        <f t="shared" si="3"/>
        <v>615</v>
      </c>
      <c r="Y30" s="12">
        <v>0</v>
      </c>
      <c r="Z30" s="12">
        <f t="shared" si="5"/>
        <v>6</v>
      </c>
      <c r="AA30" s="12">
        <v>0</v>
      </c>
      <c r="AB30" s="12">
        <f t="shared" si="4"/>
        <v>30</v>
      </c>
    </row>
    <row r="31" spans="2:28" x14ac:dyDescent="0.2">
      <c r="B31" s="32">
        <f t="shared" si="7"/>
        <v>4200000</v>
      </c>
      <c r="C31" s="38"/>
      <c r="D31" s="36">
        <v>120</v>
      </c>
      <c r="E31" s="12">
        <f t="shared" si="0"/>
        <v>2610</v>
      </c>
      <c r="F31" s="12">
        <v>0</v>
      </c>
      <c r="G31" s="12">
        <f>G30+F31</f>
        <v>5</v>
      </c>
      <c r="H31" s="12"/>
      <c r="I31" s="23"/>
      <c r="K31" s="14">
        <v>14400000</v>
      </c>
      <c r="L31" s="38"/>
      <c r="M31" s="22">
        <v>120</v>
      </c>
      <c r="N31" s="12">
        <f t="shared" si="1"/>
        <v>2580</v>
      </c>
      <c r="O31" s="12">
        <v>0</v>
      </c>
      <c r="P31" s="12">
        <f>P30+O31</f>
        <v>5</v>
      </c>
      <c r="Q31" s="12"/>
      <c r="R31" s="23"/>
      <c r="T31" s="32" t="s">
        <v>98</v>
      </c>
      <c r="U31" s="50">
        <f>_xlfn.TEXTBEFORE(T31,"k")*1000/(5*(1+_xlfn.TEXTBEFORE(_xlfn.TEXTAFTER(U$2,"+"),"%")/100)*1.25)</f>
        <v>2252.0547945205481</v>
      </c>
      <c r="V31" s="46">
        <f t="shared" si="2"/>
        <v>4117.2051089406468</v>
      </c>
      <c r="W31" s="22">
        <v>75</v>
      </c>
      <c r="X31" s="12">
        <f t="shared" si="3"/>
        <v>690</v>
      </c>
      <c r="Y31" s="12">
        <v>0</v>
      </c>
      <c r="Z31" s="12">
        <f t="shared" si="5"/>
        <v>6</v>
      </c>
      <c r="AA31" s="12">
        <v>0</v>
      </c>
      <c r="AB31" s="12">
        <f t="shared" si="4"/>
        <v>30</v>
      </c>
    </row>
    <row r="32" spans="2:28" x14ac:dyDescent="0.2">
      <c r="B32" s="32">
        <f t="shared" si="7"/>
        <v>4400000</v>
      </c>
      <c r="C32" s="38"/>
      <c r="D32" s="36">
        <v>180</v>
      </c>
      <c r="E32" s="12">
        <f t="shared" si="0"/>
        <v>2790</v>
      </c>
      <c r="F32" s="12">
        <v>0</v>
      </c>
      <c r="G32" s="12">
        <f>G31+F32</f>
        <v>5</v>
      </c>
      <c r="H32" s="12"/>
      <c r="I32" s="23"/>
      <c r="K32" s="14">
        <v>15200000</v>
      </c>
      <c r="L32" s="38"/>
      <c r="M32" s="22">
        <v>180</v>
      </c>
      <c r="N32" s="12">
        <f t="shared" si="1"/>
        <v>2760</v>
      </c>
      <c r="O32" s="12">
        <v>0</v>
      </c>
      <c r="P32" s="12">
        <f>P31+O32</f>
        <v>5</v>
      </c>
      <c r="Q32" s="12"/>
      <c r="R32" s="23"/>
      <c r="T32" s="32" t="s">
        <v>99</v>
      </c>
      <c r="U32" s="50">
        <f>_xlfn.TEXTBEFORE(T32,"k")*1000/(5*(1+_xlfn.TEXTBEFORE(_xlfn.TEXTAFTER(U$2,"+"),"%")/100)*1.25)</f>
        <v>2350.6849315068494</v>
      </c>
      <c r="V32" s="46">
        <f t="shared" si="2"/>
        <v>4297.5206611570247</v>
      </c>
      <c r="W32" s="22">
        <v>90</v>
      </c>
      <c r="X32" s="12">
        <f t="shared" si="3"/>
        <v>780</v>
      </c>
      <c r="Y32" s="12">
        <v>0</v>
      </c>
      <c r="Z32" s="12">
        <f t="shared" si="5"/>
        <v>6</v>
      </c>
      <c r="AA32" s="12">
        <v>0</v>
      </c>
      <c r="AB32" s="12">
        <f t="shared" si="4"/>
        <v>30</v>
      </c>
    </row>
    <row r="33" spans="2:28" x14ac:dyDescent="0.2">
      <c r="B33" s="32">
        <f t="shared" si="7"/>
        <v>4600000</v>
      </c>
      <c r="C33" s="38"/>
      <c r="D33" s="36">
        <v>180</v>
      </c>
      <c r="E33" s="12">
        <f t="shared" si="0"/>
        <v>2970</v>
      </c>
      <c r="F33" s="12">
        <v>0</v>
      </c>
      <c r="G33" s="12">
        <f>G32+F33</f>
        <v>5</v>
      </c>
      <c r="H33" s="12"/>
      <c r="I33" s="23"/>
      <c r="K33" s="14">
        <v>16000000</v>
      </c>
      <c r="L33" s="38"/>
      <c r="M33" s="22">
        <v>180</v>
      </c>
      <c r="N33" s="12">
        <f t="shared" si="1"/>
        <v>2940</v>
      </c>
      <c r="O33" s="12">
        <v>0</v>
      </c>
      <c r="P33" s="12">
        <f>P32+O33</f>
        <v>5</v>
      </c>
      <c r="Q33" s="12"/>
      <c r="R33" s="23"/>
      <c r="T33" s="32" t="s">
        <v>100</v>
      </c>
      <c r="U33" s="50">
        <f>_xlfn.TEXTBEFORE(T33,"k")*1000/(5*(1+_xlfn.TEXTBEFORE(_xlfn.TEXTAFTER(U$2,"+"),"%")/100)*1.25)</f>
        <v>2449.3150684931506</v>
      </c>
      <c r="V33" s="46">
        <f t="shared" si="2"/>
        <v>4477.8362133734036</v>
      </c>
      <c r="W33" s="22">
        <v>0</v>
      </c>
      <c r="X33" s="12">
        <f t="shared" si="3"/>
        <v>780</v>
      </c>
      <c r="Y33" s="12">
        <v>1</v>
      </c>
      <c r="Z33" s="12">
        <f t="shared" si="5"/>
        <v>7</v>
      </c>
      <c r="AA33" s="12">
        <v>0</v>
      </c>
      <c r="AB33" s="12">
        <f t="shared" si="4"/>
        <v>30</v>
      </c>
    </row>
    <row r="34" spans="2:28" x14ac:dyDescent="0.2">
      <c r="B34" s="32">
        <f t="shared" si="7"/>
        <v>4800000</v>
      </c>
      <c r="C34" s="38"/>
      <c r="D34" s="36">
        <v>180</v>
      </c>
      <c r="E34" s="12">
        <f t="shared" si="0"/>
        <v>3150</v>
      </c>
      <c r="F34" s="12">
        <v>0</v>
      </c>
      <c r="G34" s="12">
        <f>G33+F34</f>
        <v>5</v>
      </c>
      <c r="H34" s="12"/>
      <c r="I34" s="23"/>
      <c r="K34" s="14">
        <v>16800000</v>
      </c>
      <c r="L34" s="38"/>
      <c r="M34" s="22">
        <v>180</v>
      </c>
      <c r="N34" s="12">
        <f t="shared" si="1"/>
        <v>3120</v>
      </c>
      <c r="O34" s="12">
        <v>0</v>
      </c>
      <c r="P34" s="12">
        <f>P33+O34</f>
        <v>5</v>
      </c>
      <c r="Q34" s="12"/>
      <c r="R34" s="23"/>
      <c r="T34" s="32" t="s">
        <v>170</v>
      </c>
      <c r="U34" s="50">
        <f>_xlfn.TEXTBEFORE(T34,"k")*1000/(5*(1+_xlfn.TEXTBEFORE(_xlfn.TEXTAFTER(U$2,"+"),"%")/100)*1.25)</f>
        <v>2657.5342465753424</v>
      </c>
      <c r="V34" s="46">
        <f t="shared" si="2"/>
        <v>4858.5023791635358</v>
      </c>
      <c r="W34" s="22">
        <v>90</v>
      </c>
      <c r="X34" s="12">
        <f t="shared" ref="X34" si="8">X33+W34</f>
        <v>870</v>
      </c>
      <c r="Y34" s="12">
        <v>1</v>
      </c>
      <c r="Z34" s="12">
        <f t="shared" si="5"/>
        <v>8</v>
      </c>
      <c r="AA34" s="12">
        <v>0</v>
      </c>
      <c r="AB34" s="12">
        <f t="shared" ref="AB34" si="9">AB33+AA34</f>
        <v>30</v>
      </c>
    </row>
    <row r="35" spans="2:28" x14ac:dyDescent="0.2">
      <c r="B35" s="32">
        <f t="shared" si="7"/>
        <v>5000000</v>
      </c>
      <c r="C35" s="38"/>
      <c r="D35" s="36">
        <v>240</v>
      </c>
      <c r="E35" s="12">
        <f t="shared" si="0"/>
        <v>3390</v>
      </c>
      <c r="F35" s="12">
        <v>0</v>
      </c>
      <c r="G35" s="12">
        <f>G34+F35</f>
        <v>5</v>
      </c>
      <c r="H35" s="12"/>
      <c r="I35" s="23"/>
      <c r="K35" s="14">
        <v>17600000</v>
      </c>
      <c r="L35" s="38"/>
      <c r="M35" s="22">
        <v>240</v>
      </c>
      <c r="N35" s="12">
        <f t="shared" si="1"/>
        <v>3360</v>
      </c>
      <c r="O35" s="12">
        <v>0</v>
      </c>
      <c r="P35" s="12">
        <f>P34+O35</f>
        <v>5</v>
      </c>
      <c r="Q35" s="12"/>
      <c r="R35" s="23"/>
      <c r="T35" s="32" t="s">
        <v>101</v>
      </c>
      <c r="U35" s="50">
        <f>_xlfn.TEXTBEFORE(T35,"k")*1000/(5*(1+_xlfn.TEXTBEFORE(_xlfn.TEXTAFTER(U$2,"+"),"%")/100)*1.25)</f>
        <v>2926.027397260274</v>
      </c>
      <c r="V35" s="46">
        <f t="shared" si="2"/>
        <v>5349.3613824192335</v>
      </c>
      <c r="W35" s="22">
        <v>135</v>
      </c>
      <c r="X35" s="12">
        <f>X33+W35</f>
        <v>915</v>
      </c>
      <c r="Y35" s="12">
        <v>0</v>
      </c>
      <c r="Z35" s="12">
        <f t="shared" si="5"/>
        <v>8</v>
      </c>
      <c r="AA35" s="12">
        <v>0</v>
      </c>
      <c r="AB35" s="12">
        <f>AB33+AA35</f>
        <v>30</v>
      </c>
    </row>
    <row r="36" spans="2:28" x14ac:dyDescent="0.2">
      <c r="B36" s="32">
        <f t="shared" si="7"/>
        <v>5200000</v>
      </c>
      <c r="C36" s="38"/>
      <c r="D36" s="36">
        <v>120</v>
      </c>
      <c r="E36" s="12">
        <f t="shared" si="0"/>
        <v>3510</v>
      </c>
      <c r="F36" s="12">
        <v>0</v>
      </c>
      <c r="G36" s="12">
        <f>G35+F36</f>
        <v>5</v>
      </c>
      <c r="H36" s="12"/>
      <c r="I36" s="23"/>
      <c r="K36" s="14">
        <v>18400000</v>
      </c>
      <c r="L36" s="38"/>
      <c r="M36" s="22">
        <v>120</v>
      </c>
      <c r="N36" s="12">
        <f t="shared" si="1"/>
        <v>3480</v>
      </c>
      <c r="O36" s="12">
        <v>0</v>
      </c>
      <c r="P36" s="12">
        <f>P35+O36</f>
        <v>5</v>
      </c>
      <c r="Q36" s="12"/>
      <c r="R36" s="23"/>
      <c r="T36" s="32" t="s">
        <v>102</v>
      </c>
      <c r="U36" s="50">
        <f>_xlfn.TEXTBEFORE(T36,"k")*1000/(5*(1+_xlfn.TEXTBEFORE(_xlfn.TEXTAFTER(U$2,"+"),"%")/100)*1.25)</f>
        <v>3156.1643835616437</v>
      </c>
      <c r="V36" s="46">
        <f t="shared" si="2"/>
        <v>5770.0976709241177</v>
      </c>
      <c r="W36" s="22">
        <v>0</v>
      </c>
      <c r="X36" s="12">
        <f>X35+W36</f>
        <v>915</v>
      </c>
      <c r="Y36" s="12">
        <v>0</v>
      </c>
      <c r="Z36" s="12">
        <f t="shared" si="5"/>
        <v>8</v>
      </c>
      <c r="AA36" s="12">
        <v>10</v>
      </c>
      <c r="AB36" s="12">
        <f>AB35+AA36</f>
        <v>40</v>
      </c>
    </row>
    <row r="37" spans="2:28" x14ac:dyDescent="0.2">
      <c r="B37" s="32">
        <f t="shared" si="7"/>
        <v>5400000</v>
      </c>
      <c r="C37" s="38"/>
      <c r="D37" s="36">
        <v>120</v>
      </c>
      <c r="E37" s="12">
        <f t="shared" si="0"/>
        <v>3630</v>
      </c>
      <c r="F37" s="12">
        <v>0</v>
      </c>
      <c r="G37" s="12">
        <f>G36+F37</f>
        <v>5</v>
      </c>
      <c r="H37" s="12"/>
      <c r="I37" s="23"/>
      <c r="K37" s="14">
        <v>19200000</v>
      </c>
      <c r="L37" s="38"/>
      <c r="M37" s="22">
        <v>120</v>
      </c>
      <c r="N37" s="12">
        <f t="shared" si="1"/>
        <v>3600</v>
      </c>
      <c r="O37" s="12">
        <v>0</v>
      </c>
      <c r="P37" s="12">
        <f>P36+O37</f>
        <v>5</v>
      </c>
      <c r="Q37" s="12"/>
      <c r="R37" s="23"/>
      <c r="T37" s="32" t="s">
        <v>103</v>
      </c>
      <c r="U37" s="50">
        <f>_xlfn.TEXTBEFORE(T37,"k")*1000/(5*(1+_xlfn.TEXTBEFORE(_xlfn.TEXTAFTER(U$2,"+"),"%")/100)*1.25)</f>
        <v>3276.7123287671234</v>
      </c>
      <c r="V37" s="46">
        <f t="shared" si="2"/>
        <v>5990.4833458552457</v>
      </c>
      <c r="W37" s="22">
        <v>0</v>
      </c>
      <c r="X37" s="12">
        <f>X36+W37</f>
        <v>915</v>
      </c>
      <c r="Y37" s="12">
        <v>1</v>
      </c>
      <c r="Z37" s="12">
        <f t="shared" si="5"/>
        <v>9</v>
      </c>
      <c r="AA37" s="12">
        <v>0</v>
      </c>
      <c r="AB37" s="12">
        <f>AB36+AA37</f>
        <v>40</v>
      </c>
    </row>
    <row r="38" spans="2:28" x14ac:dyDescent="0.2">
      <c r="B38" s="32">
        <f t="shared" si="7"/>
        <v>5600000</v>
      </c>
      <c r="C38" s="38"/>
      <c r="D38" s="36">
        <v>120</v>
      </c>
      <c r="E38" s="12">
        <f t="shared" si="0"/>
        <v>3750</v>
      </c>
      <c r="F38" s="12">
        <v>0</v>
      </c>
      <c r="G38" s="12">
        <f>G37+F38</f>
        <v>5</v>
      </c>
      <c r="H38" s="12"/>
      <c r="I38" s="23"/>
      <c r="K38" s="14">
        <v>20000000</v>
      </c>
      <c r="L38" s="38"/>
      <c r="M38" s="22">
        <v>120</v>
      </c>
      <c r="N38" s="12">
        <f t="shared" si="1"/>
        <v>3720</v>
      </c>
      <c r="O38" s="12">
        <v>0</v>
      </c>
      <c r="P38" s="12">
        <f>P37+O38</f>
        <v>5</v>
      </c>
      <c r="Q38" s="12"/>
      <c r="R38" s="23"/>
      <c r="T38" s="32" t="s">
        <v>169</v>
      </c>
      <c r="U38" s="50">
        <f>_xlfn.TEXTBEFORE(T38,"k")*1000/(5*(1+_xlfn.TEXTBEFORE(_xlfn.TEXTAFTER(U$2,"+"),"%")/100)*1.25)</f>
        <v>3511.7808219178082</v>
      </c>
      <c r="V38" s="46">
        <f t="shared" si="2"/>
        <v>6420.2354119709498</v>
      </c>
      <c r="W38" s="22">
        <v>0</v>
      </c>
      <c r="X38" s="12">
        <f>X37+W38</f>
        <v>915</v>
      </c>
      <c r="Y38" s="12">
        <v>0</v>
      </c>
      <c r="Z38" s="12">
        <f t="shared" si="5"/>
        <v>9</v>
      </c>
      <c r="AA38" s="12">
        <v>0</v>
      </c>
      <c r="AB38" s="12">
        <f>AB37+AA38</f>
        <v>40</v>
      </c>
    </row>
    <row r="39" spans="2:28" x14ac:dyDescent="0.2">
      <c r="B39" s="32">
        <f t="shared" si="7"/>
        <v>5800000</v>
      </c>
      <c r="C39" s="38"/>
      <c r="D39" s="36">
        <v>150</v>
      </c>
      <c r="E39" s="12">
        <f t="shared" si="0"/>
        <v>3900</v>
      </c>
      <c r="F39" s="12">
        <v>0</v>
      </c>
      <c r="G39" s="12">
        <f>G38+F39</f>
        <v>5</v>
      </c>
      <c r="H39" s="12"/>
      <c r="I39" s="23"/>
      <c r="K39" s="14">
        <v>20800000</v>
      </c>
      <c r="L39" s="38"/>
      <c r="M39" s="22">
        <v>150</v>
      </c>
      <c r="N39" s="12">
        <f t="shared" si="1"/>
        <v>3870</v>
      </c>
      <c r="O39" s="12">
        <v>0</v>
      </c>
      <c r="P39" s="12">
        <f>P38+O39</f>
        <v>5</v>
      </c>
      <c r="Q39" s="12"/>
      <c r="R39" s="23"/>
      <c r="T39" s="32" t="s">
        <v>104</v>
      </c>
      <c r="U39" s="50">
        <f>_xlfn.TEXTBEFORE(T39,"k")*1000/(5*(1+_xlfn.TEXTBEFORE(_xlfn.TEXTAFTER(U$2,"+"),"%")/100)*1.25)</f>
        <v>3621.3698630136987</v>
      </c>
      <c r="V39" s="46">
        <f t="shared" si="2"/>
        <v>6620.5860255447033</v>
      </c>
      <c r="W39" s="22">
        <v>135</v>
      </c>
      <c r="X39" s="12">
        <f>X38+W39</f>
        <v>1050</v>
      </c>
      <c r="Y39" s="12">
        <v>0</v>
      </c>
      <c r="Z39" s="12">
        <f t="shared" si="5"/>
        <v>9</v>
      </c>
      <c r="AA39" s="12">
        <v>0</v>
      </c>
      <c r="AB39" s="12">
        <f>AB38+AA39</f>
        <v>40</v>
      </c>
    </row>
    <row r="40" spans="2:28" x14ac:dyDescent="0.2">
      <c r="B40" s="32">
        <f t="shared" si="7"/>
        <v>6000000</v>
      </c>
      <c r="C40" s="38"/>
      <c r="D40" s="36">
        <v>150</v>
      </c>
      <c r="E40" s="12">
        <f t="shared" si="0"/>
        <v>4050</v>
      </c>
      <c r="F40" s="12">
        <v>0</v>
      </c>
      <c r="G40" s="12">
        <f>G39+F40</f>
        <v>5</v>
      </c>
      <c r="H40" s="12"/>
      <c r="I40" s="23"/>
      <c r="K40" s="14">
        <v>21600000</v>
      </c>
      <c r="L40" s="38"/>
      <c r="M40" s="22">
        <v>150</v>
      </c>
      <c r="N40" s="12">
        <f t="shared" si="1"/>
        <v>4020</v>
      </c>
      <c r="O40" s="12">
        <v>0</v>
      </c>
      <c r="P40" s="12">
        <f>P39+O40</f>
        <v>5</v>
      </c>
      <c r="Q40" s="12"/>
      <c r="R40" s="23"/>
      <c r="T40" s="32" t="s">
        <v>105</v>
      </c>
      <c r="U40" s="50">
        <f>_xlfn.TEXTBEFORE(T40,"k")*1000/(5*(1+_xlfn.TEXTBEFORE(_xlfn.TEXTAFTER(U$2,"+"),"%")/100)*1.25)</f>
        <v>3852.0547945205481</v>
      </c>
      <c r="V40" s="46">
        <f t="shared" si="2"/>
        <v>7042.3240671174563</v>
      </c>
      <c r="W40" s="22">
        <v>0</v>
      </c>
      <c r="X40" s="12">
        <f>X39+W40</f>
        <v>1050</v>
      </c>
      <c r="Y40" s="12">
        <v>0</v>
      </c>
      <c r="Z40" s="12">
        <f t="shared" si="5"/>
        <v>9</v>
      </c>
      <c r="AA40" s="12">
        <v>10</v>
      </c>
      <c r="AB40" s="12">
        <f>AB39+AA40</f>
        <v>50</v>
      </c>
    </row>
    <row r="41" spans="2:28" x14ac:dyDescent="0.2">
      <c r="B41" s="32">
        <f t="shared" si="7"/>
        <v>6200000</v>
      </c>
      <c r="C41" s="38"/>
      <c r="D41" s="36">
        <v>150</v>
      </c>
      <c r="E41" s="12">
        <f t="shared" si="0"/>
        <v>4200</v>
      </c>
      <c r="F41" s="12">
        <v>0</v>
      </c>
      <c r="G41" s="12">
        <f>G40+F41</f>
        <v>5</v>
      </c>
      <c r="H41" s="12"/>
      <c r="I41" s="23"/>
      <c r="K41" s="14">
        <v>22400000</v>
      </c>
      <c r="L41" s="38"/>
      <c r="M41" s="22">
        <v>150</v>
      </c>
      <c r="N41" s="12">
        <f t="shared" si="1"/>
        <v>4170</v>
      </c>
      <c r="O41" s="12">
        <v>0</v>
      </c>
      <c r="P41" s="12">
        <f>P40+O41</f>
        <v>5</v>
      </c>
      <c r="Q41" s="12"/>
      <c r="R41" s="23"/>
      <c r="T41" s="32" t="s">
        <v>106</v>
      </c>
      <c r="U41" s="50">
        <f>_xlfn.TEXTBEFORE(T41,"k")*1000/(5*(1+_xlfn.TEXTBEFORE(_xlfn.TEXTAFTER(U$2,"+"),"%")/100)*1.25)</f>
        <v>4082.1917808219177</v>
      </c>
      <c r="V41" s="46">
        <f t="shared" si="2"/>
        <v>7463.0603556223386</v>
      </c>
      <c r="W41" s="22">
        <v>0</v>
      </c>
      <c r="X41" s="12">
        <f>X40+W41</f>
        <v>1050</v>
      </c>
      <c r="Y41" s="12">
        <v>1</v>
      </c>
      <c r="Z41" s="12">
        <f t="shared" si="5"/>
        <v>10</v>
      </c>
      <c r="AA41" s="12">
        <v>0</v>
      </c>
      <c r="AB41" s="12">
        <f>AB40+AA41</f>
        <v>50</v>
      </c>
    </row>
    <row r="42" spans="2:28" x14ac:dyDescent="0.2">
      <c r="B42" s="32">
        <f t="shared" si="7"/>
        <v>6400000</v>
      </c>
      <c r="C42" s="38"/>
      <c r="D42" s="36">
        <v>180</v>
      </c>
      <c r="E42" s="12">
        <f t="shared" si="0"/>
        <v>4380</v>
      </c>
      <c r="F42" s="12">
        <v>0</v>
      </c>
      <c r="G42" s="12">
        <f>G41+F42</f>
        <v>5</v>
      </c>
      <c r="H42" s="12"/>
      <c r="I42" s="23"/>
      <c r="K42" s="14">
        <v>23200000</v>
      </c>
      <c r="L42" s="38"/>
      <c r="M42" s="22">
        <v>180</v>
      </c>
      <c r="N42" s="12">
        <f t="shared" si="1"/>
        <v>4350</v>
      </c>
      <c r="O42" s="12">
        <v>0</v>
      </c>
      <c r="P42" s="12">
        <f>P41+O42</f>
        <v>5</v>
      </c>
      <c r="Q42" s="12"/>
      <c r="R42" s="23"/>
      <c r="T42" s="32" t="s">
        <v>107</v>
      </c>
      <c r="U42" s="50">
        <f>_xlfn.TEXTBEFORE(T42,"k")*1000/(5*(1+_xlfn.TEXTBEFORE(_xlfn.TEXTAFTER(U$2,"+"),"%")/100)*1.25)</f>
        <v>4169.3150684931506</v>
      </c>
      <c r="V42" s="46">
        <f t="shared" si="2"/>
        <v>7622.3390934134741</v>
      </c>
      <c r="W42" s="22">
        <v>150</v>
      </c>
      <c r="X42" s="12">
        <f>X41+W42</f>
        <v>1200</v>
      </c>
      <c r="Y42" s="12">
        <v>0</v>
      </c>
      <c r="Z42" s="12">
        <f t="shared" si="5"/>
        <v>10</v>
      </c>
      <c r="AA42" s="12">
        <v>0</v>
      </c>
      <c r="AB42" s="12">
        <f>AB41+AA42</f>
        <v>50</v>
      </c>
    </row>
    <row r="43" spans="2:28" x14ac:dyDescent="0.2">
      <c r="B43" s="32">
        <f t="shared" si="7"/>
        <v>6600000</v>
      </c>
      <c r="C43" s="38"/>
      <c r="D43" s="36">
        <v>240</v>
      </c>
      <c r="E43" s="12">
        <f t="shared" si="0"/>
        <v>4620</v>
      </c>
      <c r="F43" s="12">
        <v>5</v>
      </c>
      <c r="G43" s="12">
        <f>G42+F43</f>
        <v>10</v>
      </c>
      <c r="H43" s="12"/>
      <c r="I43" s="23"/>
      <c r="K43" s="14">
        <v>24000000</v>
      </c>
      <c r="L43" s="38"/>
      <c r="M43" s="22">
        <v>240</v>
      </c>
      <c r="N43" s="12">
        <f t="shared" si="1"/>
        <v>4590</v>
      </c>
      <c r="O43" s="12">
        <v>0</v>
      </c>
      <c r="P43" s="12">
        <f>P42+O43</f>
        <v>5</v>
      </c>
      <c r="Q43" s="12"/>
      <c r="R43" s="23"/>
      <c r="T43" s="32" t="s">
        <v>108</v>
      </c>
      <c r="U43" s="50">
        <f>_xlfn.TEXTBEFORE(T43,"k")*1000/(5*(1+_xlfn.TEXTBEFORE(_xlfn.TEXTAFTER(U$2,"+"),"%")/100)*1.25)</f>
        <v>4821.9178082191784</v>
      </c>
      <c r="V43" s="46">
        <f t="shared" si="2"/>
        <v>8815.4269972451802</v>
      </c>
      <c r="W43" s="22">
        <v>150</v>
      </c>
      <c r="X43" s="12">
        <f>X42+W43</f>
        <v>1350</v>
      </c>
      <c r="Y43" s="12">
        <v>0</v>
      </c>
      <c r="Z43" s="12">
        <f t="shared" si="5"/>
        <v>10</v>
      </c>
      <c r="AA43" s="12">
        <v>0</v>
      </c>
      <c r="AB43" s="12">
        <f>AB42+AA43</f>
        <v>50</v>
      </c>
    </row>
    <row r="44" spans="2:28" x14ac:dyDescent="0.2">
      <c r="B44" s="32">
        <f t="shared" si="7"/>
        <v>6800000</v>
      </c>
      <c r="C44" s="38"/>
      <c r="D44" s="36">
        <v>180</v>
      </c>
      <c r="E44" s="12">
        <f t="shared" si="0"/>
        <v>4800</v>
      </c>
      <c r="F44" s="12">
        <v>0</v>
      </c>
      <c r="G44" s="12">
        <f>G43+F44</f>
        <v>10</v>
      </c>
      <c r="H44" s="12"/>
      <c r="I44" s="23"/>
      <c r="K44" s="14">
        <v>26000000</v>
      </c>
      <c r="L44" s="38"/>
      <c r="M44" s="22">
        <v>180</v>
      </c>
      <c r="N44" s="12">
        <f t="shared" si="1"/>
        <v>4770</v>
      </c>
      <c r="O44" s="12">
        <v>0</v>
      </c>
      <c r="P44" s="12">
        <f>P43+O44</f>
        <v>5</v>
      </c>
      <c r="Q44" s="12"/>
      <c r="R44" s="23"/>
      <c r="T44" s="32" t="s">
        <v>109</v>
      </c>
      <c r="U44" s="50">
        <f>_xlfn.TEXTBEFORE(T44,"k")*1000/(5*(1+_xlfn.TEXTBEFORE(_xlfn.TEXTAFTER(U$2,"+"),"%")/100)*1.25)</f>
        <v>5205.4794520547948</v>
      </c>
      <c r="V44" s="46">
        <f t="shared" si="2"/>
        <v>9516.6541447533182</v>
      </c>
      <c r="W44" s="22">
        <v>0</v>
      </c>
      <c r="X44" s="12">
        <f>X43+W44</f>
        <v>1350</v>
      </c>
      <c r="Y44" s="12">
        <v>0</v>
      </c>
      <c r="Z44" s="12">
        <f t="shared" si="5"/>
        <v>10</v>
      </c>
      <c r="AA44" s="12">
        <v>7</v>
      </c>
      <c r="AB44" s="12">
        <f>AB43+AA44</f>
        <v>57</v>
      </c>
    </row>
    <row r="45" spans="2:28" x14ac:dyDescent="0.2">
      <c r="B45" s="32">
        <f t="shared" si="7"/>
        <v>7000000</v>
      </c>
      <c r="C45" s="38"/>
      <c r="D45" s="36">
        <v>180</v>
      </c>
      <c r="E45" s="12">
        <f t="shared" si="0"/>
        <v>4980</v>
      </c>
      <c r="F45" s="12">
        <v>0</v>
      </c>
      <c r="G45" s="12">
        <f>G44+F45</f>
        <v>10</v>
      </c>
      <c r="H45" s="12"/>
      <c r="I45" s="23"/>
      <c r="K45" s="14">
        <v>28000000</v>
      </c>
      <c r="L45" s="38"/>
      <c r="M45" s="22">
        <v>180</v>
      </c>
      <c r="N45" s="12">
        <f t="shared" si="1"/>
        <v>4950</v>
      </c>
      <c r="O45" s="12">
        <v>0</v>
      </c>
      <c r="P45" s="12">
        <f>P44+O45</f>
        <v>5</v>
      </c>
      <c r="Q45" s="12"/>
      <c r="R45" s="23"/>
      <c r="T45" s="32" t="s">
        <v>167</v>
      </c>
      <c r="U45" s="50">
        <f>_xlfn.TEXTBEFORE(T45,"k")*1000/(5*(1+_xlfn.TEXTBEFORE(_xlfn.TEXTAFTER(U$2,"+"),"%")/100)*1.25)</f>
        <v>5424.6575342465758</v>
      </c>
      <c r="V45" s="46">
        <f t="shared" si="2"/>
        <v>9917.3553719008269</v>
      </c>
      <c r="W45" s="22">
        <v>0</v>
      </c>
      <c r="X45" s="12">
        <f>X44+W45</f>
        <v>1350</v>
      </c>
      <c r="Y45" s="12">
        <v>1</v>
      </c>
      <c r="Z45" s="12">
        <f t="shared" si="5"/>
        <v>11</v>
      </c>
      <c r="AA45" s="12">
        <v>0</v>
      </c>
      <c r="AB45" s="12">
        <f>AB44+AA45</f>
        <v>57</v>
      </c>
    </row>
    <row r="46" spans="2:28" x14ac:dyDescent="0.2">
      <c r="B46" s="32">
        <f>B45+200000</f>
        <v>7200000</v>
      </c>
      <c r="C46" s="38"/>
      <c r="D46" s="36">
        <v>300</v>
      </c>
      <c r="E46" s="12">
        <f t="shared" si="0"/>
        <v>5280</v>
      </c>
      <c r="F46" s="12">
        <v>0</v>
      </c>
      <c r="G46" s="12">
        <f>G45+F46</f>
        <v>10</v>
      </c>
      <c r="H46" s="12"/>
      <c r="I46" s="23"/>
      <c r="K46" s="14">
        <v>30000000</v>
      </c>
      <c r="L46" s="38"/>
      <c r="M46" s="22">
        <v>300</v>
      </c>
      <c r="N46" s="12">
        <f t="shared" si="1"/>
        <v>5250</v>
      </c>
      <c r="O46" s="12">
        <v>0</v>
      </c>
      <c r="P46" s="12">
        <f>P45+O46</f>
        <v>5</v>
      </c>
      <c r="Q46" s="12"/>
      <c r="R46" s="23"/>
      <c r="T46" s="32" t="s">
        <v>110</v>
      </c>
      <c r="U46" s="50">
        <f>_xlfn.TEXTBEFORE(T46,"k")*1000/(5*(1+_xlfn.TEXTBEFORE(_xlfn.TEXTAFTER(U$2,"+"),"%")/100)*1.25)</f>
        <v>5753.4246575342468</v>
      </c>
      <c r="V46" s="46">
        <f t="shared" si="2"/>
        <v>10518.407212622089</v>
      </c>
      <c r="W46" s="22">
        <v>150</v>
      </c>
      <c r="X46" s="12">
        <f t="shared" ref="X46:X102" si="10">X45+W46</f>
        <v>1500</v>
      </c>
      <c r="Y46" s="12">
        <v>0</v>
      </c>
      <c r="Z46" s="12">
        <f t="shared" si="5"/>
        <v>11</v>
      </c>
      <c r="AA46" s="12">
        <v>0</v>
      </c>
      <c r="AB46" s="12">
        <f>AB45+AA46</f>
        <v>57</v>
      </c>
    </row>
    <row r="47" spans="2:28" x14ac:dyDescent="0.2">
      <c r="B47" s="32">
        <f>B46+300000</f>
        <v>7500000</v>
      </c>
      <c r="C47" s="38"/>
      <c r="D47" s="36">
        <v>180</v>
      </c>
      <c r="E47" s="12">
        <f t="shared" si="0"/>
        <v>5460</v>
      </c>
      <c r="F47" s="12">
        <v>0</v>
      </c>
      <c r="G47" s="12">
        <f>G46+F47</f>
        <v>10</v>
      </c>
      <c r="H47" s="12"/>
      <c r="I47" s="23"/>
      <c r="K47" s="14"/>
      <c r="L47" s="38"/>
      <c r="M47" s="22"/>
      <c r="N47" s="12">
        <f t="shared" si="1"/>
        <v>5250</v>
      </c>
      <c r="O47" s="12">
        <v>0</v>
      </c>
      <c r="P47" s="12">
        <f>P46+O47</f>
        <v>5</v>
      </c>
      <c r="Q47" s="12"/>
      <c r="R47" s="23"/>
      <c r="T47" s="32" t="s">
        <v>111</v>
      </c>
      <c r="U47" s="50">
        <f>_xlfn.TEXTBEFORE(T47,"k")*1000/(5*(1+_xlfn.TEXTBEFORE(_xlfn.TEXTAFTER(U$2,"+"),"%")/100)*1.25)</f>
        <v>6136.9863013698632</v>
      </c>
      <c r="V47" s="46">
        <f t="shared" si="2"/>
        <v>11219.634360130229</v>
      </c>
      <c r="W47" s="22">
        <v>120</v>
      </c>
      <c r="X47" s="12">
        <f t="shared" si="10"/>
        <v>1620</v>
      </c>
      <c r="Y47" s="12">
        <v>0</v>
      </c>
      <c r="Z47" s="12">
        <f t="shared" si="5"/>
        <v>11</v>
      </c>
      <c r="AA47" s="12">
        <v>0</v>
      </c>
      <c r="AB47" s="12">
        <f>AB46+AA47</f>
        <v>57</v>
      </c>
    </row>
    <row r="48" spans="2:28" x14ac:dyDescent="0.2">
      <c r="B48" s="32">
        <f>B47+500000</f>
        <v>8000000</v>
      </c>
      <c r="C48" s="38"/>
      <c r="D48" s="36">
        <v>360</v>
      </c>
      <c r="E48" s="12">
        <f t="shared" si="0"/>
        <v>5820</v>
      </c>
      <c r="F48" s="12">
        <v>5</v>
      </c>
      <c r="G48" s="12">
        <f>G47+F48</f>
        <v>15</v>
      </c>
      <c r="H48" s="12"/>
      <c r="I48" s="23"/>
      <c r="K48" s="14"/>
      <c r="L48" s="38"/>
      <c r="M48" s="22"/>
      <c r="N48" s="12">
        <f t="shared" si="1"/>
        <v>5250</v>
      </c>
      <c r="O48" s="12">
        <v>0</v>
      </c>
      <c r="P48" s="12">
        <f>P47+O48</f>
        <v>5</v>
      </c>
      <c r="Q48" s="12"/>
      <c r="R48" s="23"/>
      <c r="T48" s="32" t="s">
        <v>112</v>
      </c>
      <c r="U48" s="50">
        <f>_xlfn.TEXTBEFORE(T48,"k")*1000/(5*(1+_xlfn.TEXTBEFORE(_xlfn.TEXTAFTER(U$2,"+"),"%")/100)*1.25)</f>
        <v>6520.5479452054797</v>
      </c>
      <c r="V48" s="46">
        <f t="shared" si="2"/>
        <v>11920.861507638367</v>
      </c>
      <c r="W48" s="22">
        <v>0</v>
      </c>
      <c r="X48" s="12">
        <f t="shared" si="10"/>
        <v>1620</v>
      </c>
      <c r="Y48" s="12">
        <v>0</v>
      </c>
      <c r="Z48" s="12">
        <f t="shared" si="5"/>
        <v>11</v>
      </c>
      <c r="AA48" s="12">
        <v>7</v>
      </c>
      <c r="AB48" s="12">
        <f>AB47+AA48</f>
        <v>64</v>
      </c>
    </row>
    <row r="49" spans="2:28" x14ac:dyDescent="0.2">
      <c r="B49" s="32">
        <f t="shared" ref="B49:B72" si="11">B48+500000</f>
        <v>8500000</v>
      </c>
      <c r="C49" s="38"/>
      <c r="D49" s="36">
        <v>180</v>
      </c>
      <c r="E49" s="12">
        <f t="shared" si="0"/>
        <v>6000</v>
      </c>
      <c r="F49" s="12">
        <v>0</v>
      </c>
      <c r="G49" s="12">
        <f>G48+F49</f>
        <v>15</v>
      </c>
      <c r="H49" s="12"/>
      <c r="I49" s="23"/>
      <c r="K49" s="14"/>
      <c r="L49" s="38"/>
      <c r="M49" s="22"/>
      <c r="N49" s="12">
        <f t="shared" si="1"/>
        <v>5250</v>
      </c>
      <c r="O49" s="12">
        <v>0</v>
      </c>
      <c r="P49" s="12">
        <f>P48+O49</f>
        <v>5</v>
      </c>
      <c r="Q49" s="12"/>
      <c r="R49" s="23"/>
      <c r="T49" s="32" t="s">
        <v>113</v>
      </c>
      <c r="U49" s="50">
        <f>_xlfn.TEXTBEFORE(T49,"k")*1000/(5*(1+_xlfn.TEXTBEFORE(_xlfn.TEXTAFTER(U$2,"+"),"%")/100)*1.25)</f>
        <v>6849.3150684931506</v>
      </c>
      <c r="V49" s="46">
        <f t="shared" si="2"/>
        <v>12521.913348359629</v>
      </c>
      <c r="W49" s="22">
        <v>150</v>
      </c>
      <c r="X49" s="12">
        <f t="shared" si="10"/>
        <v>1770</v>
      </c>
      <c r="Y49" s="12">
        <v>0</v>
      </c>
      <c r="Z49" s="12">
        <f t="shared" si="5"/>
        <v>11</v>
      </c>
      <c r="AA49" s="12">
        <v>0</v>
      </c>
      <c r="AB49" s="12">
        <f>AB48+AA49</f>
        <v>64</v>
      </c>
    </row>
    <row r="50" spans="2:28" x14ac:dyDescent="0.2">
      <c r="B50" s="32">
        <f t="shared" si="11"/>
        <v>9000000</v>
      </c>
      <c r="C50" s="38"/>
      <c r="D50" s="36">
        <v>360</v>
      </c>
      <c r="E50" s="12">
        <f t="shared" si="0"/>
        <v>6360</v>
      </c>
      <c r="F50" s="12">
        <v>0</v>
      </c>
      <c r="G50" s="12">
        <f>G49+F50</f>
        <v>15</v>
      </c>
      <c r="H50" s="12"/>
      <c r="I50" s="23"/>
      <c r="K50" s="14"/>
      <c r="L50" s="38"/>
      <c r="M50" s="22"/>
      <c r="N50" s="12">
        <f t="shared" si="1"/>
        <v>5250</v>
      </c>
      <c r="O50" s="12">
        <v>0</v>
      </c>
      <c r="P50" s="12">
        <f>P49+O50</f>
        <v>5</v>
      </c>
      <c r="Q50" s="12"/>
      <c r="R50" s="23"/>
      <c r="T50" s="32" t="s">
        <v>114</v>
      </c>
      <c r="U50" s="50">
        <f>_xlfn.TEXTBEFORE(T50,"k")*1000/(5*(1+_xlfn.TEXTBEFORE(_xlfn.TEXTAFTER(U$2,"+"),"%")/100)*1.25)</f>
        <v>7123.2876712328771</v>
      </c>
      <c r="V50" s="46">
        <f t="shared" si="2"/>
        <v>13022.789882294015</v>
      </c>
      <c r="W50" s="22">
        <v>0</v>
      </c>
      <c r="X50" s="12">
        <f t="shared" si="10"/>
        <v>1770</v>
      </c>
      <c r="Y50" s="12">
        <v>1</v>
      </c>
      <c r="Z50" s="12">
        <f t="shared" si="5"/>
        <v>12</v>
      </c>
      <c r="AA50" s="12">
        <v>0</v>
      </c>
      <c r="AB50" s="12">
        <f>AB49+AA50</f>
        <v>64</v>
      </c>
    </row>
    <row r="51" spans="2:28" x14ac:dyDescent="0.2">
      <c r="B51" s="32">
        <f t="shared" si="11"/>
        <v>9500000</v>
      </c>
      <c r="C51" s="38"/>
      <c r="D51" s="36">
        <v>180</v>
      </c>
      <c r="E51" s="12">
        <f t="shared" si="0"/>
        <v>6540</v>
      </c>
      <c r="F51" s="12">
        <v>0</v>
      </c>
      <c r="G51" s="12">
        <f>G50+F51</f>
        <v>15</v>
      </c>
      <c r="H51" s="12"/>
      <c r="I51" s="23"/>
      <c r="K51" s="14"/>
      <c r="L51" s="38"/>
      <c r="M51" s="22"/>
      <c r="N51" s="12">
        <f t="shared" si="1"/>
        <v>5250</v>
      </c>
      <c r="O51" s="12">
        <v>0</v>
      </c>
      <c r="P51" s="12">
        <f>P50+O51</f>
        <v>5</v>
      </c>
      <c r="Q51" s="12"/>
      <c r="R51" s="23"/>
      <c r="T51" s="32" t="s">
        <v>115</v>
      </c>
      <c r="U51" s="50">
        <f>_xlfn.TEXTBEFORE(T51,"k")*1000/(5*(1+_xlfn.TEXTBEFORE(_xlfn.TEXTAFTER(U$2,"+"),"%")/100)*1.25)</f>
        <v>7452.0547945205481</v>
      </c>
      <c r="V51" s="46">
        <f t="shared" si="2"/>
        <v>13623.841723015279</v>
      </c>
      <c r="W51" s="22">
        <v>150</v>
      </c>
      <c r="X51" s="12">
        <f t="shared" si="10"/>
        <v>1920</v>
      </c>
      <c r="Y51" s="12">
        <v>0</v>
      </c>
      <c r="Z51" s="12">
        <f t="shared" si="5"/>
        <v>12</v>
      </c>
      <c r="AA51" s="12">
        <v>0</v>
      </c>
      <c r="AB51" s="12">
        <f>AB50+AA51</f>
        <v>64</v>
      </c>
    </row>
    <row r="52" spans="2:28" x14ac:dyDescent="0.2">
      <c r="B52" s="32">
        <f t="shared" si="11"/>
        <v>10000000</v>
      </c>
      <c r="C52" s="38"/>
      <c r="D52" s="36">
        <v>360</v>
      </c>
      <c r="E52" s="12">
        <f t="shared" si="0"/>
        <v>6900</v>
      </c>
      <c r="F52" s="12">
        <v>5</v>
      </c>
      <c r="G52" s="12">
        <f>G51+F52</f>
        <v>20</v>
      </c>
      <c r="H52" s="12"/>
      <c r="I52" s="23"/>
      <c r="K52" s="14"/>
      <c r="L52" s="38"/>
      <c r="M52" s="22"/>
      <c r="N52" s="12">
        <f t="shared" si="1"/>
        <v>5250</v>
      </c>
      <c r="O52" s="12">
        <v>0</v>
      </c>
      <c r="P52" s="12">
        <f>P51+O52</f>
        <v>5</v>
      </c>
      <c r="Q52" s="12"/>
      <c r="R52" s="23"/>
      <c r="T52" s="32" t="s">
        <v>116</v>
      </c>
      <c r="U52" s="50">
        <f>_xlfn.TEXTBEFORE(T52,"k")*1000/(5*(1+_xlfn.TEXTBEFORE(_xlfn.TEXTAFTER(U$2,"+"),"%")/100)*1.25)</f>
        <v>7780.821917808219</v>
      </c>
      <c r="V52" s="46">
        <f t="shared" si="2"/>
        <v>14224.893563736538</v>
      </c>
      <c r="W52" s="22">
        <v>0</v>
      </c>
      <c r="X52" s="12">
        <f t="shared" si="10"/>
        <v>1920</v>
      </c>
      <c r="Y52" s="12">
        <v>0</v>
      </c>
      <c r="Z52" s="12">
        <f t="shared" si="5"/>
        <v>12</v>
      </c>
      <c r="AA52" s="12">
        <v>7</v>
      </c>
      <c r="AB52" s="12">
        <f>AB51+AA52</f>
        <v>71</v>
      </c>
    </row>
    <row r="53" spans="2:28" x14ac:dyDescent="0.2">
      <c r="B53" s="32">
        <f t="shared" si="11"/>
        <v>10500000</v>
      </c>
      <c r="C53" s="38"/>
      <c r="D53" s="36">
        <v>180</v>
      </c>
      <c r="E53" s="12">
        <f t="shared" si="0"/>
        <v>7080</v>
      </c>
      <c r="F53" s="12">
        <v>0</v>
      </c>
      <c r="G53" s="12">
        <f>G52+F53</f>
        <v>20</v>
      </c>
      <c r="H53" s="12"/>
      <c r="I53" s="23"/>
      <c r="K53" s="14"/>
      <c r="L53" s="38"/>
      <c r="M53" s="22"/>
      <c r="N53" s="12">
        <f t="shared" si="1"/>
        <v>5250</v>
      </c>
      <c r="O53" s="12">
        <v>0</v>
      </c>
      <c r="P53" s="12">
        <f>P52+O53</f>
        <v>5</v>
      </c>
      <c r="Q53" s="12"/>
      <c r="R53" s="23"/>
      <c r="T53" s="32" t="s">
        <v>117</v>
      </c>
      <c r="U53" s="50">
        <f>_xlfn.TEXTBEFORE(T53,"k")*1000/(5*(1+_xlfn.TEXTBEFORE(_xlfn.TEXTAFTER(U$2,"+"),"%")/100)*1.25)</f>
        <v>8164.3835616438355</v>
      </c>
      <c r="V53" s="46">
        <f t="shared" si="2"/>
        <v>14926.120711244677</v>
      </c>
      <c r="W53" s="22">
        <v>150</v>
      </c>
      <c r="X53" s="12">
        <f t="shared" si="10"/>
        <v>2070</v>
      </c>
      <c r="Y53" s="12">
        <v>0</v>
      </c>
      <c r="Z53" s="12">
        <f t="shared" si="5"/>
        <v>12</v>
      </c>
      <c r="AA53" s="12">
        <v>0</v>
      </c>
      <c r="AB53" s="12">
        <f>AB52+AA53</f>
        <v>71</v>
      </c>
    </row>
    <row r="54" spans="2:28" x14ac:dyDescent="0.2">
      <c r="B54" s="32">
        <f t="shared" si="11"/>
        <v>11000000</v>
      </c>
      <c r="C54" s="38"/>
      <c r="D54" s="36">
        <v>180</v>
      </c>
      <c r="E54" s="12">
        <f t="shared" si="0"/>
        <v>7260</v>
      </c>
      <c r="F54" s="12">
        <v>0</v>
      </c>
      <c r="G54" s="12">
        <f>G53+F54</f>
        <v>20</v>
      </c>
      <c r="H54" s="12"/>
      <c r="I54" s="23"/>
      <c r="K54" s="14"/>
      <c r="L54" s="38"/>
      <c r="M54" s="22"/>
      <c r="N54" s="12">
        <f t="shared" si="1"/>
        <v>5250</v>
      </c>
      <c r="O54" s="12">
        <v>0</v>
      </c>
      <c r="P54" s="12">
        <f>P53+O54</f>
        <v>5</v>
      </c>
      <c r="Q54" s="12"/>
      <c r="R54" s="23"/>
      <c r="T54" s="32" t="s">
        <v>118</v>
      </c>
      <c r="U54" s="50">
        <f>_xlfn.TEXTBEFORE(T54,"k")*1000/(5*(1+_xlfn.TEXTBEFORE(_xlfn.TEXTAFTER(U$2,"+"),"%")/100)*1.25)</f>
        <v>8547.9452054794529</v>
      </c>
      <c r="V54" s="46">
        <f t="shared" si="2"/>
        <v>15627.347858752817</v>
      </c>
      <c r="W54" s="22">
        <v>150</v>
      </c>
      <c r="X54" s="12">
        <f t="shared" si="10"/>
        <v>2220</v>
      </c>
      <c r="Y54" s="12">
        <v>0</v>
      </c>
      <c r="Z54" s="12">
        <f t="shared" si="5"/>
        <v>12</v>
      </c>
      <c r="AA54" s="12">
        <v>0</v>
      </c>
      <c r="AB54" s="12">
        <f>AB53+AA54</f>
        <v>71</v>
      </c>
    </row>
    <row r="55" spans="2:28" x14ac:dyDescent="0.2">
      <c r="B55" s="32">
        <f t="shared" si="11"/>
        <v>11500000</v>
      </c>
      <c r="C55" s="38"/>
      <c r="D55" s="36">
        <v>180</v>
      </c>
      <c r="E55" s="12">
        <f t="shared" si="0"/>
        <v>7440</v>
      </c>
      <c r="F55" s="12">
        <v>0</v>
      </c>
      <c r="G55" s="12">
        <f>G54+F55</f>
        <v>20</v>
      </c>
      <c r="H55" s="12"/>
      <c r="I55" s="23"/>
      <c r="K55" s="14"/>
      <c r="L55" s="38"/>
      <c r="M55" s="22"/>
      <c r="N55" s="12">
        <f t="shared" si="1"/>
        <v>5250</v>
      </c>
      <c r="O55" s="12">
        <v>0</v>
      </c>
      <c r="P55" s="12">
        <f>P54+O55</f>
        <v>5</v>
      </c>
      <c r="Q55" s="12"/>
      <c r="R55" s="23"/>
      <c r="T55" s="32" t="s">
        <v>119</v>
      </c>
      <c r="U55" s="50">
        <f>_xlfn.TEXTBEFORE(T55,"k")*1000/(5*(1+_xlfn.TEXTBEFORE(_xlfn.TEXTAFTER(U$2,"+"),"%")/100)*1.25)</f>
        <v>8767.1232876712329</v>
      </c>
      <c r="V55" s="46">
        <f t="shared" si="2"/>
        <v>16028.049085900326</v>
      </c>
      <c r="W55" s="22">
        <v>0</v>
      </c>
      <c r="X55" s="12">
        <f t="shared" si="10"/>
        <v>2220</v>
      </c>
      <c r="Y55" s="12">
        <v>0</v>
      </c>
      <c r="Z55" s="12">
        <f t="shared" si="5"/>
        <v>12</v>
      </c>
      <c r="AA55" s="12">
        <v>7</v>
      </c>
      <c r="AB55" s="12">
        <f>AB54+AA55</f>
        <v>78</v>
      </c>
    </row>
    <row r="56" spans="2:28" x14ac:dyDescent="0.2">
      <c r="B56" s="32">
        <f t="shared" si="11"/>
        <v>12000000</v>
      </c>
      <c r="C56" s="38"/>
      <c r="D56" s="36">
        <v>240</v>
      </c>
      <c r="E56" s="12">
        <f t="shared" si="0"/>
        <v>7680</v>
      </c>
      <c r="F56" s="12">
        <v>0</v>
      </c>
      <c r="G56" s="12">
        <f>G55+F56</f>
        <v>20</v>
      </c>
      <c r="H56" s="12"/>
      <c r="I56" s="23"/>
      <c r="K56" s="14"/>
      <c r="L56" s="38"/>
      <c r="M56" s="22"/>
      <c r="N56" s="12">
        <f t="shared" si="1"/>
        <v>5250</v>
      </c>
      <c r="O56" s="12">
        <v>0</v>
      </c>
      <c r="P56" s="12">
        <f>P55+O56</f>
        <v>5</v>
      </c>
      <c r="Q56" s="12"/>
      <c r="R56" s="23"/>
      <c r="T56" s="32" t="s">
        <v>120</v>
      </c>
      <c r="U56" s="50">
        <f>_xlfn.TEXTBEFORE(T56,"k")*1000/(5*(1+_xlfn.TEXTBEFORE(_xlfn.TEXTAFTER(U$2,"+"),"%")/100)*1.25)</f>
        <v>9041.0958904109593</v>
      </c>
      <c r="V56" s="46">
        <f t="shared" si="2"/>
        <v>16528.925619834714</v>
      </c>
      <c r="W56" s="22">
        <v>0</v>
      </c>
      <c r="X56" s="12">
        <f t="shared" si="10"/>
        <v>2220</v>
      </c>
      <c r="Y56" s="12">
        <v>1</v>
      </c>
      <c r="Z56" s="12">
        <f t="shared" si="5"/>
        <v>13</v>
      </c>
      <c r="AA56" s="12">
        <v>0</v>
      </c>
      <c r="AB56" s="12">
        <f>AB55+AA56</f>
        <v>78</v>
      </c>
    </row>
    <row r="57" spans="2:28" x14ac:dyDescent="0.2">
      <c r="B57" s="32">
        <f t="shared" si="11"/>
        <v>12500000</v>
      </c>
      <c r="C57" s="38"/>
      <c r="D57" s="36">
        <v>180</v>
      </c>
      <c r="E57" s="12">
        <f t="shared" si="0"/>
        <v>7860</v>
      </c>
      <c r="F57" s="12">
        <v>0</v>
      </c>
      <c r="G57" s="12">
        <f>G56+F57</f>
        <v>20</v>
      </c>
      <c r="H57" s="12"/>
      <c r="I57" s="23"/>
      <c r="K57" s="14"/>
      <c r="L57" s="38"/>
      <c r="M57" s="22"/>
      <c r="N57" s="12">
        <f t="shared" si="1"/>
        <v>5250</v>
      </c>
      <c r="O57" s="12">
        <v>0</v>
      </c>
      <c r="P57" s="12">
        <f>P56+O57</f>
        <v>5</v>
      </c>
      <c r="Q57" s="12"/>
      <c r="R57" s="23"/>
      <c r="T57" s="32" t="s">
        <v>121</v>
      </c>
      <c r="U57" s="50">
        <f>_xlfn.TEXTBEFORE(T57,"k")*1000/(5*(1+_xlfn.TEXTBEFORE(_xlfn.TEXTAFTER(U$2,"+"),"%")/100)*1.25)</f>
        <v>9424.6575342465749</v>
      </c>
      <c r="V57" s="46">
        <f t="shared" si="2"/>
        <v>17230.15276734285</v>
      </c>
      <c r="W57" s="22">
        <v>150</v>
      </c>
      <c r="X57" s="12">
        <f t="shared" si="10"/>
        <v>2370</v>
      </c>
      <c r="Y57" s="12">
        <v>0</v>
      </c>
      <c r="Z57" s="12">
        <f t="shared" si="5"/>
        <v>13</v>
      </c>
      <c r="AA57" s="12">
        <v>0</v>
      </c>
      <c r="AB57" s="12">
        <f>AB56+AA57</f>
        <v>78</v>
      </c>
    </row>
    <row r="58" spans="2:28" x14ac:dyDescent="0.2">
      <c r="B58" s="32">
        <f t="shared" si="11"/>
        <v>13000000</v>
      </c>
      <c r="C58" s="38"/>
      <c r="D58" s="36">
        <v>180</v>
      </c>
      <c r="E58" s="12">
        <f t="shared" si="0"/>
        <v>8040</v>
      </c>
      <c r="F58" s="12">
        <v>0</v>
      </c>
      <c r="G58" s="12">
        <f>G57+F58</f>
        <v>20</v>
      </c>
      <c r="H58" s="12"/>
      <c r="I58" s="23"/>
      <c r="K58" s="14"/>
      <c r="L58" s="38"/>
      <c r="M58" s="22"/>
      <c r="N58" s="12">
        <f t="shared" si="1"/>
        <v>5250</v>
      </c>
      <c r="O58" s="12">
        <v>0</v>
      </c>
      <c r="P58" s="12">
        <f>P57+O58</f>
        <v>5</v>
      </c>
      <c r="Q58" s="12"/>
      <c r="R58" s="23"/>
      <c r="T58" s="32" t="s">
        <v>122</v>
      </c>
      <c r="U58" s="50">
        <f>_xlfn.TEXTBEFORE(T58,"k")*1000/(5*(1+_xlfn.TEXTBEFORE(_xlfn.TEXTAFTER(U$2,"+"),"%")/100)*1.25)</f>
        <v>9808.2191780821922</v>
      </c>
      <c r="V58" s="46">
        <f t="shared" si="2"/>
        <v>17931.37991485099</v>
      </c>
      <c r="W58" s="22">
        <v>150</v>
      </c>
      <c r="X58" s="12">
        <f t="shared" si="10"/>
        <v>2520</v>
      </c>
      <c r="Y58" s="12">
        <v>0</v>
      </c>
      <c r="Z58" s="12">
        <f t="shared" si="5"/>
        <v>13</v>
      </c>
      <c r="AA58" s="12">
        <v>0</v>
      </c>
      <c r="AB58" s="12">
        <f>AB57+AA58</f>
        <v>78</v>
      </c>
    </row>
    <row r="59" spans="2:28" x14ac:dyDescent="0.2">
      <c r="B59" s="32">
        <f t="shared" si="11"/>
        <v>13500000</v>
      </c>
      <c r="C59" s="38"/>
      <c r="D59" s="36">
        <v>180</v>
      </c>
      <c r="E59" s="12">
        <f t="shared" si="0"/>
        <v>8220</v>
      </c>
      <c r="F59" s="12">
        <v>0</v>
      </c>
      <c r="G59" s="12">
        <f>G58+F59</f>
        <v>20</v>
      </c>
      <c r="H59" s="12"/>
      <c r="I59" s="23"/>
      <c r="K59" s="14"/>
      <c r="L59" s="38"/>
      <c r="M59" s="22"/>
      <c r="N59" s="12">
        <f t="shared" si="1"/>
        <v>5250</v>
      </c>
      <c r="O59" s="12">
        <v>0</v>
      </c>
      <c r="P59" s="12">
        <f>P58+O59</f>
        <v>5</v>
      </c>
      <c r="Q59" s="12"/>
      <c r="R59" s="23"/>
      <c r="T59" s="32" t="s">
        <v>123</v>
      </c>
      <c r="U59" s="50">
        <f>_xlfn.TEXTBEFORE(T59,"k")*1000/(5*(1+_xlfn.TEXTBEFORE(_xlfn.TEXTAFTER(U$2,"+"),"%")/100)*1.25)</f>
        <v>10136.986301369863</v>
      </c>
      <c r="V59" s="46">
        <f t="shared" si="2"/>
        <v>18532.431755572252</v>
      </c>
      <c r="W59" s="22">
        <v>0</v>
      </c>
      <c r="X59" s="12">
        <f t="shared" si="10"/>
        <v>2520</v>
      </c>
      <c r="Y59" s="12">
        <v>0</v>
      </c>
      <c r="Z59" s="12">
        <f t="shared" si="5"/>
        <v>13</v>
      </c>
      <c r="AA59" s="12">
        <v>7</v>
      </c>
      <c r="AB59" s="12">
        <f>AB58+AA59</f>
        <v>85</v>
      </c>
    </row>
    <row r="60" spans="2:28" x14ac:dyDescent="0.2">
      <c r="B60" s="32">
        <f t="shared" si="11"/>
        <v>14000000</v>
      </c>
      <c r="C60" s="38"/>
      <c r="D60" s="36">
        <v>180</v>
      </c>
      <c r="E60" s="12">
        <f t="shared" si="0"/>
        <v>8400</v>
      </c>
      <c r="F60" s="12">
        <v>0</v>
      </c>
      <c r="G60" s="12">
        <f>G59+F60</f>
        <v>20</v>
      </c>
      <c r="H60" s="12"/>
      <c r="I60" s="23"/>
      <c r="K60" s="14"/>
      <c r="L60" s="38"/>
      <c r="M60" s="22"/>
      <c r="N60" s="12">
        <f t="shared" si="1"/>
        <v>5250</v>
      </c>
      <c r="O60" s="12">
        <v>0</v>
      </c>
      <c r="P60" s="12">
        <f>P59+O60</f>
        <v>5</v>
      </c>
      <c r="Q60" s="12"/>
      <c r="R60" s="23"/>
      <c r="T60" s="32" t="s">
        <v>124</v>
      </c>
      <c r="U60" s="50">
        <f>_xlfn.TEXTBEFORE(T60,"k")*1000/(5*(1+_xlfn.TEXTBEFORE(_xlfn.TEXTAFTER(U$2,"+"),"%")/100)*1.25)</f>
        <v>10356.164383561643</v>
      </c>
      <c r="V60" s="46">
        <f t="shared" si="2"/>
        <v>18933.132982719759</v>
      </c>
      <c r="W60" s="22">
        <v>150</v>
      </c>
      <c r="X60" s="12">
        <f t="shared" si="10"/>
        <v>2670</v>
      </c>
      <c r="Y60" s="12">
        <v>0</v>
      </c>
      <c r="Z60" s="12">
        <f t="shared" si="5"/>
        <v>13</v>
      </c>
      <c r="AA60" s="12">
        <v>0</v>
      </c>
      <c r="AB60" s="12">
        <f>AB59+AA60</f>
        <v>85</v>
      </c>
    </row>
    <row r="61" spans="2:28" x14ac:dyDescent="0.2">
      <c r="B61" s="32">
        <f t="shared" si="11"/>
        <v>14500000</v>
      </c>
      <c r="C61" s="38"/>
      <c r="D61" s="36">
        <v>180</v>
      </c>
      <c r="E61" s="12">
        <f t="shared" si="0"/>
        <v>8580</v>
      </c>
      <c r="F61" s="12">
        <v>0</v>
      </c>
      <c r="G61" s="12">
        <f>G60+F61</f>
        <v>20</v>
      </c>
      <c r="H61" s="12"/>
      <c r="I61" s="23"/>
      <c r="K61" s="14"/>
      <c r="L61" s="38"/>
      <c r="M61" s="22"/>
      <c r="N61" s="12">
        <f t="shared" si="1"/>
        <v>5250</v>
      </c>
      <c r="O61" s="12">
        <v>0</v>
      </c>
      <c r="P61" s="12">
        <f>P60+O61</f>
        <v>5</v>
      </c>
      <c r="Q61" s="12"/>
      <c r="R61" s="23"/>
      <c r="T61" s="32" t="s">
        <v>125</v>
      </c>
      <c r="U61" s="50">
        <f>_xlfn.TEXTBEFORE(T61,"k")*1000/(5*(1+_xlfn.TEXTBEFORE(_xlfn.TEXTAFTER(U$2,"+"),"%")/100)*1.25)</f>
        <v>12438.356164383562</v>
      </c>
      <c r="V61" s="46">
        <f t="shared" si="2"/>
        <v>22739.79464062109</v>
      </c>
      <c r="W61" s="22">
        <v>375</v>
      </c>
      <c r="X61" s="12">
        <f t="shared" si="10"/>
        <v>3045</v>
      </c>
      <c r="Y61" s="12">
        <v>0</v>
      </c>
      <c r="Z61" s="12">
        <f t="shared" si="5"/>
        <v>13</v>
      </c>
      <c r="AA61" s="12">
        <v>0</v>
      </c>
      <c r="AB61" s="12">
        <f>AB60+AA61</f>
        <v>85</v>
      </c>
    </row>
    <row r="62" spans="2:28" x14ac:dyDescent="0.2">
      <c r="B62" s="32">
        <f t="shared" si="11"/>
        <v>15000000</v>
      </c>
      <c r="C62" s="38"/>
      <c r="D62" s="36">
        <v>300</v>
      </c>
      <c r="E62" s="12">
        <f t="shared" si="0"/>
        <v>8880</v>
      </c>
      <c r="F62" s="12">
        <v>0</v>
      </c>
      <c r="G62" s="12">
        <f>G61+F62</f>
        <v>20</v>
      </c>
      <c r="H62" s="12"/>
      <c r="I62" s="23"/>
      <c r="K62" s="14"/>
      <c r="L62" s="38"/>
      <c r="M62" s="22"/>
      <c r="N62" s="12">
        <f t="shared" si="1"/>
        <v>5250</v>
      </c>
      <c r="O62" s="12">
        <v>0</v>
      </c>
      <c r="P62" s="12">
        <f>P61+O62</f>
        <v>5</v>
      </c>
      <c r="Q62" s="12"/>
      <c r="R62" s="23"/>
      <c r="T62" s="32" t="s">
        <v>126</v>
      </c>
      <c r="U62" s="50">
        <f>_xlfn.TEXTBEFORE(T62,"k")*1000/(5*(1+_xlfn.TEXTBEFORE(_xlfn.TEXTAFTER(U$2,"+"),"%")/100)*1.25)</f>
        <v>14246.575342465754</v>
      </c>
      <c r="V62" s="46">
        <f t="shared" si="2"/>
        <v>26045.57976458803</v>
      </c>
      <c r="W62" s="22">
        <v>0</v>
      </c>
      <c r="X62" s="12">
        <f t="shared" si="10"/>
        <v>3045</v>
      </c>
      <c r="Y62" s="12">
        <v>0</v>
      </c>
      <c r="Z62" s="12">
        <f t="shared" si="5"/>
        <v>13</v>
      </c>
      <c r="AA62" s="12">
        <v>10</v>
      </c>
      <c r="AB62" s="12">
        <f>AB61+AA62</f>
        <v>95</v>
      </c>
    </row>
    <row r="63" spans="2:28" x14ac:dyDescent="0.2">
      <c r="B63" s="32">
        <f t="shared" si="11"/>
        <v>15500000</v>
      </c>
      <c r="C63" s="38"/>
      <c r="D63" s="36">
        <v>180</v>
      </c>
      <c r="E63" s="12">
        <f t="shared" si="0"/>
        <v>9060</v>
      </c>
      <c r="F63" s="12">
        <v>0</v>
      </c>
      <c r="G63" s="12">
        <f>G62+F63</f>
        <v>20</v>
      </c>
      <c r="H63" s="12"/>
      <c r="I63" s="23"/>
      <c r="K63" s="14"/>
      <c r="L63" s="38"/>
      <c r="M63" s="22"/>
      <c r="N63" s="12">
        <f t="shared" si="1"/>
        <v>5250</v>
      </c>
      <c r="O63" s="12">
        <v>0</v>
      </c>
      <c r="P63" s="12">
        <f>P62+O63</f>
        <v>5</v>
      </c>
      <c r="Q63" s="12"/>
      <c r="R63" s="23"/>
      <c r="T63" s="32" t="s">
        <v>127</v>
      </c>
      <c r="U63" s="50">
        <f>_xlfn.TEXTBEFORE(T63,"k")*1000/(5*(1+_xlfn.TEXTBEFORE(_xlfn.TEXTAFTER(U$2,"+"),"%")/100)*1.25)</f>
        <v>15945.205479452055</v>
      </c>
      <c r="V63" s="46">
        <f t="shared" si="2"/>
        <v>29151.014274981215</v>
      </c>
      <c r="W63" s="22">
        <v>0</v>
      </c>
      <c r="X63" s="12">
        <f t="shared" si="10"/>
        <v>3045</v>
      </c>
      <c r="Y63" s="12">
        <v>2</v>
      </c>
      <c r="Z63" s="12">
        <f t="shared" si="5"/>
        <v>15</v>
      </c>
      <c r="AA63" s="12">
        <v>0</v>
      </c>
      <c r="AB63" s="12">
        <f>AB62+AA63</f>
        <v>95</v>
      </c>
    </row>
    <row r="64" spans="2:28" x14ac:dyDescent="0.2">
      <c r="B64" s="32">
        <f t="shared" si="11"/>
        <v>16000000</v>
      </c>
      <c r="C64" s="38"/>
      <c r="D64" s="36">
        <v>180</v>
      </c>
      <c r="E64" s="12">
        <f t="shared" si="0"/>
        <v>9240</v>
      </c>
      <c r="F64" s="12">
        <v>0</v>
      </c>
      <c r="G64" s="12">
        <f>G63+F64</f>
        <v>20</v>
      </c>
      <c r="H64" s="12"/>
      <c r="I64" s="23"/>
      <c r="K64" s="14"/>
      <c r="L64" s="38"/>
      <c r="M64" s="22"/>
      <c r="N64" s="12">
        <f t="shared" si="1"/>
        <v>5250</v>
      </c>
      <c r="O64" s="12">
        <v>0</v>
      </c>
      <c r="P64" s="12">
        <f>P63+O64</f>
        <v>5</v>
      </c>
      <c r="Q64" s="12"/>
      <c r="R64" s="23"/>
      <c r="T64" s="32" t="s">
        <v>128</v>
      </c>
      <c r="U64" s="50">
        <f>_xlfn.TEXTBEFORE(T64,"k")*1000/(5*(1+_xlfn.TEXTBEFORE(_xlfn.TEXTAFTER(U$2,"+"),"%")/100)*1.25)</f>
        <v>17643.835616438355</v>
      </c>
      <c r="V64" s="46">
        <f t="shared" si="2"/>
        <v>32256.448785374407</v>
      </c>
      <c r="W64" s="22">
        <v>0</v>
      </c>
      <c r="X64" s="12">
        <f t="shared" si="10"/>
        <v>3045</v>
      </c>
      <c r="Y64" s="12">
        <v>0</v>
      </c>
      <c r="Z64" s="12">
        <f t="shared" si="5"/>
        <v>15</v>
      </c>
      <c r="AA64" s="12">
        <v>0</v>
      </c>
      <c r="AB64" s="12">
        <f>AB63+AA64</f>
        <v>95</v>
      </c>
    </row>
    <row r="65" spans="2:28" x14ac:dyDescent="0.2">
      <c r="B65" s="32">
        <f t="shared" si="11"/>
        <v>16500000</v>
      </c>
      <c r="C65" s="38"/>
      <c r="D65" s="36">
        <v>180</v>
      </c>
      <c r="E65" s="12">
        <f t="shared" si="0"/>
        <v>9420</v>
      </c>
      <c r="F65" s="12">
        <v>0</v>
      </c>
      <c r="G65" s="12">
        <f>G64+F65</f>
        <v>20</v>
      </c>
      <c r="H65" s="12"/>
      <c r="I65" s="23"/>
      <c r="K65" s="14"/>
      <c r="L65" s="38"/>
      <c r="M65" s="22"/>
      <c r="N65" s="12">
        <f t="shared" si="1"/>
        <v>5250</v>
      </c>
      <c r="O65" s="12">
        <v>0</v>
      </c>
      <c r="P65" s="12">
        <f>P64+O65</f>
        <v>5</v>
      </c>
      <c r="Q65" s="12"/>
      <c r="R65" s="23"/>
      <c r="T65" s="32" t="s">
        <v>129</v>
      </c>
      <c r="U65" s="50">
        <f>_xlfn.TEXTBEFORE(T65,"k")*1000/(5*(1+_xlfn.TEXTBEFORE(_xlfn.TEXTAFTER(U$2,"+"),"%")/100)*1.25)</f>
        <v>19342.465753424658</v>
      </c>
      <c r="V65" s="46">
        <f t="shared" si="2"/>
        <v>35361.883295767599</v>
      </c>
      <c r="W65" s="22">
        <v>0</v>
      </c>
      <c r="X65" s="12">
        <f t="shared" si="10"/>
        <v>3045</v>
      </c>
      <c r="Y65" s="12">
        <v>0</v>
      </c>
      <c r="Z65" s="12">
        <f t="shared" si="5"/>
        <v>15</v>
      </c>
      <c r="AA65" s="12">
        <v>0</v>
      </c>
      <c r="AB65" s="12">
        <f>AB64+AA65</f>
        <v>95</v>
      </c>
    </row>
    <row r="66" spans="2:28" x14ac:dyDescent="0.2">
      <c r="B66" s="32">
        <f t="shared" si="11"/>
        <v>17000000</v>
      </c>
      <c r="C66" s="38"/>
      <c r="D66" s="36">
        <v>180</v>
      </c>
      <c r="E66" s="12">
        <f t="shared" si="0"/>
        <v>9600</v>
      </c>
      <c r="F66" s="12">
        <v>0</v>
      </c>
      <c r="G66" s="12">
        <f>G65+F66</f>
        <v>20</v>
      </c>
      <c r="H66" s="12"/>
      <c r="I66" s="23"/>
      <c r="K66" s="14"/>
      <c r="L66" s="38"/>
      <c r="M66" s="22"/>
      <c r="N66" s="12">
        <f t="shared" si="1"/>
        <v>5250</v>
      </c>
      <c r="O66" s="12">
        <v>0</v>
      </c>
      <c r="P66" s="12">
        <f>P65+O66</f>
        <v>5</v>
      </c>
      <c r="Q66" s="12"/>
      <c r="R66" s="23"/>
      <c r="T66" s="32" t="s">
        <v>130</v>
      </c>
      <c r="U66" s="50">
        <f>_xlfn.TEXTBEFORE(T66,"k")*1000/(5*(1+_xlfn.TEXTBEFORE(_xlfn.TEXTAFTER(U$2,"+"),"%")/100)*1.25)</f>
        <v>21150.68493150685</v>
      </c>
      <c r="V66" s="46">
        <f t="shared" si="2"/>
        <v>38667.668419734538</v>
      </c>
      <c r="W66" s="22">
        <v>0</v>
      </c>
      <c r="X66" s="12">
        <f t="shared" si="10"/>
        <v>3045</v>
      </c>
      <c r="Y66" s="12">
        <v>0</v>
      </c>
      <c r="Z66" s="12">
        <f t="shared" si="5"/>
        <v>15</v>
      </c>
      <c r="AA66" s="12">
        <v>0</v>
      </c>
      <c r="AB66" s="12">
        <f>AB65+AA66</f>
        <v>95</v>
      </c>
    </row>
    <row r="67" spans="2:28" x14ac:dyDescent="0.2">
      <c r="B67" s="32">
        <f t="shared" si="11"/>
        <v>17500000</v>
      </c>
      <c r="C67" s="38"/>
      <c r="D67" s="36">
        <v>180</v>
      </c>
      <c r="E67" s="12">
        <f t="shared" si="0"/>
        <v>9780</v>
      </c>
      <c r="F67" s="12">
        <v>0</v>
      </c>
      <c r="G67" s="12">
        <f>G66+F67</f>
        <v>20</v>
      </c>
      <c r="H67" s="12"/>
      <c r="I67" s="23"/>
      <c r="K67" s="14"/>
      <c r="L67" s="38"/>
      <c r="M67" s="22"/>
      <c r="N67" s="12">
        <f t="shared" si="1"/>
        <v>5250</v>
      </c>
      <c r="O67" s="12">
        <v>0</v>
      </c>
      <c r="P67" s="12">
        <f>P66+O67</f>
        <v>5</v>
      </c>
      <c r="Q67" s="12"/>
      <c r="R67" s="23"/>
      <c r="T67" s="32" t="s">
        <v>131</v>
      </c>
      <c r="U67" s="50">
        <f>_xlfn.TEXTBEFORE(T67,"k")*1000/(5*(1+_xlfn.TEXTBEFORE(_xlfn.TEXTAFTER(U$2,"+"),"%")/100)*1.25)</f>
        <v>22904.109589041094</v>
      </c>
      <c r="V67" s="46">
        <f t="shared" si="2"/>
        <v>41873.278236914601</v>
      </c>
      <c r="W67" s="22">
        <v>375</v>
      </c>
      <c r="X67" s="12">
        <f t="shared" si="10"/>
        <v>3420</v>
      </c>
      <c r="Y67" s="12">
        <v>0</v>
      </c>
      <c r="Z67" s="12">
        <f t="shared" si="5"/>
        <v>15</v>
      </c>
      <c r="AA67" s="12">
        <v>0</v>
      </c>
      <c r="AB67" s="12">
        <f>AB66+AA67</f>
        <v>95</v>
      </c>
    </row>
    <row r="68" spans="2:28" x14ac:dyDescent="0.2">
      <c r="B68" s="32">
        <f t="shared" si="11"/>
        <v>18000000</v>
      </c>
      <c r="C68" s="38"/>
      <c r="D68" s="36">
        <v>450</v>
      </c>
      <c r="E68" s="12">
        <f t="shared" si="0"/>
        <v>10230</v>
      </c>
      <c r="F68" s="12">
        <v>0</v>
      </c>
      <c r="G68" s="12">
        <f>G67+F68</f>
        <v>20</v>
      </c>
      <c r="H68" s="12"/>
      <c r="I68" s="23"/>
      <c r="K68" s="14"/>
      <c r="L68" s="38"/>
      <c r="M68" s="22"/>
      <c r="N68" s="12">
        <f t="shared" si="1"/>
        <v>5250</v>
      </c>
      <c r="O68" s="12">
        <v>0</v>
      </c>
      <c r="P68" s="12">
        <f>P67+O68</f>
        <v>5</v>
      </c>
      <c r="Q68" s="12"/>
      <c r="R68" s="23"/>
      <c r="T68" s="32" t="s">
        <v>132</v>
      </c>
      <c r="U68" s="50">
        <f>_xlfn.TEXTBEFORE(T68,"k")*1000/(5*(1+_xlfn.TEXTBEFORE(_xlfn.TEXTAFTER(U$2,"+"),"%")/100)*1.25)</f>
        <v>24547.945205479453</v>
      </c>
      <c r="V68" s="46">
        <f t="shared" si="2"/>
        <v>44878.537440520915</v>
      </c>
      <c r="W68" s="22">
        <v>0</v>
      </c>
      <c r="X68" s="12">
        <f t="shared" si="10"/>
        <v>3420</v>
      </c>
      <c r="Y68" s="12">
        <v>0</v>
      </c>
      <c r="Z68" s="12">
        <f t="shared" si="5"/>
        <v>15</v>
      </c>
      <c r="AA68" s="12">
        <v>10</v>
      </c>
      <c r="AB68" s="12">
        <f>AB67+AA68</f>
        <v>105</v>
      </c>
    </row>
    <row r="69" spans="2:28" x14ac:dyDescent="0.2">
      <c r="B69" s="32">
        <f t="shared" si="11"/>
        <v>18500000</v>
      </c>
      <c r="C69" s="38"/>
      <c r="D69" s="36">
        <v>180</v>
      </c>
      <c r="E69" s="12">
        <f t="shared" ref="E69:E72" si="12">E68+D69</f>
        <v>10410</v>
      </c>
      <c r="F69" s="12">
        <v>0</v>
      </c>
      <c r="G69" s="12">
        <f>G68+F69</f>
        <v>20</v>
      </c>
      <c r="H69" s="12"/>
      <c r="I69" s="23"/>
      <c r="K69" s="14"/>
      <c r="L69" s="38"/>
      <c r="M69" s="22"/>
      <c r="N69" s="12">
        <f t="shared" ref="N69:N72" si="13">N68+M69</f>
        <v>5250</v>
      </c>
      <c r="O69" s="12">
        <v>0</v>
      </c>
      <c r="P69" s="12">
        <f>P68+O69</f>
        <v>5</v>
      </c>
      <c r="Q69" s="12"/>
      <c r="R69" s="23"/>
      <c r="T69" s="32" t="s">
        <v>133</v>
      </c>
      <c r="U69" s="50">
        <f>_xlfn.TEXTBEFORE(T69,"k")*1000/(5*(1+_xlfn.TEXTBEFORE(_xlfn.TEXTAFTER(U$2,"+"),"%")/100)*1.25)</f>
        <v>26246.575342465752</v>
      </c>
      <c r="V69" s="46">
        <f t="shared" ref="V69:V100" si="14">_xlfn.TEXTBEFORE(T69,"k")*1000/5/(1+_xlfn.TEXTBEFORE(_xlfn.TEXTAFTER(V$2,"+"),"%")/100)/2/1.25/0.22</f>
        <v>47983.9719509141</v>
      </c>
      <c r="W69" s="22">
        <v>375</v>
      </c>
      <c r="X69" s="12">
        <f t="shared" si="10"/>
        <v>3795</v>
      </c>
      <c r="Y69" s="12">
        <v>0</v>
      </c>
      <c r="Z69" s="12">
        <f t="shared" si="5"/>
        <v>15</v>
      </c>
      <c r="AA69" s="12">
        <v>0</v>
      </c>
      <c r="AB69" s="12">
        <f>AB68+AA69</f>
        <v>105</v>
      </c>
    </row>
    <row r="70" spans="2:28" x14ac:dyDescent="0.2">
      <c r="B70" s="32">
        <f t="shared" si="11"/>
        <v>19000000</v>
      </c>
      <c r="C70" s="38"/>
      <c r="D70" s="36">
        <v>180</v>
      </c>
      <c r="E70" s="12">
        <f t="shared" si="12"/>
        <v>10590</v>
      </c>
      <c r="F70" s="12">
        <v>0</v>
      </c>
      <c r="G70" s="12">
        <f>G69+F70</f>
        <v>20</v>
      </c>
      <c r="H70" s="12"/>
      <c r="I70" s="23"/>
      <c r="K70" s="14"/>
      <c r="L70" s="38"/>
      <c r="M70" s="22"/>
      <c r="N70" s="12">
        <f t="shared" si="13"/>
        <v>5250</v>
      </c>
      <c r="O70" s="12">
        <v>0</v>
      </c>
      <c r="P70" s="12">
        <f>P69+O70</f>
        <v>5</v>
      </c>
      <c r="Q70" s="12"/>
      <c r="R70" s="23"/>
      <c r="T70" s="32" t="s">
        <v>134</v>
      </c>
      <c r="U70" s="50">
        <f>_xlfn.TEXTBEFORE(T70,"k")*1000/(5*(1+_xlfn.TEXTBEFORE(_xlfn.TEXTAFTER(U$2,"+"),"%")/100)*1.25)</f>
        <v>28054.794520547945</v>
      </c>
      <c r="V70" s="46">
        <f t="shared" si="14"/>
        <v>51289.757074881039</v>
      </c>
      <c r="W70" s="22">
        <v>0</v>
      </c>
      <c r="X70" s="12">
        <f t="shared" si="10"/>
        <v>3795</v>
      </c>
      <c r="Y70" s="12">
        <v>0</v>
      </c>
      <c r="Z70" s="12">
        <f t="shared" ref="Z70:Z102" si="15">Z69+Y70</f>
        <v>15</v>
      </c>
      <c r="AA70" s="12">
        <v>10</v>
      </c>
      <c r="AB70" s="12">
        <f t="shared" ref="AB70:AB102" si="16">AB69+AA70</f>
        <v>115</v>
      </c>
    </row>
    <row r="71" spans="2:28" x14ac:dyDescent="0.2">
      <c r="B71" s="32">
        <f t="shared" si="11"/>
        <v>19500000</v>
      </c>
      <c r="C71" s="38"/>
      <c r="D71" s="36">
        <v>180</v>
      </c>
      <c r="E71" s="12">
        <f t="shared" si="12"/>
        <v>10770</v>
      </c>
      <c r="F71" s="12">
        <v>0</v>
      </c>
      <c r="G71" s="12">
        <f>G70+F71</f>
        <v>20</v>
      </c>
      <c r="H71" s="12"/>
      <c r="I71" s="23"/>
      <c r="K71" s="14"/>
      <c r="L71" s="38"/>
      <c r="M71" s="22"/>
      <c r="N71" s="12">
        <f t="shared" si="13"/>
        <v>5250</v>
      </c>
      <c r="O71" s="12">
        <v>0</v>
      </c>
      <c r="P71" s="12">
        <f>P70+O71</f>
        <v>5</v>
      </c>
      <c r="Q71" s="12"/>
      <c r="R71" s="23"/>
      <c r="T71" s="32" t="s">
        <v>135</v>
      </c>
      <c r="U71" s="50">
        <f>_xlfn.TEXTBEFORE(T71,"k")*1000/(5*(1+_xlfn.TEXTBEFORE(_xlfn.TEXTAFTER(U$2,"+"),"%")/100)*1.25)</f>
        <v>29698.630136986303</v>
      </c>
      <c r="V71" s="46">
        <f t="shared" si="14"/>
        <v>54295.016278487361</v>
      </c>
      <c r="W71" s="22">
        <v>0</v>
      </c>
      <c r="X71" s="12">
        <f t="shared" si="10"/>
        <v>3795</v>
      </c>
      <c r="Y71" s="12">
        <v>3</v>
      </c>
      <c r="Z71" s="12">
        <f t="shared" si="15"/>
        <v>18</v>
      </c>
      <c r="AA71" s="12">
        <v>0</v>
      </c>
      <c r="AB71" s="12">
        <f t="shared" si="16"/>
        <v>115</v>
      </c>
    </row>
    <row r="72" spans="2:28" ht="15.75" thickBot="1" x14ac:dyDescent="0.25">
      <c r="B72" s="28">
        <f t="shared" si="11"/>
        <v>20000000</v>
      </c>
      <c r="C72" s="39"/>
      <c r="D72" s="37">
        <v>600</v>
      </c>
      <c r="E72" s="25">
        <f t="shared" si="12"/>
        <v>11370</v>
      </c>
      <c r="F72" s="25">
        <v>5</v>
      </c>
      <c r="G72" s="25">
        <f>G71+F72</f>
        <v>25</v>
      </c>
      <c r="H72" s="25"/>
      <c r="I72" s="26"/>
      <c r="K72" s="15"/>
      <c r="L72" s="39"/>
      <c r="M72" s="24"/>
      <c r="N72" s="25">
        <f t="shared" si="13"/>
        <v>5250</v>
      </c>
      <c r="O72" s="25">
        <v>0</v>
      </c>
      <c r="P72" s="25">
        <f>P71+O72</f>
        <v>5</v>
      </c>
      <c r="Q72" s="25"/>
      <c r="R72" s="26"/>
      <c r="T72" s="32" t="s">
        <v>136</v>
      </c>
      <c r="U72" s="50">
        <f>_xlfn.TEXTBEFORE(T72,"k")*1000/(5*(1+_xlfn.TEXTBEFORE(_xlfn.TEXTAFTER(U$2,"+"),"%")/100)*1.25)</f>
        <v>31397.260273972603</v>
      </c>
      <c r="V72" s="46">
        <f t="shared" si="14"/>
        <v>57400.450788880538</v>
      </c>
      <c r="W72" s="22">
        <v>375</v>
      </c>
      <c r="X72" s="12">
        <f t="shared" si="10"/>
        <v>4170</v>
      </c>
      <c r="Y72" s="12">
        <v>0</v>
      </c>
      <c r="Z72" s="12">
        <f t="shared" si="15"/>
        <v>18</v>
      </c>
      <c r="AA72" s="12">
        <v>0</v>
      </c>
      <c r="AB72" s="12">
        <f t="shared" si="16"/>
        <v>115</v>
      </c>
    </row>
    <row r="73" spans="2:28" x14ac:dyDescent="0.2">
      <c r="T73" s="32" t="s">
        <v>137</v>
      </c>
      <c r="U73" s="50">
        <f>_xlfn.TEXTBEFORE(T73,"k")*1000/(5*(1+_xlfn.TEXTBEFORE(_xlfn.TEXTAFTER(U$2,"+"),"%")/100)*1.25)</f>
        <v>33041.095890410958</v>
      </c>
      <c r="V73" s="46">
        <f t="shared" si="14"/>
        <v>60405.709992486845</v>
      </c>
      <c r="W73" s="22">
        <v>0</v>
      </c>
      <c r="X73" s="12">
        <f t="shared" si="10"/>
        <v>4170</v>
      </c>
      <c r="Y73" s="12">
        <v>0</v>
      </c>
      <c r="Z73" s="12">
        <f t="shared" si="15"/>
        <v>18</v>
      </c>
      <c r="AA73" s="12">
        <v>10</v>
      </c>
      <c r="AB73" s="12">
        <f t="shared" si="16"/>
        <v>125</v>
      </c>
    </row>
    <row r="74" spans="2:28" x14ac:dyDescent="0.2">
      <c r="T74" s="32" t="s">
        <v>138</v>
      </c>
      <c r="U74" s="50">
        <f>_xlfn.TEXTBEFORE(T74,"k")*1000/(5*(1+_xlfn.TEXTBEFORE(_xlfn.TEXTAFTER(U$2,"+"),"%")/100)*1.25)</f>
        <v>34849.315068493153</v>
      </c>
      <c r="V74" s="46">
        <f t="shared" si="14"/>
        <v>63711.4951164538</v>
      </c>
      <c r="W74" s="22">
        <v>375</v>
      </c>
      <c r="X74" s="12">
        <f t="shared" si="10"/>
        <v>4545</v>
      </c>
      <c r="Y74" s="12">
        <v>0</v>
      </c>
      <c r="Z74" s="12">
        <f t="shared" si="15"/>
        <v>18</v>
      </c>
      <c r="AA74" s="12">
        <v>0</v>
      </c>
      <c r="AB74" s="12">
        <f t="shared" si="16"/>
        <v>125</v>
      </c>
    </row>
    <row r="75" spans="2:28" x14ac:dyDescent="0.2">
      <c r="K75" s="80"/>
      <c r="L75" s="80"/>
      <c r="M75" s="80"/>
      <c r="N75" s="80"/>
      <c r="T75" s="32" t="s">
        <v>139</v>
      </c>
      <c r="U75" s="50">
        <f>_xlfn.TEXTBEFORE(T75,"k")*1000/(5*(1+_xlfn.TEXTBEFORE(_xlfn.TEXTAFTER(U$2,"+"),"%")/100)*1.25)</f>
        <v>36493.150684931505</v>
      </c>
      <c r="V75" s="46">
        <f t="shared" si="14"/>
        <v>66716.754320060107</v>
      </c>
      <c r="W75" s="22">
        <v>0</v>
      </c>
      <c r="X75" s="12">
        <f t="shared" si="10"/>
        <v>4545</v>
      </c>
      <c r="Y75" s="12">
        <v>0</v>
      </c>
      <c r="Z75" s="12">
        <f t="shared" si="15"/>
        <v>18</v>
      </c>
      <c r="AA75" s="12">
        <v>10</v>
      </c>
      <c r="AB75" s="12">
        <f t="shared" si="16"/>
        <v>135</v>
      </c>
    </row>
    <row r="76" spans="2:28" x14ac:dyDescent="0.2">
      <c r="K76" t="s">
        <v>30</v>
      </c>
      <c r="L76" t="s">
        <v>31</v>
      </c>
      <c r="M76" t="s">
        <v>60</v>
      </c>
      <c r="N76" t="s">
        <v>68</v>
      </c>
      <c r="T76" s="32" t="s">
        <v>140</v>
      </c>
      <c r="U76" s="50">
        <f>_xlfn.TEXTBEFORE(T76,"k")*1000/(5*(1+_xlfn.TEXTBEFORE(_xlfn.TEXTAFTER(U$2,"+"),"%")/100)*1.25)</f>
        <v>38191.780821917811</v>
      </c>
      <c r="V76" s="46">
        <f t="shared" si="14"/>
        <v>69822.188830453306</v>
      </c>
      <c r="W76" s="22">
        <v>0</v>
      </c>
      <c r="X76" s="12">
        <f t="shared" si="10"/>
        <v>4545</v>
      </c>
      <c r="Y76" s="12">
        <v>0</v>
      </c>
      <c r="Z76" s="12">
        <f t="shared" si="15"/>
        <v>18</v>
      </c>
      <c r="AA76" s="12">
        <v>0</v>
      </c>
      <c r="AB76" s="12">
        <f t="shared" si="16"/>
        <v>135</v>
      </c>
    </row>
    <row r="77" spans="2:28" x14ac:dyDescent="0.2">
      <c r="K77" t="s">
        <v>0</v>
      </c>
      <c r="L77" s="1">
        <v>0.86960000000000004</v>
      </c>
      <c r="N77">
        <f>L77*M77</f>
        <v>0</v>
      </c>
      <c r="T77" s="32" t="s">
        <v>141</v>
      </c>
      <c r="U77" s="50">
        <f>_xlfn.TEXTBEFORE(T77,"k")*1000/(5*(1+_xlfn.TEXTBEFORE(_xlfn.TEXTAFTER(U$2,"+"),"%")/100)*1.25)</f>
        <v>39890.410958904111</v>
      </c>
      <c r="V77" s="46">
        <f t="shared" si="14"/>
        <v>72927.62334084649</v>
      </c>
      <c r="W77" s="22">
        <v>375</v>
      </c>
      <c r="X77" s="12">
        <f t="shared" si="10"/>
        <v>4920</v>
      </c>
      <c r="Y77" s="12">
        <v>0</v>
      </c>
      <c r="Z77" s="12">
        <f t="shared" si="15"/>
        <v>18</v>
      </c>
      <c r="AA77" s="12">
        <v>0</v>
      </c>
      <c r="AB77" s="12">
        <f t="shared" si="16"/>
        <v>135</v>
      </c>
    </row>
    <row r="78" spans="2:28" x14ac:dyDescent="0.2">
      <c r="K78" t="s">
        <v>1</v>
      </c>
      <c r="L78" s="1">
        <v>0.7248</v>
      </c>
      <c r="N78">
        <f>L78*M78</f>
        <v>0</v>
      </c>
      <c r="T78" s="32" t="s">
        <v>142</v>
      </c>
      <c r="U78" s="50">
        <f>_xlfn.TEXTBEFORE(T78,"k")*1000/(5*(1+_xlfn.TEXTBEFORE(_xlfn.TEXTAFTER(U$2,"+"),"%")/100)*1.25)</f>
        <v>41534.246575342462</v>
      </c>
      <c r="V78" s="46">
        <f t="shared" si="14"/>
        <v>75932.88254445279</v>
      </c>
      <c r="W78" s="22">
        <v>0</v>
      </c>
      <c r="X78" s="12">
        <f t="shared" si="10"/>
        <v>4920</v>
      </c>
      <c r="Y78" s="12">
        <v>0</v>
      </c>
      <c r="Z78" s="12">
        <f t="shared" si="15"/>
        <v>18</v>
      </c>
      <c r="AA78" s="12">
        <v>10</v>
      </c>
      <c r="AB78" s="12">
        <f t="shared" si="16"/>
        <v>145</v>
      </c>
    </row>
    <row r="79" spans="2:28" x14ac:dyDescent="0.2">
      <c r="K79" t="s">
        <v>2</v>
      </c>
      <c r="L79" s="1">
        <v>0.54349999999999998</v>
      </c>
      <c r="M79">
        <v>4</v>
      </c>
      <c r="N79">
        <f>L79*M79</f>
        <v>2.1739999999999999</v>
      </c>
      <c r="T79" s="32" t="s">
        <v>143</v>
      </c>
      <c r="U79" s="50">
        <f>_xlfn.TEXTBEFORE(T79,"k")*1000/(5*(1+_xlfn.TEXTBEFORE(_xlfn.TEXTAFTER(U$2,"+"),"%")/100)*1.25)</f>
        <v>43232.876712328769</v>
      </c>
      <c r="V79" s="46">
        <f t="shared" si="14"/>
        <v>79038.317054845989</v>
      </c>
      <c r="W79" s="22">
        <v>0</v>
      </c>
      <c r="X79" s="12">
        <f t="shared" si="10"/>
        <v>4920</v>
      </c>
      <c r="Y79" s="12">
        <v>3</v>
      </c>
      <c r="Z79" s="12">
        <f t="shared" si="15"/>
        <v>21</v>
      </c>
      <c r="AA79" s="12">
        <v>0</v>
      </c>
      <c r="AB79" s="12">
        <f t="shared" si="16"/>
        <v>145</v>
      </c>
    </row>
    <row r="80" spans="2:28" x14ac:dyDescent="0.2">
      <c r="K80" t="s">
        <v>3</v>
      </c>
      <c r="L80" s="1">
        <v>0.43480000000000002</v>
      </c>
      <c r="M80">
        <v>5</v>
      </c>
      <c r="N80">
        <f>L80*M80</f>
        <v>2.1739999999999999</v>
      </c>
      <c r="T80" s="32" t="s">
        <v>144</v>
      </c>
      <c r="U80" s="50">
        <f>_xlfn.TEXTBEFORE(T80,"k")*1000/(5*(1+_xlfn.TEXTBEFORE(_xlfn.TEXTAFTER(U$2,"+"),"%")/100)*1.25)</f>
        <v>44876.71232876712</v>
      </c>
      <c r="V80" s="46">
        <f t="shared" si="14"/>
        <v>82043.576258452304</v>
      </c>
      <c r="W80" s="22">
        <v>375</v>
      </c>
      <c r="X80" s="12">
        <f t="shared" si="10"/>
        <v>5295</v>
      </c>
      <c r="Y80" s="12">
        <v>0</v>
      </c>
      <c r="Z80" s="12">
        <f t="shared" si="15"/>
        <v>21</v>
      </c>
      <c r="AA80" s="12">
        <v>0</v>
      </c>
      <c r="AB80" s="12">
        <f t="shared" si="16"/>
        <v>145</v>
      </c>
    </row>
    <row r="81" spans="11:28" x14ac:dyDescent="0.2">
      <c r="K81" t="s">
        <v>4</v>
      </c>
      <c r="L81" s="1">
        <v>0.43480000000000002</v>
      </c>
      <c r="M81">
        <v>5</v>
      </c>
      <c r="N81">
        <f>L81*M81</f>
        <v>2.1739999999999999</v>
      </c>
      <c r="T81" s="32" t="s">
        <v>145</v>
      </c>
      <c r="U81" s="50">
        <f>_xlfn.TEXTBEFORE(T81,"k")*1000/(5*(1+_xlfn.TEXTBEFORE(_xlfn.TEXTAFTER(U$2,"+"),"%")/100)*1.25)</f>
        <v>46465.753424657538</v>
      </c>
      <c r="V81" s="46">
        <f t="shared" si="14"/>
        <v>84948.660155271733</v>
      </c>
      <c r="W81" s="22">
        <v>0</v>
      </c>
      <c r="X81" s="12">
        <f t="shared" si="10"/>
        <v>5295</v>
      </c>
      <c r="Y81" s="12">
        <v>0</v>
      </c>
      <c r="Z81" s="12">
        <f t="shared" si="15"/>
        <v>21</v>
      </c>
      <c r="AA81" s="12">
        <v>10</v>
      </c>
      <c r="AB81" s="12">
        <f t="shared" si="16"/>
        <v>155</v>
      </c>
    </row>
    <row r="82" spans="11:28" x14ac:dyDescent="0.2">
      <c r="K82" t="s">
        <v>5</v>
      </c>
      <c r="L82" s="1">
        <v>0.36230000000000001</v>
      </c>
      <c r="M82">
        <v>6</v>
      </c>
      <c r="N82">
        <f>L82*M82</f>
        <v>2.1738</v>
      </c>
      <c r="T82" s="32" t="s">
        <v>146</v>
      </c>
      <c r="U82" s="50">
        <f>_xlfn.TEXTBEFORE(T82,"k")*1000/(5*(1+_xlfn.TEXTBEFORE(_xlfn.TEXTAFTER(U$2,"+"),"%")/100)*1.25)</f>
        <v>48164.383561643837</v>
      </c>
      <c r="V82" s="46">
        <f t="shared" si="14"/>
        <v>88054.094665664918</v>
      </c>
      <c r="W82" s="22">
        <v>375</v>
      </c>
      <c r="X82" s="12">
        <f t="shared" si="10"/>
        <v>5670</v>
      </c>
      <c r="Y82" s="12">
        <v>0</v>
      </c>
      <c r="Z82" s="12">
        <f t="shared" si="15"/>
        <v>21</v>
      </c>
      <c r="AA82" s="12">
        <v>0</v>
      </c>
      <c r="AB82" s="12">
        <f t="shared" si="16"/>
        <v>155</v>
      </c>
    </row>
    <row r="83" spans="11:28" x14ac:dyDescent="0.2">
      <c r="K83" t="s">
        <v>6</v>
      </c>
      <c r="L83" s="1">
        <v>0.36230000000000001</v>
      </c>
      <c r="M83">
        <v>6</v>
      </c>
      <c r="N83">
        <f>L83*M83</f>
        <v>2.1738</v>
      </c>
      <c r="T83" s="32" t="s">
        <v>147</v>
      </c>
      <c r="U83" s="50">
        <f>_xlfn.TEXTBEFORE(T83,"k")*1000/(5*(1+_xlfn.TEXTBEFORE(_xlfn.TEXTAFTER(U$2,"+"),"%")/100)*1.25)</f>
        <v>49863.013698630137</v>
      </c>
      <c r="V83" s="46">
        <f t="shared" si="14"/>
        <v>91159.529176058117</v>
      </c>
      <c r="W83" s="22">
        <v>0</v>
      </c>
      <c r="X83" s="12">
        <f t="shared" si="10"/>
        <v>5670</v>
      </c>
      <c r="Y83" s="12">
        <v>0</v>
      </c>
      <c r="Z83" s="12">
        <f t="shared" si="15"/>
        <v>21</v>
      </c>
      <c r="AA83" s="12">
        <v>10</v>
      </c>
      <c r="AB83" s="12">
        <f t="shared" si="16"/>
        <v>165</v>
      </c>
    </row>
    <row r="84" spans="11:28" x14ac:dyDescent="0.2">
      <c r="K84" t="s">
        <v>7</v>
      </c>
      <c r="L84" s="1">
        <v>0.3105</v>
      </c>
      <c r="M84">
        <v>7</v>
      </c>
      <c r="N84">
        <f>L84*M84</f>
        <v>2.1734999999999998</v>
      </c>
      <c r="T84" s="32" t="s">
        <v>148</v>
      </c>
      <c r="U84" s="50">
        <f>_xlfn.TEXTBEFORE(T84,"k")*1000/(5*(1+_xlfn.TEXTBEFORE(_xlfn.TEXTAFTER(U$2,"+"),"%")/100)*1.25)</f>
        <v>51452.054794520547</v>
      </c>
      <c r="V84" s="46">
        <f t="shared" si="14"/>
        <v>94064.613072877532</v>
      </c>
      <c r="W84" s="22">
        <v>90</v>
      </c>
      <c r="X84" s="12">
        <f t="shared" si="10"/>
        <v>5760</v>
      </c>
      <c r="Y84" s="12">
        <v>0</v>
      </c>
      <c r="Z84" s="12">
        <f t="shared" si="15"/>
        <v>21</v>
      </c>
      <c r="AA84" s="12">
        <v>0</v>
      </c>
      <c r="AB84" s="12">
        <f t="shared" si="16"/>
        <v>165</v>
      </c>
    </row>
    <row r="85" spans="11:28" x14ac:dyDescent="0.2">
      <c r="K85" t="s">
        <v>8</v>
      </c>
      <c r="L85" s="1">
        <v>0.3105</v>
      </c>
      <c r="M85">
        <v>7</v>
      </c>
      <c r="N85">
        <f>L85*M85</f>
        <v>2.1734999999999998</v>
      </c>
      <c r="T85" s="32" t="s">
        <v>149</v>
      </c>
      <c r="U85" s="50">
        <f>_xlfn.TEXTBEFORE(T85,"k")*1000/(5*(1+_xlfn.TEXTBEFORE(_xlfn.TEXTAFTER(U$2,"+"),"%")/100)*1.25)</f>
        <v>53041.095890410958</v>
      </c>
      <c r="V85" s="46">
        <f t="shared" si="14"/>
        <v>96969.696969696975</v>
      </c>
      <c r="W85" s="22">
        <v>0</v>
      </c>
      <c r="X85" s="12">
        <f t="shared" si="10"/>
        <v>5760</v>
      </c>
      <c r="Y85" s="12">
        <v>0</v>
      </c>
      <c r="Z85" s="12">
        <f t="shared" si="15"/>
        <v>21</v>
      </c>
      <c r="AA85" s="12">
        <v>5</v>
      </c>
      <c r="AB85" s="12">
        <f t="shared" si="16"/>
        <v>170</v>
      </c>
    </row>
    <row r="86" spans="11:28" x14ac:dyDescent="0.2">
      <c r="K86" t="s">
        <v>9</v>
      </c>
      <c r="L86" s="1">
        <v>0.27179999999999999</v>
      </c>
      <c r="M86">
        <v>8</v>
      </c>
      <c r="N86">
        <f>L86*M86</f>
        <v>2.1743999999999999</v>
      </c>
      <c r="T86" s="32" t="s">
        <v>150</v>
      </c>
      <c r="U86" s="50">
        <f>_xlfn.TEXTBEFORE(T86,"k")*1000/(5*(1+_xlfn.TEXTBEFORE(_xlfn.TEXTAFTER(U$2,"+"),"%")/100)*1.25)</f>
        <v>54630.136986301368</v>
      </c>
      <c r="V86" s="46">
        <f t="shared" si="14"/>
        <v>99874.780866516405</v>
      </c>
      <c r="W86" s="22">
        <v>0</v>
      </c>
      <c r="X86" s="12">
        <f t="shared" si="10"/>
        <v>5760</v>
      </c>
      <c r="Y86" s="12">
        <v>2</v>
      </c>
      <c r="Z86" s="12">
        <f t="shared" si="15"/>
        <v>23</v>
      </c>
      <c r="AA86" s="12">
        <v>0</v>
      </c>
      <c r="AB86" s="12">
        <f t="shared" si="16"/>
        <v>170</v>
      </c>
    </row>
    <row r="87" spans="11:28" x14ac:dyDescent="0.2">
      <c r="K87" t="s">
        <v>10</v>
      </c>
      <c r="L87" s="1">
        <v>0.27179999999999999</v>
      </c>
      <c r="M87">
        <v>8</v>
      </c>
      <c r="N87">
        <f>L87*M87</f>
        <v>2.1743999999999999</v>
      </c>
      <c r="T87" s="32" t="s">
        <v>151</v>
      </c>
      <c r="U87" s="50">
        <f>_xlfn.TEXTBEFORE(T87,"k")*1000/(5*(1+_xlfn.TEXTBEFORE(_xlfn.TEXTAFTER(U$2,"+"),"%")/100)*1.25)</f>
        <v>55890.410958904111</v>
      </c>
      <c r="V87" s="46">
        <f t="shared" si="14"/>
        <v>102178.81292261458</v>
      </c>
      <c r="W87" s="22">
        <v>0</v>
      </c>
      <c r="X87" s="12">
        <f t="shared" si="10"/>
        <v>5760</v>
      </c>
      <c r="Y87" s="12">
        <v>0</v>
      </c>
      <c r="Z87" s="12">
        <f t="shared" si="15"/>
        <v>23</v>
      </c>
      <c r="AA87" s="12">
        <v>0</v>
      </c>
      <c r="AB87" s="12">
        <f t="shared" si="16"/>
        <v>170</v>
      </c>
    </row>
    <row r="88" spans="11:28" x14ac:dyDescent="0.2">
      <c r="K88" t="s">
        <v>11</v>
      </c>
      <c r="L88" s="1">
        <v>0.26100000000000001</v>
      </c>
      <c r="N88">
        <f>L88*M88</f>
        <v>0</v>
      </c>
      <c r="T88" s="32" t="s">
        <v>152</v>
      </c>
      <c r="U88" s="50">
        <f>_xlfn.TEXTBEFORE(T88,"k")*1000/(5*(1+_xlfn.TEXTBEFORE(_xlfn.TEXTAFTER(U$2,"+"),"%")/100)*1.25)</f>
        <v>57534.246575342462</v>
      </c>
      <c r="V88" s="46">
        <f t="shared" si="14"/>
        <v>105184.0721262209</v>
      </c>
      <c r="W88" s="22">
        <v>0</v>
      </c>
      <c r="X88" s="12">
        <f t="shared" si="10"/>
        <v>5760</v>
      </c>
      <c r="Y88" s="12">
        <v>0</v>
      </c>
      <c r="Z88" s="12">
        <f t="shared" si="15"/>
        <v>23</v>
      </c>
      <c r="AA88" s="12">
        <v>0</v>
      </c>
      <c r="AB88" s="12">
        <f t="shared" si="16"/>
        <v>170</v>
      </c>
    </row>
    <row r="89" spans="11:28" x14ac:dyDescent="0.2">
      <c r="K89" t="s">
        <v>12</v>
      </c>
      <c r="L89" s="1">
        <v>0.26100000000000001</v>
      </c>
      <c r="N89">
        <f>L89*M89</f>
        <v>0</v>
      </c>
      <c r="T89" s="32" t="s">
        <v>153</v>
      </c>
      <c r="U89" s="50">
        <f>_xlfn.TEXTBEFORE(T89,"k")*1000/(5*(1+_xlfn.TEXTBEFORE(_xlfn.TEXTAFTER(U$2,"+"),"%")/100)*1.25)</f>
        <v>59178.082191780821</v>
      </c>
      <c r="V89" s="46">
        <f t="shared" si="14"/>
        <v>108189.33132982721</v>
      </c>
      <c r="W89" s="22">
        <v>90</v>
      </c>
      <c r="X89" s="12">
        <f t="shared" si="10"/>
        <v>5850</v>
      </c>
      <c r="Y89" s="12">
        <v>0</v>
      </c>
      <c r="Z89" s="12">
        <f t="shared" si="15"/>
        <v>23</v>
      </c>
      <c r="AA89" s="12">
        <v>0</v>
      </c>
      <c r="AB89" s="12">
        <f t="shared" si="16"/>
        <v>170</v>
      </c>
    </row>
    <row r="90" spans="11:28" x14ac:dyDescent="0.2">
      <c r="K90" t="s">
        <v>13</v>
      </c>
      <c r="L90" s="1">
        <v>0.2175</v>
      </c>
      <c r="M90">
        <v>15</v>
      </c>
      <c r="N90">
        <f>L90*M90</f>
        <v>3.2625000000000002</v>
      </c>
      <c r="T90" s="32" t="s">
        <v>168</v>
      </c>
      <c r="U90" s="50">
        <f>_xlfn.TEXTBEFORE(T90,"k")*1000/(5*(1+_xlfn.TEXTBEFORE(_xlfn.TEXTAFTER(U$2,"+"),"%")/100)*1.25)</f>
        <v>60821.917808219179</v>
      </c>
      <c r="V90" s="46">
        <f t="shared" si="14"/>
        <v>111194.59053343351</v>
      </c>
      <c r="W90" s="22">
        <v>0</v>
      </c>
      <c r="X90" s="12">
        <f t="shared" si="10"/>
        <v>5850</v>
      </c>
      <c r="Y90" s="12">
        <v>0</v>
      </c>
      <c r="Z90" s="12">
        <f t="shared" si="15"/>
        <v>23</v>
      </c>
      <c r="AA90" s="12">
        <v>5</v>
      </c>
      <c r="AB90" s="12">
        <f t="shared" si="16"/>
        <v>175</v>
      </c>
    </row>
    <row r="91" spans="11:28" x14ac:dyDescent="0.2">
      <c r="K91" t="s">
        <v>14</v>
      </c>
      <c r="L91" s="1">
        <v>0.2175</v>
      </c>
      <c r="M91">
        <v>15</v>
      </c>
      <c r="N91">
        <f>L91*M91</f>
        <v>3.2625000000000002</v>
      </c>
      <c r="T91" s="32" t="s">
        <v>154</v>
      </c>
      <c r="U91" s="50">
        <f>_xlfn.TEXTBEFORE(T91,"k")*1000/(5*(1+_xlfn.TEXTBEFORE(_xlfn.TEXTAFTER(U$2,"+"),"%")/100)*1.25)</f>
        <v>61917.808219178085</v>
      </c>
      <c r="V91" s="46">
        <f t="shared" si="14"/>
        <v>113198.09666917106</v>
      </c>
      <c r="W91" s="22">
        <v>0</v>
      </c>
      <c r="X91" s="12">
        <f t="shared" si="10"/>
        <v>5850</v>
      </c>
      <c r="Y91" s="12">
        <v>2</v>
      </c>
      <c r="Z91" s="12">
        <f t="shared" si="15"/>
        <v>25</v>
      </c>
      <c r="AA91" s="12">
        <v>0</v>
      </c>
      <c r="AB91" s="12">
        <f t="shared" si="16"/>
        <v>175</v>
      </c>
    </row>
    <row r="92" spans="11:28" x14ac:dyDescent="0.2">
      <c r="K92" t="s">
        <v>15</v>
      </c>
      <c r="L92" s="1">
        <v>0.16980000000000001</v>
      </c>
      <c r="M92">
        <v>20</v>
      </c>
      <c r="N92">
        <f>L92*M92</f>
        <v>3.3959999999999999</v>
      </c>
      <c r="T92" s="32" t="s">
        <v>155</v>
      </c>
      <c r="U92" s="50">
        <f>_xlfn.TEXTBEFORE(T92,"k")*1000/(5*(1+_xlfn.TEXTBEFORE(_xlfn.TEXTAFTER(U$2,"+"),"%")/100)*1.25)</f>
        <v>63561.643835616436</v>
      </c>
      <c r="V92" s="46">
        <f t="shared" si="14"/>
        <v>116203.35587277735</v>
      </c>
      <c r="W92" s="22">
        <v>105</v>
      </c>
      <c r="X92" s="12">
        <f t="shared" si="10"/>
        <v>5955</v>
      </c>
      <c r="Y92" s="12">
        <v>0</v>
      </c>
      <c r="Z92" s="12">
        <f t="shared" si="15"/>
        <v>25</v>
      </c>
      <c r="AA92" s="12">
        <v>0</v>
      </c>
      <c r="AB92" s="12">
        <f t="shared" si="16"/>
        <v>175</v>
      </c>
    </row>
    <row r="93" spans="11:28" x14ac:dyDescent="0.2">
      <c r="K93" t="s">
        <v>16</v>
      </c>
      <c r="L93" s="1">
        <v>0.16980000000000001</v>
      </c>
      <c r="M93">
        <v>20</v>
      </c>
      <c r="N93">
        <f>L93*M93</f>
        <v>3.3959999999999999</v>
      </c>
      <c r="T93" s="32" t="s">
        <v>156</v>
      </c>
      <c r="U93" s="50">
        <f>_xlfn.TEXTBEFORE(T93,"k")*1000/(5*(1+_xlfn.TEXTBEFORE(_xlfn.TEXTAFTER(U$2,"+"),"%")/100)*1.25)</f>
        <v>65205.479452054795</v>
      </c>
      <c r="V93" s="46">
        <f t="shared" si="14"/>
        <v>119208.61507638368</v>
      </c>
      <c r="W93" s="22">
        <v>0</v>
      </c>
      <c r="X93" s="12">
        <f t="shared" si="10"/>
        <v>5955</v>
      </c>
      <c r="Y93" s="12">
        <v>0</v>
      </c>
      <c r="Z93" s="12">
        <f t="shared" si="15"/>
        <v>25</v>
      </c>
      <c r="AA93" s="12">
        <v>5</v>
      </c>
      <c r="AB93" s="12">
        <f t="shared" si="16"/>
        <v>180</v>
      </c>
    </row>
    <row r="94" spans="11:28" x14ac:dyDescent="0.2">
      <c r="K94" t="s">
        <v>17</v>
      </c>
      <c r="L94" s="1">
        <v>0.15160000000000001</v>
      </c>
      <c r="M94">
        <v>25</v>
      </c>
      <c r="N94">
        <f>L94*M94</f>
        <v>3.7900000000000005</v>
      </c>
      <c r="T94" s="32" t="s">
        <v>157</v>
      </c>
      <c r="U94" s="50">
        <f>_xlfn.TEXTBEFORE(T94,"k")*1000/(5*(1+_xlfn.TEXTBEFORE(_xlfn.TEXTAFTER(U$2,"+"),"%")/100)*1.25)</f>
        <v>66849.315068493146</v>
      </c>
      <c r="V94" s="46">
        <f t="shared" si="14"/>
        <v>122213.87427998998</v>
      </c>
      <c r="W94" s="22">
        <v>0</v>
      </c>
      <c r="X94" s="12">
        <f t="shared" si="10"/>
        <v>5955</v>
      </c>
      <c r="Y94" s="12">
        <v>2</v>
      </c>
      <c r="Z94" s="12">
        <f t="shared" si="15"/>
        <v>27</v>
      </c>
      <c r="AA94" s="12">
        <v>0</v>
      </c>
      <c r="AB94" s="12">
        <f t="shared" si="16"/>
        <v>180</v>
      </c>
    </row>
    <row r="95" spans="11:28" x14ac:dyDescent="0.2">
      <c r="K95" t="s">
        <v>18</v>
      </c>
      <c r="L95" s="1">
        <v>0.15160000000000001</v>
      </c>
      <c r="M95">
        <v>25</v>
      </c>
      <c r="N95">
        <f>L95*M95</f>
        <v>3.7900000000000005</v>
      </c>
      <c r="T95" s="32" t="s">
        <v>158</v>
      </c>
      <c r="U95" s="50">
        <f>_xlfn.TEXTBEFORE(T95,"k")*1000/(5*(1+_xlfn.TEXTBEFORE(_xlfn.TEXTAFTER(U$2,"+"),"%")/100)*1.25)</f>
        <v>68493.150684931505</v>
      </c>
      <c r="V95" s="46">
        <f t="shared" si="14"/>
        <v>125219.13348359631</v>
      </c>
      <c r="W95" s="22">
        <v>105</v>
      </c>
      <c r="X95" s="12">
        <f t="shared" si="10"/>
        <v>6060</v>
      </c>
      <c r="Y95" s="12">
        <v>0</v>
      </c>
      <c r="Z95" s="12">
        <f t="shared" si="15"/>
        <v>27</v>
      </c>
      <c r="AA95" s="12">
        <v>0</v>
      </c>
      <c r="AB95" s="12">
        <f t="shared" si="16"/>
        <v>180</v>
      </c>
    </row>
    <row r="96" spans="11:28" x14ac:dyDescent="0.2">
      <c r="K96" t="s">
        <v>19</v>
      </c>
      <c r="L96" s="1">
        <v>0.12809999999999999</v>
      </c>
      <c r="M96">
        <v>30</v>
      </c>
      <c r="N96">
        <f>L96*M96</f>
        <v>3.843</v>
      </c>
      <c r="T96" s="32" t="s">
        <v>159</v>
      </c>
      <c r="U96" s="50">
        <f>_xlfn.TEXTBEFORE(T96,"k")*1000/(5*(1+_xlfn.TEXTBEFORE(_xlfn.TEXTAFTER(U$2,"+"),"%")/100)*1.25)</f>
        <v>70136.986301369863</v>
      </c>
      <c r="V96" s="46">
        <f t="shared" si="14"/>
        <v>128224.39268720261</v>
      </c>
      <c r="W96" s="22">
        <v>0</v>
      </c>
      <c r="X96" s="12">
        <f t="shared" si="10"/>
        <v>6060</v>
      </c>
      <c r="Y96" s="12">
        <v>0</v>
      </c>
      <c r="Z96" s="12">
        <f t="shared" si="15"/>
        <v>27</v>
      </c>
      <c r="AA96" s="12">
        <v>5</v>
      </c>
      <c r="AB96" s="12">
        <f t="shared" si="16"/>
        <v>185</v>
      </c>
    </row>
    <row r="97" spans="11:28" x14ac:dyDescent="0.2">
      <c r="K97" t="s">
        <v>20</v>
      </c>
      <c r="L97" s="1">
        <v>0.12809999999999999</v>
      </c>
      <c r="M97">
        <v>30</v>
      </c>
      <c r="N97">
        <f>L97*M97</f>
        <v>3.843</v>
      </c>
      <c r="T97" s="32" t="s">
        <v>160</v>
      </c>
      <c r="U97" s="50">
        <f>_xlfn.TEXTBEFORE(T97,"k")*1000/(5*(1+_xlfn.TEXTBEFORE(_xlfn.TEXTAFTER(U$2,"+"),"%")/100)*1.25)</f>
        <v>71780.821917808222</v>
      </c>
      <c r="V97" s="46">
        <f t="shared" si="14"/>
        <v>131229.65189080892</v>
      </c>
      <c r="W97" s="22">
        <v>0</v>
      </c>
      <c r="X97" s="12">
        <f t="shared" si="10"/>
        <v>6060</v>
      </c>
      <c r="Y97" s="12">
        <v>2</v>
      </c>
      <c r="Z97" s="12">
        <f t="shared" si="15"/>
        <v>29</v>
      </c>
      <c r="AA97" s="12">
        <v>0</v>
      </c>
      <c r="AB97" s="12">
        <f t="shared" si="16"/>
        <v>185</v>
      </c>
    </row>
    <row r="98" spans="11:28" x14ac:dyDescent="0.2">
      <c r="K98" t="s">
        <v>21</v>
      </c>
      <c r="L98" s="1">
        <v>8.8800000000000004E-2</v>
      </c>
      <c r="M98">
        <v>45</v>
      </c>
      <c r="N98">
        <f>L98*M98</f>
        <v>3.996</v>
      </c>
      <c r="T98" s="32" t="s">
        <v>161</v>
      </c>
      <c r="U98" s="50">
        <f>_xlfn.TEXTBEFORE(T98,"k")*1000/(5*(1+_xlfn.TEXTBEFORE(_xlfn.TEXTAFTER(U$2,"+"),"%")/100)*1.25)</f>
        <v>72876.712328767127</v>
      </c>
      <c r="V98" s="46">
        <f t="shared" si="14"/>
        <v>133233.15802654644</v>
      </c>
      <c r="W98" s="22">
        <v>105</v>
      </c>
      <c r="X98" s="12">
        <f t="shared" si="10"/>
        <v>6165</v>
      </c>
      <c r="Y98" s="12">
        <v>0</v>
      </c>
      <c r="Z98" s="12">
        <f t="shared" si="15"/>
        <v>29</v>
      </c>
      <c r="AA98" s="12">
        <v>0</v>
      </c>
      <c r="AB98" s="12">
        <f t="shared" si="16"/>
        <v>185</v>
      </c>
    </row>
    <row r="99" spans="11:28" x14ac:dyDescent="0.2">
      <c r="K99" t="s">
        <v>22</v>
      </c>
      <c r="L99" s="1">
        <v>8.8800000000000004E-2</v>
      </c>
      <c r="M99">
        <v>45</v>
      </c>
      <c r="N99">
        <f>L99*M99</f>
        <v>3.996</v>
      </c>
      <c r="T99" s="32" t="s">
        <v>162</v>
      </c>
      <c r="U99" s="50">
        <f>_xlfn.TEXTBEFORE(T99,"k")*1000/(5*(1+_xlfn.TEXTBEFORE(_xlfn.TEXTAFTER(U$2,"+"),"%")/100)*1.25)</f>
        <v>74520.547945205486</v>
      </c>
      <c r="V99" s="46">
        <f t="shared" si="14"/>
        <v>136238.41723015279</v>
      </c>
      <c r="W99" s="22">
        <v>0</v>
      </c>
      <c r="X99" s="12">
        <f t="shared" si="10"/>
        <v>6165</v>
      </c>
      <c r="Y99" s="12">
        <v>0</v>
      </c>
      <c r="Z99" s="12">
        <f t="shared" si="15"/>
        <v>29</v>
      </c>
      <c r="AA99" s="12">
        <v>5</v>
      </c>
      <c r="AB99" s="12">
        <f t="shared" si="16"/>
        <v>190</v>
      </c>
    </row>
    <row r="100" spans="11:28" x14ac:dyDescent="0.2">
      <c r="K100" t="s">
        <v>23</v>
      </c>
      <c r="L100" s="1">
        <v>4.1500000000000002E-2</v>
      </c>
      <c r="M100">
        <v>100</v>
      </c>
      <c r="N100">
        <f>L100*M100</f>
        <v>4.1500000000000004</v>
      </c>
      <c r="T100" s="32" t="s">
        <v>163</v>
      </c>
      <c r="U100" s="50">
        <f>_xlfn.TEXTBEFORE(T100,"k")*1000/(5*(1+_xlfn.TEXTBEFORE(_xlfn.TEXTAFTER(U$2,"+"),"%")/100)*1.25)</f>
        <v>76164.38356164383</v>
      </c>
      <c r="V100" s="46">
        <f t="shared" si="14"/>
        <v>139243.67643375907</v>
      </c>
      <c r="W100" s="22">
        <v>0</v>
      </c>
      <c r="X100" s="12">
        <f t="shared" si="10"/>
        <v>6165</v>
      </c>
      <c r="Y100" s="12">
        <v>2</v>
      </c>
      <c r="Z100" s="12">
        <f t="shared" si="15"/>
        <v>31</v>
      </c>
      <c r="AA100" s="12">
        <v>0</v>
      </c>
      <c r="AB100" s="12">
        <f t="shared" si="16"/>
        <v>190</v>
      </c>
    </row>
    <row r="101" spans="11:28" x14ac:dyDescent="0.2">
      <c r="K101" t="s">
        <v>32</v>
      </c>
      <c r="L101" s="1">
        <v>3.7499999999999999E-2</v>
      </c>
      <c r="M101">
        <v>150</v>
      </c>
      <c r="N101">
        <f>L101*M101</f>
        <v>5.625</v>
      </c>
      <c r="T101" s="32" t="s">
        <v>164</v>
      </c>
      <c r="U101" s="50">
        <f>_xlfn.TEXTBEFORE(T101,"k")*1000/(5*(1+_xlfn.TEXTBEFORE(_xlfn.TEXTAFTER(U$2,"+"),"%")/100)*1.25)</f>
        <v>77808.219178082189</v>
      </c>
      <c r="V101" s="46">
        <f>_xlfn.TEXTBEFORE(T101,"k")*1000/5/(1+_xlfn.TEXTBEFORE(_xlfn.TEXTAFTER(V$2,"+"),"%")/100)/2/1.25/0.22</f>
        <v>142248.93563736542</v>
      </c>
      <c r="W101" s="22">
        <v>105</v>
      </c>
      <c r="X101" s="12">
        <f t="shared" si="10"/>
        <v>6270</v>
      </c>
      <c r="Y101" s="12">
        <v>0</v>
      </c>
      <c r="Z101" s="12">
        <f t="shared" si="15"/>
        <v>31</v>
      </c>
      <c r="AA101" s="12">
        <v>0</v>
      </c>
      <c r="AB101" s="12">
        <f t="shared" si="16"/>
        <v>190</v>
      </c>
    </row>
    <row r="102" spans="11:28" ht="15.75" thickBot="1" x14ac:dyDescent="0.25">
      <c r="K102" t="s">
        <v>24</v>
      </c>
      <c r="L102" s="1">
        <v>3.3500000000000002E-2</v>
      </c>
      <c r="M102">
        <v>200</v>
      </c>
      <c r="N102">
        <f>L102*M102</f>
        <v>6.7</v>
      </c>
      <c r="T102" s="28" t="s">
        <v>165</v>
      </c>
      <c r="U102" s="50">
        <f>_xlfn.TEXTBEFORE(T102,"k")*1000/(5*(1+_xlfn.TEXTBEFORE(_xlfn.TEXTAFTER(U$2,"+"),"%")/100)*1.25)</f>
        <v>79452.054794520547</v>
      </c>
      <c r="V102" s="47">
        <f>_xlfn.TEXTBEFORE(T102,"k")*1000/5/(1+_xlfn.TEXTBEFORE(_xlfn.TEXTAFTER(V$2,"+"),"%")/100)/2/1.25/0.22</f>
        <v>145254.1948409717</v>
      </c>
      <c r="W102" s="24">
        <v>0</v>
      </c>
      <c r="X102" s="12">
        <f t="shared" si="10"/>
        <v>6270</v>
      </c>
      <c r="Y102" s="25">
        <v>0</v>
      </c>
      <c r="Z102" s="12">
        <f t="shared" si="15"/>
        <v>31</v>
      </c>
      <c r="AA102" s="25">
        <v>0</v>
      </c>
      <c r="AB102" s="12">
        <f t="shared" si="16"/>
        <v>190</v>
      </c>
    </row>
    <row r="103" spans="11:28" x14ac:dyDescent="0.2">
      <c r="K103" t="s">
        <v>25</v>
      </c>
      <c r="L103" s="1">
        <v>2.9499999999999998E-2</v>
      </c>
      <c r="M103">
        <v>300</v>
      </c>
      <c r="N103">
        <f>L103*M103</f>
        <v>8.85</v>
      </c>
    </row>
    <row r="104" spans="11:28" x14ac:dyDescent="0.2">
      <c r="K104" t="s">
        <v>26</v>
      </c>
      <c r="L104" s="1">
        <v>2.5000000000000001E-2</v>
      </c>
      <c r="M104">
        <v>500</v>
      </c>
      <c r="N104">
        <f>L104*M104</f>
        <v>12.5</v>
      </c>
    </row>
    <row r="105" spans="11:28" x14ac:dyDescent="0.2">
      <c r="K105" t="s">
        <v>27</v>
      </c>
      <c r="L105" s="1">
        <v>2.0500000000000001E-2</v>
      </c>
      <c r="M105">
        <v>700</v>
      </c>
      <c r="N105">
        <f>L105*M105</f>
        <v>14.350000000000001</v>
      </c>
    </row>
    <row r="106" spans="11:28" x14ac:dyDescent="0.2">
      <c r="K106" t="s">
        <v>28</v>
      </c>
      <c r="L106" s="1">
        <v>1.6500000000000001E-2</v>
      </c>
      <c r="M106">
        <v>1000</v>
      </c>
      <c r="N106">
        <f>L106*M106</f>
        <v>16.5</v>
      </c>
    </row>
    <row r="107" spans="11:28" x14ac:dyDescent="0.2">
      <c r="K107" t="s">
        <v>29</v>
      </c>
      <c r="L107" s="1">
        <v>1.2500000000000001E-2</v>
      </c>
      <c r="M107">
        <v>1500</v>
      </c>
      <c r="N107">
        <f>L107*M107</f>
        <v>18.75</v>
      </c>
    </row>
    <row r="119" spans="15:15" x14ac:dyDescent="0.2">
      <c r="O119">
        <f>25000000/17.65/1.1</f>
        <v>1287664.1771825908</v>
      </c>
    </row>
  </sheetData>
  <mergeCells count="4">
    <mergeCell ref="K1:R1"/>
    <mergeCell ref="B1:I1"/>
    <mergeCell ref="T1:AB1"/>
    <mergeCell ref="K75:N7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F2770-128D-974A-9392-43FC6288388B}">
  <dimension ref="A1:AC1021"/>
  <sheetViews>
    <sheetView tabSelected="1" topLeftCell="S20" zoomScaleNormal="150" zoomScaleSheetLayoutView="100" workbookViewId="0">
      <selection activeCell="U28" sqref="U28"/>
    </sheetView>
  </sheetViews>
  <sheetFormatPr defaultRowHeight="15" x14ac:dyDescent="0.2"/>
  <cols>
    <col min="8" max="8" width="7.53125" bestFit="1" customWidth="1"/>
    <col min="9" max="9" width="7.12890625" customWidth="1"/>
    <col min="10" max="10" width="7.3984375" style="70" bestFit="1" customWidth="1"/>
    <col min="11" max="11" width="10.0859375" customWidth="1"/>
    <col min="12" max="12" width="8.203125" customWidth="1"/>
    <col min="15" max="15" width="8.7421875" bestFit="1" customWidth="1"/>
    <col min="17" max="17" width="7.93359375" customWidth="1"/>
    <col min="25" max="25" width="10.4921875" bestFit="1" customWidth="1"/>
    <col min="26" max="26" width="14.52734375" bestFit="1" customWidth="1"/>
    <col min="27" max="28" width="15.73828125" bestFit="1" customWidth="1"/>
  </cols>
  <sheetData>
    <row r="1" spans="1:23" x14ac:dyDescent="0.2">
      <c r="A1" s="27" t="s">
        <v>30</v>
      </c>
      <c r="B1" s="27" t="s">
        <v>31</v>
      </c>
      <c r="C1" s="27" t="s">
        <v>60</v>
      </c>
      <c r="D1" s="27" t="s">
        <v>68</v>
      </c>
      <c r="F1" s="27" t="s">
        <v>30</v>
      </c>
      <c r="G1" s="62" t="s">
        <v>214</v>
      </c>
      <c r="H1" s="27" t="s">
        <v>31</v>
      </c>
      <c r="I1" s="27" t="s">
        <v>60</v>
      </c>
      <c r="J1" s="67" t="s">
        <v>68</v>
      </c>
      <c r="K1" s="27" t="s">
        <v>213</v>
      </c>
      <c r="L1" s="27" t="s">
        <v>53</v>
      </c>
    </row>
    <row r="2" spans="1:23" x14ac:dyDescent="0.2">
      <c r="A2" s="27" t="s">
        <v>0</v>
      </c>
      <c r="B2" s="61">
        <v>0.86960000000000004</v>
      </c>
      <c r="C2" s="12">
        <v>2</v>
      </c>
      <c r="D2" s="12">
        <f>B2*C2</f>
        <v>1.7392000000000001</v>
      </c>
      <c r="F2" s="63" t="s">
        <v>2</v>
      </c>
      <c r="G2" s="62">
        <v>1</v>
      </c>
      <c r="H2" s="61">
        <f>VLOOKUP(F2,A2:D32,2,0)</f>
        <v>0.54349999999999998</v>
      </c>
      <c r="I2" s="12">
        <f>VLOOKUP(F2,A2:D32,3,0)</f>
        <v>4</v>
      </c>
      <c r="J2" s="68">
        <f>I2*H2</f>
        <v>2.1739999999999999</v>
      </c>
      <c r="K2" s="12">
        <f>I2^2*H2-J2^2</f>
        <v>3.9697240000000003</v>
      </c>
      <c r="L2" s="12">
        <f>K2^(1/2)</f>
        <v>1.9924166230986933</v>
      </c>
    </row>
    <row r="3" spans="1:23" x14ac:dyDescent="0.2">
      <c r="A3" s="27" t="s">
        <v>1</v>
      </c>
      <c r="B3" s="61">
        <v>0.7248</v>
      </c>
      <c r="C3" s="12">
        <v>3</v>
      </c>
      <c r="D3" s="12">
        <f>B3*C3</f>
        <v>2.1743999999999999</v>
      </c>
      <c r="G3" s="27">
        <v>2</v>
      </c>
      <c r="H3" s="61">
        <f>H2*1.02</f>
        <v>0.55437000000000003</v>
      </c>
      <c r="I3" s="12">
        <f>I2</f>
        <v>4</v>
      </c>
      <c r="J3" s="68">
        <f t="shared" ref="J3:J5" si="0">I3*H3</f>
        <v>2.2174800000000001</v>
      </c>
      <c r="K3" s="12">
        <f t="shared" ref="K3:K5" si="1">I3^2*H3-J3^2</f>
        <v>3.9527024496000003</v>
      </c>
      <c r="L3" s="12">
        <f t="shared" ref="L3:L5" si="2">K3^(1/2)</f>
        <v>1.9881404501694542</v>
      </c>
    </row>
    <row r="4" spans="1:23" x14ac:dyDescent="0.2">
      <c r="A4" s="27" t="s">
        <v>2</v>
      </c>
      <c r="B4" s="61">
        <v>0.54349999999999998</v>
      </c>
      <c r="C4" s="12">
        <v>4</v>
      </c>
      <c r="D4" s="12">
        <f>B4*C4</f>
        <v>2.1739999999999999</v>
      </c>
      <c r="G4" s="27">
        <v>3</v>
      </c>
      <c r="H4" s="61">
        <f>H2*1.05</f>
        <v>0.57067500000000004</v>
      </c>
      <c r="I4" s="12">
        <f t="shared" ref="I4:I5" si="3">I3</f>
        <v>4</v>
      </c>
      <c r="J4" s="68">
        <f t="shared" si="0"/>
        <v>2.2827000000000002</v>
      </c>
      <c r="K4" s="12">
        <f t="shared" si="1"/>
        <v>3.9200807099999997</v>
      </c>
      <c r="L4" s="12">
        <f t="shared" si="2"/>
        <v>1.9799193695703872</v>
      </c>
    </row>
    <row r="5" spans="1:23" x14ac:dyDescent="0.2">
      <c r="A5" s="27" t="s">
        <v>3</v>
      </c>
      <c r="B5" s="61">
        <v>0.43480000000000002</v>
      </c>
      <c r="C5" s="12">
        <v>5</v>
      </c>
      <c r="D5" s="12">
        <f>B5*C5</f>
        <v>2.1739999999999999</v>
      </c>
      <c r="G5" s="64">
        <v>4</v>
      </c>
      <c r="H5" s="65">
        <f>H2*1.1</f>
        <v>0.59784999999999999</v>
      </c>
      <c r="I5" s="66">
        <f t="shared" si="3"/>
        <v>4</v>
      </c>
      <c r="J5" s="69">
        <f t="shared" si="0"/>
        <v>2.3914</v>
      </c>
      <c r="K5" s="66">
        <f t="shared" si="1"/>
        <v>3.8468060399999997</v>
      </c>
      <c r="L5" s="66">
        <f t="shared" si="2"/>
        <v>1.9613276217909132</v>
      </c>
    </row>
    <row r="6" spans="1:23" x14ac:dyDescent="0.2">
      <c r="A6" s="27" t="s">
        <v>4</v>
      </c>
      <c r="B6" s="61">
        <v>0.43480000000000002</v>
      </c>
      <c r="C6" s="12">
        <v>5</v>
      </c>
      <c r="D6" s="12">
        <f>B6*C6</f>
        <v>2.1739999999999999</v>
      </c>
      <c r="G6" s="27" t="s">
        <v>215</v>
      </c>
      <c r="H6" s="27" t="s">
        <v>31</v>
      </c>
      <c r="I6" s="27" t="s">
        <v>60</v>
      </c>
      <c r="J6" s="67" t="s">
        <v>68</v>
      </c>
      <c r="K6" s="27" t="s">
        <v>213</v>
      </c>
      <c r="L6" s="27" t="s">
        <v>53</v>
      </c>
      <c r="N6" t="s">
        <v>239</v>
      </c>
    </row>
    <row r="7" spans="1:23" x14ac:dyDescent="0.2">
      <c r="A7" s="27" t="s">
        <v>5</v>
      </c>
      <c r="B7" s="61">
        <v>0.36230000000000001</v>
      </c>
      <c r="C7" s="12">
        <v>6</v>
      </c>
      <c r="D7" s="12">
        <f>B7*C7</f>
        <v>2.1738</v>
      </c>
      <c r="G7" s="63">
        <v>4</v>
      </c>
      <c r="H7" s="61">
        <f>INDEX($H2:$L5,MATCH($G7,$G2:$G5,0),MATCH(H6,$H1:$L1,0))</f>
        <v>0.59784999999999999</v>
      </c>
      <c r="I7" s="12">
        <f t="shared" ref="I7:L7" si="4">INDEX($H2:$L5,MATCH($G7,$G2:$G5,0),MATCH(I6,$H1:$L1,0))</f>
        <v>4</v>
      </c>
      <c r="J7" s="68">
        <f t="shared" si="4"/>
        <v>2.3914</v>
      </c>
      <c r="K7" s="12">
        <f t="shared" si="4"/>
        <v>3.8468060399999997</v>
      </c>
      <c r="L7" s="12">
        <f t="shared" si="4"/>
        <v>1.9613276217909132</v>
      </c>
      <c r="N7" t="s">
        <v>240</v>
      </c>
      <c r="W7" t="s">
        <v>234</v>
      </c>
    </row>
    <row r="8" spans="1:23" x14ac:dyDescent="0.2">
      <c r="A8" s="27" t="s">
        <v>6</v>
      </c>
      <c r="B8" s="61">
        <v>0.36230000000000001</v>
      </c>
      <c r="C8" s="12">
        <v>6</v>
      </c>
      <c r="D8" s="12">
        <f>B8*C8</f>
        <v>2.1738</v>
      </c>
      <c r="W8" t="s">
        <v>238</v>
      </c>
    </row>
    <row r="9" spans="1:23" x14ac:dyDescent="0.2">
      <c r="A9" s="27" t="s">
        <v>7</v>
      </c>
      <c r="B9" s="61">
        <v>0.3105</v>
      </c>
      <c r="C9" s="12">
        <v>7</v>
      </c>
      <c r="D9" s="12">
        <f>B9*C9</f>
        <v>2.1734999999999998</v>
      </c>
    </row>
    <row r="10" spans="1:23" x14ac:dyDescent="0.2">
      <c r="A10" s="27" t="s">
        <v>8</v>
      </c>
      <c r="B10" s="61">
        <v>0.3105</v>
      </c>
      <c r="C10" s="12">
        <v>7</v>
      </c>
      <c r="D10" s="12">
        <f>B10*C10</f>
        <v>2.1734999999999998</v>
      </c>
    </row>
    <row r="11" spans="1:23" x14ac:dyDescent="0.2">
      <c r="A11" s="27" t="s">
        <v>9</v>
      </c>
      <c r="B11" s="61">
        <v>0.27179999999999999</v>
      </c>
      <c r="C11" s="12">
        <v>8</v>
      </c>
      <c r="D11" s="12">
        <f>B11*C11</f>
        <v>2.1743999999999999</v>
      </c>
    </row>
    <row r="12" spans="1:23" x14ac:dyDescent="0.2">
      <c r="A12" s="27" t="s">
        <v>10</v>
      </c>
      <c r="B12" s="61">
        <v>0.27179999999999999</v>
      </c>
      <c r="C12" s="12">
        <v>8</v>
      </c>
      <c r="D12" s="12">
        <f>B12*C12</f>
        <v>2.1743999999999999</v>
      </c>
    </row>
    <row r="13" spans="1:23" x14ac:dyDescent="0.2">
      <c r="A13" s="27" t="s">
        <v>11</v>
      </c>
      <c r="B13" s="61">
        <v>0.26100000000000001</v>
      </c>
      <c r="C13" s="12">
        <v>10</v>
      </c>
      <c r="D13" s="12">
        <f>B13*C13</f>
        <v>2.6100000000000003</v>
      </c>
    </row>
    <row r="14" spans="1:23" x14ac:dyDescent="0.2">
      <c r="A14" s="27" t="s">
        <v>12</v>
      </c>
      <c r="B14" s="61">
        <v>0.26100000000000001</v>
      </c>
      <c r="C14" s="12">
        <v>10</v>
      </c>
      <c r="D14" s="12">
        <f>B14*C14</f>
        <v>2.6100000000000003</v>
      </c>
    </row>
    <row r="15" spans="1:23" x14ac:dyDescent="0.2">
      <c r="A15" s="27" t="s">
        <v>13</v>
      </c>
      <c r="B15" s="61">
        <v>0.2175</v>
      </c>
      <c r="C15" s="12">
        <v>15</v>
      </c>
      <c r="D15" s="12">
        <f>B15*C15</f>
        <v>3.2625000000000002</v>
      </c>
    </row>
    <row r="16" spans="1:23" x14ac:dyDescent="0.2">
      <c r="A16" s="27" t="s">
        <v>14</v>
      </c>
      <c r="B16" s="61">
        <v>0.2175</v>
      </c>
      <c r="C16" s="12">
        <v>15</v>
      </c>
      <c r="D16" s="12">
        <f>B16*C16</f>
        <v>3.2625000000000002</v>
      </c>
    </row>
    <row r="17" spans="1:29" x14ac:dyDescent="0.2">
      <c r="A17" s="27" t="s">
        <v>15</v>
      </c>
      <c r="B17" s="61">
        <v>0.16980000000000001</v>
      </c>
      <c r="C17" s="12">
        <v>20</v>
      </c>
      <c r="D17" s="12">
        <f>B17*C17</f>
        <v>3.3959999999999999</v>
      </c>
    </row>
    <row r="18" spans="1:29" x14ac:dyDescent="0.2">
      <c r="A18" s="27" t="s">
        <v>16</v>
      </c>
      <c r="B18" s="61">
        <v>0.16980000000000001</v>
      </c>
      <c r="C18" s="12">
        <v>20</v>
      </c>
      <c r="D18" s="12">
        <f>B18*C18</f>
        <v>3.3959999999999999</v>
      </c>
    </row>
    <row r="19" spans="1:29" x14ac:dyDescent="0.2">
      <c r="A19" s="27" t="s">
        <v>17</v>
      </c>
      <c r="B19" s="61">
        <v>0.15160000000000001</v>
      </c>
      <c r="C19" s="12">
        <v>25</v>
      </c>
      <c r="D19" s="12">
        <f>B19*C19</f>
        <v>3.7900000000000005</v>
      </c>
    </row>
    <row r="20" spans="1:29" x14ac:dyDescent="0.2">
      <c r="A20" s="27" t="s">
        <v>18</v>
      </c>
      <c r="B20" s="61">
        <v>0.15160000000000001</v>
      </c>
      <c r="C20" s="12">
        <v>25</v>
      </c>
      <c r="D20" s="12">
        <f>B20*C20</f>
        <v>3.7900000000000005</v>
      </c>
      <c r="K20" t="s">
        <v>223</v>
      </c>
    </row>
    <row r="21" spans="1:29" x14ac:dyDescent="0.2">
      <c r="A21" s="27" t="s">
        <v>19</v>
      </c>
      <c r="B21" s="61">
        <v>0.12809999999999999</v>
      </c>
      <c r="C21" s="12">
        <v>30</v>
      </c>
      <c r="D21" s="12">
        <f>B21*C21</f>
        <v>3.843</v>
      </c>
      <c r="G21" s="60" t="s">
        <v>216</v>
      </c>
      <c r="H21" s="60" t="s">
        <v>218</v>
      </c>
      <c r="I21" s="60" t="s">
        <v>226</v>
      </c>
      <c r="J21" s="81" t="s">
        <v>227</v>
      </c>
      <c r="K21" s="27"/>
      <c r="L21" s="27" t="s">
        <v>221</v>
      </c>
      <c r="N21" s="60" t="s">
        <v>216</v>
      </c>
      <c r="O21" s="60" t="s">
        <v>218</v>
      </c>
      <c r="P21" s="60" t="s">
        <v>228</v>
      </c>
      <c r="Q21" s="81" t="s">
        <v>229</v>
      </c>
      <c r="R21" s="60" t="s">
        <v>60</v>
      </c>
      <c r="S21" s="60" t="s">
        <v>61</v>
      </c>
      <c r="T21" s="27"/>
      <c r="U21" s="27" t="s">
        <v>221</v>
      </c>
      <c r="W21" s="60" t="s">
        <v>230</v>
      </c>
      <c r="X21" s="60" t="s">
        <v>45</v>
      </c>
      <c r="Z21" s="60" t="s">
        <v>235</v>
      </c>
      <c r="AA21" s="60" t="s">
        <v>236</v>
      </c>
      <c r="AB21" s="60" t="s">
        <v>237</v>
      </c>
      <c r="AC21" s="60" t="s">
        <v>53</v>
      </c>
    </row>
    <row r="22" spans="1:29" x14ac:dyDescent="0.2">
      <c r="A22" s="27" t="s">
        <v>20</v>
      </c>
      <c r="B22" s="61">
        <v>0.12809999999999999</v>
      </c>
      <c r="C22" s="12">
        <v>30</v>
      </c>
      <c r="D22" s="12">
        <f>B22*C22</f>
        <v>3.843</v>
      </c>
      <c r="G22" s="60" cm="1">
        <f t="array" ref="G22:G1021">_xlfn.SEQUENCE(1000)</f>
        <v>1</v>
      </c>
      <c r="H22" s="82" cm="1">
        <f t="array" aca="1" ref="H22:H1021" ca="1">_xlfn.MAP(_xlfn.SEQUENCE(1000), _xlfn.LAMBDA(_xlpm.sim, IF((G22&lt;=L$22) * (RAND()&lt;=H$7), 1, 0)))</f>
        <v>0</v>
      </c>
      <c r="I22" s="82">
        <f ca="1">H22</f>
        <v>0</v>
      </c>
      <c r="J22" s="83">
        <f ca="1">I22/G22</f>
        <v>0</v>
      </c>
      <c r="K22" s="27" t="s">
        <v>217</v>
      </c>
      <c r="L22" s="63">
        <v>1000</v>
      </c>
      <c r="N22" s="60" cm="1">
        <f t="array" ref="N22:N1021">_xlfn.SEQUENCE(1000)</f>
        <v>1</v>
      </c>
      <c r="O22" s="82">
        <f ca="1">IF(AND(N22&lt;=U$22,RAND()&lt;=$H$7),1,0)</f>
        <v>1</v>
      </c>
      <c r="P22" s="82">
        <f ca="1">IF(O22=1,1,0)</f>
        <v>1</v>
      </c>
      <c r="Q22" s="84">
        <f>1</f>
        <v>1</v>
      </c>
      <c r="R22" s="82">
        <f ca="1">Q22*$I$7*O22</f>
        <v>4</v>
      </c>
      <c r="S22" s="82">
        <f ca="1">SUM(R22:$R$22)</f>
        <v>4</v>
      </c>
      <c r="T22" s="27" t="s">
        <v>217</v>
      </c>
      <c r="U22" s="63">
        <v>1000</v>
      </c>
      <c r="W22" s="60" cm="1">
        <f t="array" ref="W22:W1021">_xlfn.SEQUENCE(1000)</f>
        <v>1</v>
      </c>
      <c r="X22" s="82" cm="1">
        <f t="array" aca="1" ref="X22:X1021" ca="1">_xlfn.MAP(_xlfn.SEQUENCE(1000), _xlfn.LAMBDA(_xlpm.sim, _xlfn.LET( _xlpm.tirages, _xlfn.RANDARRAY(U22, 1), _xlpm.succes, IF(_xlpm.tirages &lt;= H7, 1, 0), _xlpm.combos, _xlfn.SCAN(0, _xlpm.succes, _xlfn.LAMBDA(_xlpm.prev,_xlpm.curr, IF(_xlpm.curr=1, _xlpm.prev + 1, 0))), _xlpm.points, IF(_xlpm.combos &gt; 0, I7 * (1 + 0.1 * (_xlpm.combos - 1)), 0), SUM(_xlpm.points))))</f>
        <v>2807.200000000008</v>
      </c>
      <c r="Z22" s="82">
        <f ca="1">MAX(X22:X1021)</f>
        <v>3035.6000000000085</v>
      </c>
      <c r="AA22" s="82">
        <f ca="1">MIN(X22:X1021)</f>
        <v>2446.0000000000055</v>
      </c>
      <c r="AB22" s="82">
        <f ca="1">AVERAGE(X22:X1021)</f>
        <v>2747.6324000000009</v>
      </c>
      <c r="AC22" s="82">
        <f ca="1">VAR(X22:X1021)^0.5</f>
        <v>99.020346895672873</v>
      </c>
    </row>
    <row r="23" spans="1:29" x14ac:dyDescent="0.2">
      <c r="A23" s="27" t="s">
        <v>21</v>
      </c>
      <c r="B23" s="61">
        <v>8.8800000000000004E-2</v>
      </c>
      <c r="C23" s="12">
        <v>45</v>
      </c>
      <c r="D23" s="12">
        <f>B23*C23</f>
        <v>3.996</v>
      </c>
      <c r="G23" s="60">
        <v>2</v>
      </c>
      <c r="H23" s="82">
        <f ca="1"/>
        <v>1</v>
      </c>
      <c r="I23" s="82">
        <f ca="1">H23+I22</f>
        <v>1</v>
      </c>
      <c r="J23" s="83">
        <f t="shared" ref="J23:J86" ca="1" si="5">I23/G23</f>
        <v>0.5</v>
      </c>
      <c r="K23" s="27" t="s">
        <v>219</v>
      </c>
      <c r="L23" s="12">
        <f ca="1">SUM(H22:H1021)</f>
        <v>604</v>
      </c>
      <c r="N23" s="60">
        <v>2</v>
      </c>
      <c r="O23" s="82">
        <f ca="1">IF(AND(N23&lt;=U$22,RAND()&lt;=$H$7),1,0)</f>
        <v>1</v>
      </c>
      <c r="P23" s="82">
        <f ca="1">IF(AND(O22=1,O23=1),P22+1,0)</f>
        <v>2</v>
      </c>
      <c r="Q23" s="84">
        <f ca="1">IF(P23&gt;1,1+(P23-1)*0.1,1)</f>
        <v>1.1000000000000001</v>
      </c>
      <c r="R23" s="82">
        <f ca="1">Q23*$I$7*O23</f>
        <v>4.4000000000000004</v>
      </c>
      <c r="S23" s="82">
        <f ca="1">SUM(R$22:$R23)</f>
        <v>8.4</v>
      </c>
      <c r="T23" s="27" t="s">
        <v>219</v>
      </c>
      <c r="U23" s="12">
        <f ca="1">SUM(O22:O1021)</f>
        <v>604</v>
      </c>
      <c r="W23" s="60">
        <v>2</v>
      </c>
      <c r="X23" s="82">
        <f ca="1"/>
        <v>2906.0000000000073</v>
      </c>
    </row>
    <row r="24" spans="1:29" x14ac:dyDescent="0.2">
      <c r="A24" s="27" t="s">
        <v>22</v>
      </c>
      <c r="B24" s="61">
        <v>8.8800000000000004E-2</v>
      </c>
      <c r="C24" s="12">
        <v>45</v>
      </c>
      <c r="D24" s="12">
        <f>B24*C24</f>
        <v>3.996</v>
      </c>
      <c r="G24" s="60">
        <v>3</v>
      </c>
      <c r="H24" s="82">
        <f ca="1"/>
        <v>1</v>
      </c>
      <c r="I24" s="82">
        <f t="shared" ref="I24:I87" ca="1" si="6">H24+I23</f>
        <v>2</v>
      </c>
      <c r="J24" s="83">
        <f t="shared" ca="1" si="5"/>
        <v>0.66666666666666663</v>
      </c>
      <c r="K24" s="27" t="s">
        <v>220</v>
      </c>
      <c r="L24" s="61">
        <f ca="1">L23/L22</f>
        <v>0.60399999999999998</v>
      </c>
      <c r="N24" s="60">
        <v>3</v>
      </c>
      <c r="O24" s="82">
        <f ca="1">IF(AND(N24&lt;=U$22,RAND()&lt;=$H$7),1,0)</f>
        <v>1</v>
      </c>
      <c r="P24" s="82">
        <f t="shared" ref="P24:P87" ca="1" si="7">IF(AND(O23=1,O24=1),P23+1,0)</f>
        <v>3</v>
      </c>
      <c r="Q24" s="84">
        <f t="shared" ref="Q24:Q87" ca="1" si="8">IF(P24&gt;1,1+(P24-1)*0.1,1)</f>
        <v>1.2</v>
      </c>
      <c r="R24" s="82">
        <f t="shared" ref="R23:R86" ca="1" si="9">Q24*$I$7*O24</f>
        <v>4.8</v>
      </c>
      <c r="S24" s="82">
        <f ca="1">SUM(R$22:$R24)</f>
        <v>13.2</v>
      </c>
      <c r="T24" s="27" t="s">
        <v>220</v>
      </c>
      <c r="U24" s="61">
        <f ca="1">U23/U22</f>
        <v>0.60399999999999998</v>
      </c>
      <c r="W24" s="60">
        <v>3</v>
      </c>
      <c r="X24" s="82">
        <f ca="1"/>
        <v>2845.6000000000081</v>
      </c>
      <c r="Z24" s="60" t="s">
        <v>231</v>
      </c>
      <c r="AA24" s="86" t="s">
        <v>232</v>
      </c>
      <c r="AB24" s="60" t="s">
        <v>233</v>
      </c>
    </row>
    <row r="25" spans="1:29" x14ac:dyDescent="0.2">
      <c r="A25" s="27" t="s">
        <v>23</v>
      </c>
      <c r="B25" s="61">
        <v>4.1500000000000002E-2</v>
      </c>
      <c r="C25" s="12">
        <v>100</v>
      </c>
      <c r="D25" s="12">
        <f>B25*C25</f>
        <v>4.1500000000000004</v>
      </c>
      <c r="G25" s="60">
        <v>4</v>
      </c>
      <c r="H25" s="82">
        <f ca="1"/>
        <v>1</v>
      </c>
      <c r="I25" s="82">
        <f t="shared" ca="1" si="6"/>
        <v>3</v>
      </c>
      <c r="J25" s="83">
        <f t="shared" ca="1" si="5"/>
        <v>0.75</v>
      </c>
      <c r="K25" s="27" t="s">
        <v>222</v>
      </c>
      <c r="L25" s="12">
        <f ca="1">(L23-L22*H7)/(L7*(L22^(0.5)))</f>
        <v>9.9157363583536537E-2</v>
      </c>
      <c r="N25" s="60">
        <v>4</v>
      </c>
      <c r="O25" s="82">
        <f ca="1">IF(AND(N25&lt;=U$22,RAND()&lt;=$H$7),1,0)</f>
        <v>0</v>
      </c>
      <c r="P25" s="82">
        <f t="shared" ca="1" si="7"/>
        <v>0</v>
      </c>
      <c r="Q25" s="84">
        <f t="shared" ca="1" si="8"/>
        <v>1</v>
      </c>
      <c r="R25" s="82">
        <f t="shared" ca="1" si="9"/>
        <v>0</v>
      </c>
      <c r="S25" s="82">
        <f ca="1">SUM(R$22:$R25)</f>
        <v>13.2</v>
      </c>
      <c r="T25" s="27" t="s">
        <v>222</v>
      </c>
      <c r="U25" s="12">
        <f ca="1">(U23-U22*$H$7)/($L$7*(U22^(0.5)))</f>
        <v>9.9157363583536537E-2</v>
      </c>
      <c r="W25" s="60">
        <v>4</v>
      </c>
      <c r="X25" s="82">
        <f ca="1"/>
        <v>2567.6000000000058</v>
      </c>
      <c r="Z25" s="82" t="str">
        <f ca="1">"["&amp;ROUND(AB22-AC22,2)&amp;";"&amp;ROUND(AB22+AC22,2)&amp;"]"</f>
        <v>[2648,61;2846,65]</v>
      </c>
      <c r="AA25" s="82" t="str">
        <f ca="1">"["&amp;ROUND(AB22-AC22*2,2)&amp;";"&amp;ROUND(AB22+AC22*2,2)&amp;"]"</f>
        <v>[2549,59;2945,67]</v>
      </c>
      <c r="AB25" s="82" t="str">
        <f ca="1">"["&amp;ROUND(AB22-AC22*3,2)&amp;";"&amp;ROUND(AB22+AC22*3,2)&amp;"]"</f>
        <v>[2450,57;3044,69]</v>
      </c>
    </row>
    <row r="26" spans="1:29" x14ac:dyDescent="0.2">
      <c r="A26" s="27" t="s">
        <v>32</v>
      </c>
      <c r="B26" s="61">
        <v>3.7499999999999999E-2</v>
      </c>
      <c r="C26" s="12">
        <v>150</v>
      </c>
      <c r="D26" s="12">
        <f>B26*C26</f>
        <v>5.625</v>
      </c>
      <c r="G26" s="60">
        <v>5</v>
      </c>
      <c r="H26" s="82">
        <f ca="1"/>
        <v>1</v>
      </c>
      <c r="I26" s="82">
        <f t="shared" ca="1" si="6"/>
        <v>4</v>
      </c>
      <c r="J26" s="83">
        <f t="shared" ca="1" si="5"/>
        <v>0.8</v>
      </c>
      <c r="K26" s="27" t="str">
        <f ca="1">"P(X&gt;="&amp;L23&amp;")"</f>
        <v>P(X&gt;=604)</v>
      </c>
      <c r="L26" s="12">
        <f ca="1">_xlfn.NORM.S.DIST(L25,TRUE)</f>
        <v>0.53949333655157394</v>
      </c>
      <c r="N26" s="60">
        <v>5</v>
      </c>
      <c r="O26" s="82">
        <f ca="1">IF(AND(N26&lt;=U$22,RAND()&lt;=$H$7),1,0)</f>
        <v>1</v>
      </c>
      <c r="P26" s="82">
        <f t="shared" ca="1" si="7"/>
        <v>0</v>
      </c>
      <c r="Q26" s="84">
        <f t="shared" ca="1" si="8"/>
        <v>1</v>
      </c>
      <c r="R26" s="82">
        <f t="shared" ca="1" si="9"/>
        <v>4</v>
      </c>
      <c r="S26" s="82">
        <f ca="1">SUM(R$22:$R26)</f>
        <v>17.2</v>
      </c>
      <c r="T26" s="27" t="str">
        <f ca="1">"P(X&gt;="&amp;U23&amp;")"</f>
        <v>P(X&gt;=604)</v>
      </c>
      <c r="U26" s="12">
        <f ca="1">_xlfn.NORM.S.DIST(U25,TRUE)</f>
        <v>0.53949333655157394</v>
      </c>
      <c r="W26" s="60">
        <v>5</v>
      </c>
      <c r="X26" s="82">
        <f ca="1"/>
        <v>2702.0000000000077</v>
      </c>
    </row>
    <row r="27" spans="1:29" x14ac:dyDescent="0.2">
      <c r="A27" s="27" t="s">
        <v>24</v>
      </c>
      <c r="B27" s="61">
        <v>3.3500000000000002E-2</v>
      </c>
      <c r="C27" s="12">
        <v>200</v>
      </c>
      <c r="D27" s="12">
        <f>B27*C27</f>
        <v>6.7</v>
      </c>
      <c r="G27" s="60">
        <v>6</v>
      </c>
      <c r="H27" s="82">
        <f ca="1"/>
        <v>1</v>
      </c>
      <c r="I27" s="82">
        <f t="shared" ca="1" si="6"/>
        <v>5</v>
      </c>
      <c r="J27" s="83">
        <f t="shared" ca="1" si="5"/>
        <v>0.83333333333333337</v>
      </c>
      <c r="N27" s="60">
        <v>6</v>
      </c>
      <c r="O27" s="82">
        <f ca="1">IF(AND(N27&lt;=U$22,RAND()&lt;=$H$7),1,0)</f>
        <v>1</v>
      </c>
      <c r="P27" s="82">
        <f t="shared" ca="1" si="7"/>
        <v>1</v>
      </c>
      <c r="Q27" s="84">
        <f t="shared" ca="1" si="8"/>
        <v>1</v>
      </c>
      <c r="R27" s="82">
        <f t="shared" ca="1" si="9"/>
        <v>4</v>
      </c>
      <c r="S27" s="82">
        <f ca="1">SUM(R$22:$R27)</f>
        <v>21.2</v>
      </c>
      <c r="T27" s="60" t="s">
        <v>45</v>
      </c>
      <c r="U27" s="82">
        <f ca="1">SUM(R22:R1021)</f>
        <v>2669.2000000000039</v>
      </c>
      <c r="W27" s="60">
        <v>6</v>
      </c>
      <c r="X27" s="82">
        <f ca="1"/>
        <v>2760.4000000000069</v>
      </c>
    </row>
    <row r="28" spans="1:29" x14ac:dyDescent="0.2">
      <c r="A28" s="27" t="s">
        <v>25</v>
      </c>
      <c r="B28" s="61">
        <v>2.9499999999999998E-2</v>
      </c>
      <c r="C28" s="12">
        <v>300</v>
      </c>
      <c r="D28" s="12">
        <f>B28*C28</f>
        <v>8.85</v>
      </c>
      <c r="G28" s="60">
        <v>7</v>
      </c>
      <c r="H28" s="82">
        <f ca="1"/>
        <v>1</v>
      </c>
      <c r="I28" s="82">
        <f t="shared" ca="1" si="6"/>
        <v>6</v>
      </c>
      <c r="J28" s="83">
        <f t="shared" ca="1" si="5"/>
        <v>0.8571428571428571</v>
      </c>
      <c r="N28" s="60">
        <v>7</v>
      </c>
      <c r="O28" s="82">
        <f ca="1">IF(AND(N28&lt;=U$22,RAND()&lt;=$H$7),1,0)</f>
        <v>1</v>
      </c>
      <c r="P28" s="82">
        <f t="shared" ca="1" si="7"/>
        <v>2</v>
      </c>
      <c r="Q28" s="84">
        <f t="shared" ca="1" si="8"/>
        <v>1.1000000000000001</v>
      </c>
      <c r="R28" s="82">
        <f t="shared" ca="1" si="9"/>
        <v>4.4000000000000004</v>
      </c>
      <c r="S28" s="82">
        <f ca="1">SUM(R$22:$R28)</f>
        <v>25.6</v>
      </c>
      <c r="W28" s="60">
        <v>7</v>
      </c>
      <c r="X28" s="82">
        <f ca="1"/>
        <v>2782.0000000000068</v>
      </c>
    </row>
    <row r="29" spans="1:29" x14ac:dyDescent="0.2">
      <c r="A29" s="27" t="s">
        <v>26</v>
      </c>
      <c r="B29" s="61">
        <v>2.5000000000000001E-2</v>
      </c>
      <c r="C29" s="12">
        <v>500</v>
      </c>
      <c r="D29" s="12">
        <f>B29*C29</f>
        <v>12.5</v>
      </c>
      <c r="G29" s="60">
        <v>8</v>
      </c>
      <c r="H29" s="82">
        <f ca="1"/>
        <v>0</v>
      </c>
      <c r="I29" s="82">
        <f t="shared" ca="1" si="6"/>
        <v>6</v>
      </c>
      <c r="J29" s="83">
        <f t="shared" ca="1" si="5"/>
        <v>0.75</v>
      </c>
      <c r="N29" s="60">
        <v>8</v>
      </c>
      <c r="O29" s="82">
        <f ca="1">IF(AND(N29&lt;=U$22,RAND()&lt;=$H$7),1,0)</f>
        <v>1</v>
      </c>
      <c r="P29" s="82">
        <f t="shared" ca="1" si="7"/>
        <v>3</v>
      </c>
      <c r="Q29" s="84">
        <f t="shared" ca="1" si="8"/>
        <v>1.2</v>
      </c>
      <c r="R29" s="82">
        <f t="shared" ca="1" si="9"/>
        <v>4.8</v>
      </c>
      <c r="S29" s="82">
        <f ca="1">SUM(R$22:$R29)</f>
        <v>30.400000000000002</v>
      </c>
      <c r="W29" s="60">
        <v>8</v>
      </c>
      <c r="X29" s="82">
        <f ca="1"/>
        <v>2588.8000000000065</v>
      </c>
    </row>
    <row r="30" spans="1:29" x14ac:dyDescent="0.2">
      <c r="A30" s="27" t="s">
        <v>27</v>
      </c>
      <c r="B30" s="61">
        <v>2.0500000000000001E-2</v>
      </c>
      <c r="C30" s="12">
        <v>700</v>
      </c>
      <c r="D30" s="12">
        <f>B30*C30</f>
        <v>14.350000000000001</v>
      </c>
      <c r="G30" s="60">
        <v>9</v>
      </c>
      <c r="H30" s="82">
        <f ca="1"/>
        <v>0</v>
      </c>
      <c r="I30" s="82">
        <f t="shared" ca="1" si="6"/>
        <v>6</v>
      </c>
      <c r="J30" s="83">
        <f t="shared" ca="1" si="5"/>
        <v>0.66666666666666663</v>
      </c>
      <c r="N30" s="60">
        <v>9</v>
      </c>
      <c r="O30" s="82">
        <f ca="1">IF(AND(N30&lt;=U$22,RAND()&lt;=$H$7),1,0)</f>
        <v>1</v>
      </c>
      <c r="P30" s="82">
        <f t="shared" ca="1" si="7"/>
        <v>4</v>
      </c>
      <c r="Q30" s="84">
        <f t="shared" ca="1" si="8"/>
        <v>1.3</v>
      </c>
      <c r="R30" s="82">
        <f t="shared" ca="1" si="9"/>
        <v>5.2</v>
      </c>
      <c r="S30" s="82">
        <f ca="1">SUM(R$22:$R30)</f>
        <v>35.6</v>
      </c>
      <c r="W30" s="60">
        <v>9</v>
      </c>
      <c r="X30" s="82">
        <f ca="1"/>
        <v>2706.8000000000075</v>
      </c>
    </row>
    <row r="31" spans="1:29" x14ac:dyDescent="0.2">
      <c r="A31" s="27" t="s">
        <v>28</v>
      </c>
      <c r="B31" s="61">
        <v>1.6500000000000001E-2</v>
      </c>
      <c r="C31" s="12">
        <v>1000</v>
      </c>
      <c r="D31" s="12">
        <f>B31*C31</f>
        <v>16.5</v>
      </c>
      <c r="G31" s="60">
        <v>10</v>
      </c>
      <c r="H31" s="82">
        <f ca="1"/>
        <v>1</v>
      </c>
      <c r="I31" s="82">
        <f t="shared" ca="1" si="6"/>
        <v>7</v>
      </c>
      <c r="J31" s="83">
        <f t="shared" ca="1" si="5"/>
        <v>0.7</v>
      </c>
      <c r="N31" s="60">
        <v>10</v>
      </c>
      <c r="O31" s="82">
        <f ca="1">IF(AND(N31&lt;=U$22,RAND()&lt;=$H$7),1,0)</f>
        <v>1</v>
      </c>
      <c r="P31" s="82">
        <f t="shared" ca="1" si="7"/>
        <v>5</v>
      </c>
      <c r="Q31" s="84">
        <f t="shared" ca="1" si="8"/>
        <v>1.4</v>
      </c>
      <c r="R31" s="82">
        <f t="shared" ca="1" si="9"/>
        <v>5.6</v>
      </c>
      <c r="S31" s="82">
        <f ca="1">SUM(R$22:$R31)</f>
        <v>41.2</v>
      </c>
      <c r="W31" s="60">
        <v>10</v>
      </c>
      <c r="X31" s="82">
        <f ca="1"/>
        <v>2602.0000000000055</v>
      </c>
    </row>
    <row r="32" spans="1:29" x14ac:dyDescent="0.2">
      <c r="A32" s="27" t="s">
        <v>29</v>
      </c>
      <c r="B32" s="61">
        <v>1.2500000000000001E-2</v>
      </c>
      <c r="C32" s="12">
        <v>1500</v>
      </c>
      <c r="D32" s="12">
        <f>B32*C32</f>
        <v>18.75</v>
      </c>
      <c r="G32" s="60">
        <v>11</v>
      </c>
      <c r="H32" s="82">
        <f ca="1"/>
        <v>1</v>
      </c>
      <c r="I32" s="82">
        <f t="shared" ca="1" si="6"/>
        <v>8</v>
      </c>
      <c r="J32" s="83">
        <f t="shared" ca="1" si="5"/>
        <v>0.72727272727272729</v>
      </c>
      <c r="N32" s="60">
        <v>11</v>
      </c>
      <c r="O32" s="82">
        <f ca="1">IF(AND(N32&lt;=U$22,RAND()&lt;=$H$7),1,0)</f>
        <v>1</v>
      </c>
      <c r="P32" s="82">
        <f t="shared" ca="1" si="7"/>
        <v>6</v>
      </c>
      <c r="Q32" s="84">
        <f t="shared" ca="1" si="8"/>
        <v>1.5</v>
      </c>
      <c r="R32" s="82">
        <f t="shared" ca="1" si="9"/>
        <v>6</v>
      </c>
      <c r="S32" s="82">
        <f ca="1">SUM(R$22:$R32)</f>
        <v>47.2</v>
      </c>
      <c r="W32" s="60">
        <v>11</v>
      </c>
      <c r="X32" s="82">
        <f ca="1"/>
        <v>2788.0000000000059</v>
      </c>
    </row>
    <row r="33" spans="1:24" x14ac:dyDescent="0.2">
      <c r="G33" s="60">
        <v>12</v>
      </c>
      <c r="H33" s="82">
        <f ca="1"/>
        <v>1</v>
      </c>
      <c r="I33" s="82">
        <f t="shared" ca="1" si="6"/>
        <v>9</v>
      </c>
      <c r="J33" s="83">
        <f t="shared" ca="1" si="5"/>
        <v>0.75</v>
      </c>
      <c r="N33" s="60">
        <v>12</v>
      </c>
      <c r="O33" s="82">
        <f ca="1">IF(AND(N33&lt;=U$22,RAND()&lt;=$H$7),1,0)</f>
        <v>1</v>
      </c>
      <c r="P33" s="82">
        <f t="shared" ca="1" si="7"/>
        <v>7</v>
      </c>
      <c r="Q33" s="84">
        <f t="shared" ca="1" si="8"/>
        <v>1.6</v>
      </c>
      <c r="R33" s="82">
        <f t="shared" ca="1" si="9"/>
        <v>6.4</v>
      </c>
      <c r="S33" s="82">
        <f ca="1">SUM(R$22:$R33)</f>
        <v>53.6</v>
      </c>
      <c r="W33" s="60">
        <v>12</v>
      </c>
      <c r="X33" s="82">
        <f ca="1"/>
        <v>2732.8000000000065</v>
      </c>
    </row>
    <row r="34" spans="1:24" x14ac:dyDescent="0.2">
      <c r="A34" s="85" t="s">
        <v>241</v>
      </c>
      <c r="B34" s="85"/>
      <c r="G34" s="60">
        <v>13</v>
      </c>
      <c r="H34" s="82">
        <f ca="1"/>
        <v>1</v>
      </c>
      <c r="I34" s="82">
        <f t="shared" ca="1" si="6"/>
        <v>10</v>
      </c>
      <c r="J34" s="83">
        <f t="shared" ca="1" si="5"/>
        <v>0.76923076923076927</v>
      </c>
      <c r="N34" s="60">
        <v>13</v>
      </c>
      <c r="O34" s="82">
        <f ca="1">IF(AND(N34&lt;=U$22,RAND()&lt;=$H$7),1,0)</f>
        <v>0</v>
      </c>
      <c r="P34" s="82">
        <f t="shared" ca="1" si="7"/>
        <v>0</v>
      </c>
      <c r="Q34" s="84">
        <f t="shared" ca="1" si="8"/>
        <v>1</v>
      </c>
      <c r="R34" s="82">
        <f t="shared" ca="1" si="9"/>
        <v>0</v>
      </c>
      <c r="S34" s="82">
        <f ca="1">SUM(R$22:$R34)</f>
        <v>53.6</v>
      </c>
      <c r="W34" s="60">
        <v>13</v>
      </c>
      <c r="X34" s="82">
        <f ca="1"/>
        <v>2660.8000000000075</v>
      </c>
    </row>
    <row r="35" spans="1:24" x14ac:dyDescent="0.2">
      <c r="A35" s="87" t="s">
        <v>243</v>
      </c>
      <c r="B35" s="87"/>
      <c r="C35" s="87"/>
      <c r="D35" s="87"/>
      <c r="E35" s="87"/>
      <c r="G35" s="60">
        <v>14</v>
      </c>
      <c r="H35" s="82">
        <f ca="1"/>
        <v>1</v>
      </c>
      <c r="I35" s="82">
        <f t="shared" ca="1" si="6"/>
        <v>11</v>
      </c>
      <c r="J35" s="83">
        <f t="shared" ca="1" si="5"/>
        <v>0.7857142857142857</v>
      </c>
      <c r="N35" s="60">
        <v>14</v>
      </c>
      <c r="O35" s="82">
        <f ca="1">IF(AND(N35&lt;=U$22,RAND()&lt;=$H$7),1,0)</f>
        <v>1</v>
      </c>
      <c r="P35" s="82">
        <f t="shared" ca="1" si="7"/>
        <v>0</v>
      </c>
      <c r="Q35" s="84">
        <f t="shared" ca="1" si="8"/>
        <v>1</v>
      </c>
      <c r="R35" s="82">
        <f t="shared" ca="1" si="9"/>
        <v>4</v>
      </c>
      <c r="S35" s="82">
        <f ca="1">SUM(R$22:$R35)</f>
        <v>57.6</v>
      </c>
      <c r="W35" s="60">
        <v>14</v>
      </c>
      <c r="X35" s="82">
        <f ca="1"/>
        <v>2796.8000000000084</v>
      </c>
    </row>
    <row r="36" spans="1:24" x14ac:dyDescent="0.2">
      <c r="A36" s="87"/>
      <c r="B36" s="87"/>
      <c r="C36" s="87"/>
      <c r="D36" s="87"/>
      <c r="E36" s="87"/>
      <c r="G36" s="60">
        <v>15</v>
      </c>
      <c r="H36" s="82">
        <f ca="1"/>
        <v>0</v>
      </c>
      <c r="I36" s="82">
        <f t="shared" ca="1" si="6"/>
        <v>11</v>
      </c>
      <c r="J36" s="83">
        <f t="shared" ca="1" si="5"/>
        <v>0.73333333333333328</v>
      </c>
      <c r="N36" s="60">
        <v>15</v>
      </c>
      <c r="O36" s="82">
        <f ca="1">IF(AND(N36&lt;=U$22,RAND()&lt;=$H$7),1,0)</f>
        <v>0</v>
      </c>
      <c r="P36" s="82">
        <f t="shared" ca="1" si="7"/>
        <v>0</v>
      </c>
      <c r="Q36" s="84">
        <f t="shared" ca="1" si="8"/>
        <v>1</v>
      </c>
      <c r="R36" s="82">
        <f t="shared" ca="1" si="9"/>
        <v>0</v>
      </c>
      <c r="S36" s="82">
        <f ca="1">SUM(R$22:$R36)</f>
        <v>57.6</v>
      </c>
      <c r="W36" s="60">
        <v>15</v>
      </c>
      <c r="X36" s="82">
        <f ca="1"/>
        <v>2684.4000000000055</v>
      </c>
    </row>
    <row r="37" spans="1:24" x14ac:dyDescent="0.2">
      <c r="A37" s="87" t="s">
        <v>30</v>
      </c>
      <c r="B37" s="87" t="str">
        <f>"=Type de sinistre"</f>
        <v>=Type de sinistre</v>
      </c>
      <c r="C37" s="87"/>
      <c r="D37" s="87"/>
      <c r="E37" s="87"/>
      <c r="G37" s="60">
        <v>16</v>
      </c>
      <c r="H37" s="82">
        <f ca="1"/>
        <v>0</v>
      </c>
      <c r="I37" s="82">
        <f t="shared" ca="1" si="6"/>
        <v>11</v>
      </c>
      <c r="J37" s="83">
        <f t="shared" ca="1" si="5"/>
        <v>0.6875</v>
      </c>
      <c r="N37" s="60">
        <v>16</v>
      </c>
      <c r="O37" s="82">
        <f ca="1">IF(AND(N37&lt;=U$22,RAND()&lt;=$H$7),1,0)</f>
        <v>1</v>
      </c>
      <c r="P37" s="82">
        <f t="shared" ca="1" si="7"/>
        <v>0</v>
      </c>
      <c r="Q37" s="84">
        <f t="shared" ca="1" si="8"/>
        <v>1</v>
      </c>
      <c r="R37" s="82">
        <f t="shared" ca="1" si="9"/>
        <v>4</v>
      </c>
      <c r="S37" s="82">
        <f ca="1">SUM(R$22:$R37)</f>
        <v>61.6</v>
      </c>
      <c r="W37" s="60">
        <v>16</v>
      </c>
      <c r="X37" s="82">
        <f ca="1"/>
        <v>2752.0000000000077</v>
      </c>
    </row>
    <row r="38" spans="1:24" x14ac:dyDescent="0.2">
      <c r="A38" s="87" t="s">
        <v>242</v>
      </c>
      <c r="B38" s="87" t="str">
        <f>"=Probabilité de sinistre"</f>
        <v>=Probabilité de sinistre</v>
      </c>
      <c r="C38" s="87"/>
      <c r="D38" s="87"/>
      <c r="E38" s="87"/>
      <c r="G38" s="60">
        <v>17</v>
      </c>
      <c r="H38" s="82">
        <f ca="1"/>
        <v>0</v>
      </c>
      <c r="I38" s="82">
        <f t="shared" ca="1" si="6"/>
        <v>11</v>
      </c>
      <c r="J38" s="83">
        <f t="shared" ca="1" si="5"/>
        <v>0.6470588235294118</v>
      </c>
      <c r="N38" s="60">
        <v>17</v>
      </c>
      <c r="O38" s="82">
        <f ca="1">IF(AND(N38&lt;=U$22,RAND()&lt;=$H$7),1,0)</f>
        <v>0</v>
      </c>
      <c r="P38" s="82">
        <f t="shared" ca="1" si="7"/>
        <v>0</v>
      </c>
      <c r="Q38" s="84">
        <f t="shared" ca="1" si="8"/>
        <v>1</v>
      </c>
      <c r="R38" s="82">
        <f t="shared" ca="1" si="9"/>
        <v>0</v>
      </c>
      <c r="S38" s="82">
        <f ca="1">SUM(R$22:$R38)</f>
        <v>61.6</v>
      </c>
      <c r="W38" s="60">
        <v>17</v>
      </c>
      <c r="X38" s="82">
        <f ca="1"/>
        <v>2987.200000000008</v>
      </c>
    </row>
    <row r="39" spans="1:24" x14ac:dyDescent="0.2">
      <c r="A39" s="87" t="s">
        <v>60</v>
      </c>
      <c r="B39" s="87" t="str">
        <f>"=Coûts du sinistre"</f>
        <v>=Coûts du sinistre</v>
      </c>
      <c r="C39" s="87"/>
      <c r="D39" s="87"/>
      <c r="E39" s="87"/>
      <c r="G39" s="60">
        <v>18</v>
      </c>
      <c r="H39" s="82">
        <f ca="1"/>
        <v>0</v>
      </c>
      <c r="I39" s="82">
        <f t="shared" ca="1" si="6"/>
        <v>11</v>
      </c>
      <c r="J39" s="83">
        <f t="shared" ca="1" si="5"/>
        <v>0.61111111111111116</v>
      </c>
      <c r="N39" s="60">
        <v>18</v>
      </c>
      <c r="O39" s="82">
        <f ca="1">IF(AND(N39&lt;=U$22,RAND()&lt;=$H$7),1,0)</f>
        <v>1</v>
      </c>
      <c r="P39" s="82">
        <f t="shared" ca="1" si="7"/>
        <v>0</v>
      </c>
      <c r="Q39" s="84">
        <f t="shared" ca="1" si="8"/>
        <v>1</v>
      </c>
      <c r="R39" s="82">
        <f t="shared" ca="1" si="9"/>
        <v>4</v>
      </c>
      <c r="S39" s="82">
        <f ca="1">SUM(R$22:$R39)</f>
        <v>65.599999999999994</v>
      </c>
      <c r="W39" s="60">
        <v>18</v>
      </c>
      <c r="X39" s="82">
        <f ca="1"/>
        <v>2669.2000000000062</v>
      </c>
    </row>
    <row r="40" spans="1:24" x14ac:dyDescent="0.2">
      <c r="A40" s="87" t="s">
        <v>68</v>
      </c>
      <c r="B40" s="87" t="str">
        <f>"=moyenne coûts des sinistres par type"</f>
        <v>=moyenne coûts des sinistres par type</v>
      </c>
      <c r="C40" s="87"/>
      <c r="D40" s="87"/>
      <c r="E40" s="87"/>
      <c r="G40" s="60">
        <v>19</v>
      </c>
      <c r="H40" s="82">
        <f ca="1"/>
        <v>1</v>
      </c>
      <c r="I40" s="82">
        <f t="shared" ca="1" si="6"/>
        <v>12</v>
      </c>
      <c r="J40" s="83">
        <f t="shared" ca="1" si="5"/>
        <v>0.63157894736842102</v>
      </c>
      <c r="N40" s="60">
        <v>19</v>
      </c>
      <c r="O40" s="82">
        <f ca="1">IF(AND(N40&lt;=U$22,RAND()&lt;=$H$7),1,0)</f>
        <v>1</v>
      </c>
      <c r="P40" s="82">
        <f t="shared" ca="1" si="7"/>
        <v>1</v>
      </c>
      <c r="Q40" s="84">
        <f t="shared" ca="1" si="8"/>
        <v>1</v>
      </c>
      <c r="R40" s="82">
        <f t="shared" ca="1" si="9"/>
        <v>4</v>
      </c>
      <c r="S40" s="82">
        <f ca="1">SUM(R$22:$R40)</f>
        <v>69.599999999999994</v>
      </c>
      <c r="W40" s="60">
        <v>19</v>
      </c>
      <c r="X40" s="82">
        <f ca="1"/>
        <v>2620.8000000000061</v>
      </c>
    </row>
    <row r="41" spans="1:24" x14ac:dyDescent="0.2">
      <c r="G41" s="60">
        <v>20</v>
      </c>
      <c r="H41" s="82">
        <f ca="1"/>
        <v>1</v>
      </c>
      <c r="I41" s="82">
        <f t="shared" ca="1" si="6"/>
        <v>13</v>
      </c>
      <c r="J41" s="83">
        <f t="shared" ca="1" si="5"/>
        <v>0.65</v>
      </c>
      <c r="N41" s="60">
        <v>20</v>
      </c>
      <c r="O41" s="82">
        <f ca="1">IF(AND(N41&lt;=U$22,RAND()&lt;=$H$7),1,0)</f>
        <v>0</v>
      </c>
      <c r="P41" s="82">
        <f t="shared" ca="1" si="7"/>
        <v>0</v>
      </c>
      <c r="Q41" s="84">
        <f t="shared" ca="1" si="8"/>
        <v>1</v>
      </c>
      <c r="R41" s="82">
        <f t="shared" ca="1" si="9"/>
        <v>0</v>
      </c>
      <c r="S41" s="82">
        <f ca="1">SUM(R$22:$R41)</f>
        <v>69.599999999999994</v>
      </c>
      <c r="W41" s="60">
        <v>20</v>
      </c>
      <c r="X41" s="82">
        <f ca="1"/>
        <v>2708.0000000000077</v>
      </c>
    </row>
    <row r="42" spans="1:24" x14ac:dyDescent="0.2">
      <c r="G42" s="60">
        <v>21</v>
      </c>
      <c r="H42" s="82">
        <f ca="1"/>
        <v>0</v>
      </c>
      <c r="I42" s="82">
        <f t="shared" ca="1" si="6"/>
        <v>13</v>
      </c>
      <c r="J42" s="83">
        <f t="shared" ca="1" si="5"/>
        <v>0.61904761904761907</v>
      </c>
      <c r="N42" s="60">
        <v>21</v>
      </c>
      <c r="O42" s="82">
        <f ca="1">IF(AND(N42&lt;=U$22,RAND()&lt;=$H$7),1,0)</f>
        <v>0</v>
      </c>
      <c r="P42" s="82">
        <f t="shared" ca="1" si="7"/>
        <v>0</v>
      </c>
      <c r="Q42" s="84">
        <f t="shared" ca="1" si="8"/>
        <v>1</v>
      </c>
      <c r="R42" s="82">
        <f t="shared" ca="1" si="9"/>
        <v>0</v>
      </c>
      <c r="S42" s="82">
        <f ca="1">SUM(R$22:$R42)</f>
        <v>69.599999999999994</v>
      </c>
      <c r="W42" s="60">
        <v>21</v>
      </c>
      <c r="X42" s="82">
        <f ca="1"/>
        <v>2738.4000000000069</v>
      </c>
    </row>
    <row r="43" spans="1:24" x14ac:dyDescent="0.2">
      <c r="G43" s="60">
        <v>22</v>
      </c>
      <c r="H43" s="82">
        <f ca="1"/>
        <v>1</v>
      </c>
      <c r="I43" s="82">
        <f t="shared" ca="1" si="6"/>
        <v>14</v>
      </c>
      <c r="J43" s="83">
        <f t="shared" ca="1" si="5"/>
        <v>0.63636363636363635</v>
      </c>
      <c r="N43" s="60">
        <v>22</v>
      </c>
      <c r="O43" s="82">
        <f ca="1">IF(AND(N43&lt;=U$22,RAND()&lt;=$H$7),1,0)</f>
        <v>1</v>
      </c>
      <c r="P43" s="82">
        <f t="shared" ca="1" si="7"/>
        <v>0</v>
      </c>
      <c r="Q43" s="84">
        <f t="shared" ca="1" si="8"/>
        <v>1</v>
      </c>
      <c r="R43" s="82">
        <f t="shared" ca="1" si="9"/>
        <v>4</v>
      </c>
      <c r="S43" s="82">
        <f ca="1">SUM(R$22:$R43)</f>
        <v>73.599999999999994</v>
      </c>
      <c r="W43" s="60">
        <v>22</v>
      </c>
      <c r="X43" s="82">
        <f ca="1"/>
        <v>2913.6000000000067</v>
      </c>
    </row>
    <row r="44" spans="1:24" x14ac:dyDescent="0.2">
      <c r="G44" s="60">
        <v>23</v>
      </c>
      <c r="H44" s="82">
        <f ca="1"/>
        <v>1</v>
      </c>
      <c r="I44" s="82">
        <f t="shared" ca="1" si="6"/>
        <v>15</v>
      </c>
      <c r="J44" s="83">
        <f t="shared" ca="1" si="5"/>
        <v>0.65217391304347827</v>
      </c>
      <c r="N44" s="60">
        <v>23</v>
      </c>
      <c r="O44" s="82">
        <f ca="1">IF(AND(N44&lt;=U$22,RAND()&lt;=$H$7),1,0)</f>
        <v>1</v>
      </c>
      <c r="P44" s="82">
        <f t="shared" ca="1" si="7"/>
        <v>1</v>
      </c>
      <c r="Q44" s="84">
        <f t="shared" ca="1" si="8"/>
        <v>1</v>
      </c>
      <c r="R44" s="82">
        <f t="shared" ca="1" si="9"/>
        <v>4</v>
      </c>
      <c r="S44" s="82">
        <f ca="1">SUM(R$22:$R44)</f>
        <v>77.599999999999994</v>
      </c>
      <c r="W44" s="60">
        <v>23</v>
      </c>
      <c r="X44" s="82">
        <f ca="1"/>
        <v>2637.6000000000063</v>
      </c>
    </row>
    <row r="45" spans="1:24" x14ac:dyDescent="0.2">
      <c r="G45" s="60">
        <v>24</v>
      </c>
      <c r="H45" s="82">
        <f ca="1"/>
        <v>1</v>
      </c>
      <c r="I45" s="82">
        <f t="shared" ca="1" si="6"/>
        <v>16</v>
      </c>
      <c r="J45" s="83">
        <f t="shared" ca="1" si="5"/>
        <v>0.66666666666666663</v>
      </c>
      <c r="N45" s="60">
        <v>24</v>
      </c>
      <c r="O45" s="82">
        <f ca="1">IF(AND(N45&lt;=U$22,RAND()&lt;=$H$7),1,0)</f>
        <v>1</v>
      </c>
      <c r="P45" s="82">
        <f t="shared" ca="1" si="7"/>
        <v>2</v>
      </c>
      <c r="Q45" s="84">
        <f t="shared" ca="1" si="8"/>
        <v>1.1000000000000001</v>
      </c>
      <c r="R45" s="82">
        <f t="shared" ca="1" si="9"/>
        <v>4.4000000000000004</v>
      </c>
      <c r="S45" s="82">
        <f ca="1">SUM(R$22:$R45)</f>
        <v>82</v>
      </c>
      <c r="W45" s="60">
        <v>24</v>
      </c>
      <c r="X45" s="82">
        <f ca="1"/>
        <v>2720.8000000000061</v>
      </c>
    </row>
    <row r="46" spans="1:24" x14ac:dyDescent="0.2">
      <c r="G46" s="60">
        <v>25</v>
      </c>
      <c r="H46" s="82">
        <f ca="1"/>
        <v>1</v>
      </c>
      <c r="I46" s="82">
        <f t="shared" ca="1" si="6"/>
        <v>17</v>
      </c>
      <c r="J46" s="83">
        <f t="shared" ca="1" si="5"/>
        <v>0.68</v>
      </c>
      <c r="N46" s="60">
        <v>25</v>
      </c>
      <c r="O46" s="82">
        <f ca="1">IF(AND(N46&lt;=U$22,RAND()&lt;=$H$7),1,0)</f>
        <v>0</v>
      </c>
      <c r="P46" s="82">
        <f t="shared" ca="1" si="7"/>
        <v>0</v>
      </c>
      <c r="Q46" s="84">
        <f t="shared" ca="1" si="8"/>
        <v>1</v>
      </c>
      <c r="R46" s="82">
        <f t="shared" ca="1" si="9"/>
        <v>0</v>
      </c>
      <c r="S46" s="82">
        <f ca="1">SUM(R$22:$R46)</f>
        <v>82</v>
      </c>
      <c r="W46" s="60">
        <v>25</v>
      </c>
      <c r="X46" s="82">
        <f ca="1"/>
        <v>2686.0000000000077</v>
      </c>
    </row>
    <row r="47" spans="1:24" x14ac:dyDescent="0.2">
      <c r="G47" s="60">
        <v>26</v>
      </c>
      <c r="H47" s="82">
        <f ca="1"/>
        <v>0</v>
      </c>
      <c r="I47" s="82">
        <f t="shared" ca="1" si="6"/>
        <v>17</v>
      </c>
      <c r="J47" s="83">
        <f t="shared" ca="1" si="5"/>
        <v>0.65384615384615385</v>
      </c>
      <c r="N47" s="60">
        <v>26</v>
      </c>
      <c r="O47" s="82">
        <f ca="1">IF(AND(N47&lt;=U$22,RAND()&lt;=$H$7),1,0)</f>
        <v>1</v>
      </c>
      <c r="P47" s="82">
        <f t="shared" ca="1" si="7"/>
        <v>0</v>
      </c>
      <c r="Q47" s="84">
        <f t="shared" ca="1" si="8"/>
        <v>1</v>
      </c>
      <c r="R47" s="82">
        <f t="shared" ca="1" si="9"/>
        <v>4</v>
      </c>
      <c r="S47" s="82">
        <f ca="1">SUM(R$22:$R47)</f>
        <v>86</v>
      </c>
      <c r="W47" s="60">
        <v>26</v>
      </c>
      <c r="X47" s="82">
        <f ca="1"/>
        <v>2692.0000000000073</v>
      </c>
    </row>
    <row r="48" spans="1:24" x14ac:dyDescent="0.2">
      <c r="G48" s="60">
        <v>27</v>
      </c>
      <c r="H48" s="82">
        <f ca="1"/>
        <v>0</v>
      </c>
      <c r="I48" s="82">
        <f t="shared" ca="1" si="6"/>
        <v>17</v>
      </c>
      <c r="J48" s="83">
        <f t="shared" ca="1" si="5"/>
        <v>0.62962962962962965</v>
      </c>
      <c r="N48" s="60">
        <v>27</v>
      </c>
      <c r="O48" s="82">
        <f ca="1">IF(AND(N48&lt;=U$22,RAND()&lt;=$H$7),1,0)</f>
        <v>0</v>
      </c>
      <c r="P48" s="82">
        <f t="shared" ca="1" si="7"/>
        <v>0</v>
      </c>
      <c r="Q48" s="84">
        <f t="shared" ca="1" si="8"/>
        <v>1</v>
      </c>
      <c r="R48" s="82">
        <f t="shared" ca="1" si="9"/>
        <v>0</v>
      </c>
      <c r="S48" s="82">
        <f ca="1">SUM(R$22:$R48)</f>
        <v>86</v>
      </c>
      <c r="W48" s="60">
        <v>27</v>
      </c>
      <c r="X48" s="82">
        <f ca="1"/>
        <v>2905.6000000000072</v>
      </c>
    </row>
    <row r="49" spans="7:24" x14ac:dyDescent="0.2">
      <c r="G49" s="60">
        <v>28</v>
      </c>
      <c r="H49" s="82">
        <f ca="1"/>
        <v>1</v>
      </c>
      <c r="I49" s="82">
        <f t="shared" ca="1" si="6"/>
        <v>18</v>
      </c>
      <c r="J49" s="83">
        <f t="shared" ca="1" si="5"/>
        <v>0.6428571428571429</v>
      </c>
      <c r="N49" s="60">
        <v>28</v>
      </c>
      <c r="O49" s="82">
        <f ca="1">IF(AND(N49&lt;=U$22,RAND()&lt;=$H$7),1,0)</f>
        <v>0</v>
      </c>
      <c r="P49" s="82">
        <f t="shared" ca="1" si="7"/>
        <v>0</v>
      </c>
      <c r="Q49" s="84">
        <f t="shared" ca="1" si="8"/>
        <v>1</v>
      </c>
      <c r="R49" s="82">
        <f t="shared" ca="1" si="9"/>
        <v>0</v>
      </c>
      <c r="S49" s="82">
        <f ca="1">SUM(R$22:$R49)</f>
        <v>86</v>
      </c>
      <c r="W49" s="60">
        <v>28</v>
      </c>
      <c r="X49" s="82">
        <f ca="1"/>
        <v>2706.0000000000077</v>
      </c>
    </row>
    <row r="50" spans="7:24" x14ac:dyDescent="0.2">
      <c r="G50" s="60">
        <v>29</v>
      </c>
      <c r="H50" s="82">
        <f ca="1"/>
        <v>0</v>
      </c>
      <c r="I50" s="82">
        <f t="shared" ca="1" si="6"/>
        <v>18</v>
      </c>
      <c r="J50" s="83">
        <f t="shared" ca="1" si="5"/>
        <v>0.62068965517241381</v>
      </c>
      <c r="N50" s="60">
        <v>29</v>
      </c>
      <c r="O50" s="82">
        <f ca="1">IF(AND(N50&lt;=U$22,RAND()&lt;=$H$7),1,0)</f>
        <v>1</v>
      </c>
      <c r="P50" s="82">
        <f t="shared" ca="1" si="7"/>
        <v>0</v>
      </c>
      <c r="Q50" s="84">
        <f t="shared" ca="1" si="8"/>
        <v>1</v>
      </c>
      <c r="R50" s="82">
        <f t="shared" ca="1" si="9"/>
        <v>4</v>
      </c>
      <c r="S50" s="82">
        <f ca="1">SUM(R$22:$R50)</f>
        <v>90</v>
      </c>
      <c r="W50" s="60">
        <v>29</v>
      </c>
      <c r="X50" s="82">
        <f ca="1"/>
        <v>2742.0000000000077</v>
      </c>
    </row>
    <row r="51" spans="7:24" x14ac:dyDescent="0.2">
      <c r="G51" s="60">
        <v>30</v>
      </c>
      <c r="H51" s="82">
        <f ca="1"/>
        <v>0</v>
      </c>
      <c r="I51" s="82">
        <f t="shared" ca="1" si="6"/>
        <v>18</v>
      </c>
      <c r="J51" s="83">
        <f t="shared" ca="1" si="5"/>
        <v>0.6</v>
      </c>
      <c r="N51" s="60">
        <v>30</v>
      </c>
      <c r="O51" s="82">
        <f ca="1">IF(AND(N51&lt;=U$22,RAND()&lt;=$H$7),1,0)</f>
        <v>1</v>
      </c>
      <c r="P51" s="82">
        <f t="shared" ca="1" si="7"/>
        <v>1</v>
      </c>
      <c r="Q51" s="84">
        <f t="shared" ca="1" si="8"/>
        <v>1</v>
      </c>
      <c r="R51" s="82">
        <f t="shared" ca="1" si="9"/>
        <v>4</v>
      </c>
      <c r="S51" s="82">
        <f ca="1">SUM(R$22:$R51)</f>
        <v>94</v>
      </c>
      <c r="W51" s="60">
        <v>30</v>
      </c>
      <c r="X51" s="82">
        <f ca="1"/>
        <v>2605.6000000000076</v>
      </c>
    </row>
    <row r="52" spans="7:24" x14ac:dyDescent="0.2">
      <c r="G52" s="60">
        <v>31</v>
      </c>
      <c r="H52" s="82">
        <f ca="1"/>
        <v>1</v>
      </c>
      <c r="I52" s="82">
        <f t="shared" ca="1" si="6"/>
        <v>19</v>
      </c>
      <c r="J52" s="83">
        <f t="shared" ca="1" si="5"/>
        <v>0.61290322580645162</v>
      </c>
      <c r="N52" s="60">
        <v>31</v>
      </c>
      <c r="O52" s="82">
        <f ca="1">IF(AND(N52&lt;=U$22,RAND()&lt;=$H$7),1,0)</f>
        <v>1</v>
      </c>
      <c r="P52" s="82">
        <f t="shared" ca="1" si="7"/>
        <v>2</v>
      </c>
      <c r="Q52" s="84">
        <f t="shared" ca="1" si="8"/>
        <v>1.1000000000000001</v>
      </c>
      <c r="R52" s="82">
        <f t="shared" ca="1" si="9"/>
        <v>4.4000000000000004</v>
      </c>
      <c r="S52" s="82">
        <f ca="1">SUM(R$22:$R52)</f>
        <v>98.4</v>
      </c>
      <c r="W52" s="60">
        <v>31</v>
      </c>
      <c r="X52" s="82">
        <f ca="1"/>
        <v>2555.2000000000048</v>
      </c>
    </row>
    <row r="53" spans="7:24" x14ac:dyDescent="0.2">
      <c r="G53" s="60">
        <v>32</v>
      </c>
      <c r="H53" s="82">
        <f ca="1"/>
        <v>0</v>
      </c>
      <c r="I53" s="82">
        <f t="shared" ca="1" si="6"/>
        <v>19</v>
      </c>
      <c r="J53" s="83">
        <f t="shared" ca="1" si="5"/>
        <v>0.59375</v>
      </c>
      <c r="N53" s="60">
        <v>32</v>
      </c>
      <c r="O53" s="82">
        <f ca="1">IF(AND(N53&lt;=U$22,RAND()&lt;=$H$7),1,0)</f>
        <v>1</v>
      </c>
      <c r="P53" s="82">
        <f t="shared" ca="1" si="7"/>
        <v>3</v>
      </c>
      <c r="Q53" s="84">
        <f t="shared" ca="1" si="8"/>
        <v>1.2</v>
      </c>
      <c r="R53" s="82">
        <f t="shared" ca="1" si="9"/>
        <v>4.8</v>
      </c>
      <c r="S53" s="82">
        <f ca="1">SUM(R$22:$R53)</f>
        <v>103.2</v>
      </c>
      <c r="W53" s="60">
        <v>32</v>
      </c>
      <c r="X53" s="82">
        <f ca="1"/>
        <v>2783.2000000000075</v>
      </c>
    </row>
    <row r="54" spans="7:24" x14ac:dyDescent="0.2">
      <c r="G54" s="60">
        <v>33</v>
      </c>
      <c r="H54" s="82">
        <f ca="1"/>
        <v>1</v>
      </c>
      <c r="I54" s="82">
        <f t="shared" ca="1" si="6"/>
        <v>20</v>
      </c>
      <c r="J54" s="83">
        <f t="shared" ca="1" si="5"/>
        <v>0.60606060606060608</v>
      </c>
      <c r="N54" s="60">
        <v>33</v>
      </c>
      <c r="O54" s="82">
        <f ca="1">IF(AND(N54&lt;=U$22,RAND()&lt;=$H$7),1,0)</f>
        <v>1</v>
      </c>
      <c r="P54" s="82">
        <f t="shared" ca="1" si="7"/>
        <v>4</v>
      </c>
      <c r="Q54" s="84">
        <f t="shared" ca="1" si="8"/>
        <v>1.3</v>
      </c>
      <c r="R54" s="82">
        <f t="shared" ca="1" si="9"/>
        <v>5.2</v>
      </c>
      <c r="S54" s="82">
        <f ca="1">SUM(R$22:$R54)</f>
        <v>108.4</v>
      </c>
      <c r="W54" s="60">
        <v>33</v>
      </c>
      <c r="X54" s="82">
        <f ca="1"/>
        <v>2747.6000000000054</v>
      </c>
    </row>
    <row r="55" spans="7:24" x14ac:dyDescent="0.2">
      <c r="G55" s="60">
        <v>34</v>
      </c>
      <c r="H55" s="82">
        <f ca="1"/>
        <v>0</v>
      </c>
      <c r="I55" s="82">
        <f t="shared" ca="1" si="6"/>
        <v>20</v>
      </c>
      <c r="J55" s="83">
        <f t="shared" ca="1" si="5"/>
        <v>0.58823529411764708</v>
      </c>
      <c r="N55" s="60">
        <v>34</v>
      </c>
      <c r="O55" s="82">
        <f ca="1">IF(AND(N55&lt;=U$22,RAND()&lt;=$H$7),1,0)</f>
        <v>0</v>
      </c>
      <c r="P55" s="82">
        <f t="shared" ca="1" si="7"/>
        <v>0</v>
      </c>
      <c r="Q55" s="84">
        <f t="shared" ca="1" si="8"/>
        <v>1</v>
      </c>
      <c r="R55" s="82">
        <f t="shared" ca="1" si="9"/>
        <v>0</v>
      </c>
      <c r="S55" s="82">
        <f ca="1">SUM(R$22:$R55)</f>
        <v>108.4</v>
      </c>
      <c r="W55" s="60">
        <v>34</v>
      </c>
      <c r="X55" s="82">
        <f ca="1"/>
        <v>2626.400000000006</v>
      </c>
    </row>
    <row r="56" spans="7:24" x14ac:dyDescent="0.2">
      <c r="G56" s="60">
        <v>35</v>
      </c>
      <c r="H56" s="82">
        <f ca="1"/>
        <v>1</v>
      </c>
      <c r="I56" s="82">
        <f t="shared" ca="1" si="6"/>
        <v>21</v>
      </c>
      <c r="J56" s="83">
        <f t="shared" ca="1" si="5"/>
        <v>0.6</v>
      </c>
      <c r="N56" s="60">
        <v>35</v>
      </c>
      <c r="O56" s="82">
        <f ca="1">IF(AND(N56&lt;=U$22,RAND()&lt;=$H$7),1,0)</f>
        <v>0</v>
      </c>
      <c r="P56" s="82">
        <f t="shared" ca="1" si="7"/>
        <v>0</v>
      </c>
      <c r="Q56" s="84">
        <f t="shared" ca="1" si="8"/>
        <v>1</v>
      </c>
      <c r="R56" s="82">
        <f t="shared" ca="1" si="9"/>
        <v>0</v>
      </c>
      <c r="S56" s="82">
        <f ca="1">SUM(R$22:$R56)</f>
        <v>108.4</v>
      </c>
      <c r="W56" s="60">
        <v>35</v>
      </c>
      <c r="X56" s="82">
        <f ca="1"/>
        <v>2850.8000000000075</v>
      </c>
    </row>
    <row r="57" spans="7:24" x14ac:dyDescent="0.2">
      <c r="G57" s="60">
        <v>36</v>
      </c>
      <c r="H57" s="82">
        <f ca="1"/>
        <v>1</v>
      </c>
      <c r="I57" s="82">
        <f t="shared" ca="1" si="6"/>
        <v>22</v>
      </c>
      <c r="J57" s="83">
        <f t="shared" ca="1" si="5"/>
        <v>0.61111111111111116</v>
      </c>
      <c r="N57" s="60">
        <v>36</v>
      </c>
      <c r="O57" s="82">
        <f ca="1">IF(AND(N57&lt;=U$22,RAND()&lt;=$H$7),1,0)</f>
        <v>0</v>
      </c>
      <c r="P57" s="82">
        <f t="shared" ca="1" si="7"/>
        <v>0</v>
      </c>
      <c r="Q57" s="84">
        <f t="shared" ca="1" si="8"/>
        <v>1</v>
      </c>
      <c r="R57" s="82">
        <f t="shared" ca="1" si="9"/>
        <v>0</v>
      </c>
      <c r="S57" s="82">
        <f ca="1">SUM(R$22:$R57)</f>
        <v>108.4</v>
      </c>
      <c r="W57" s="60">
        <v>36</v>
      </c>
      <c r="X57" s="82">
        <f ca="1"/>
        <v>2617.6000000000063</v>
      </c>
    </row>
    <row r="58" spans="7:24" x14ac:dyDescent="0.2">
      <c r="G58" s="60">
        <v>37</v>
      </c>
      <c r="H58" s="82">
        <f ca="1"/>
        <v>1</v>
      </c>
      <c r="I58" s="82">
        <f t="shared" ca="1" si="6"/>
        <v>23</v>
      </c>
      <c r="J58" s="83">
        <f t="shared" ca="1" si="5"/>
        <v>0.6216216216216216</v>
      </c>
      <c r="N58" s="60">
        <v>37</v>
      </c>
      <c r="O58" s="82">
        <f ca="1">IF(AND(N58&lt;=U$22,RAND()&lt;=$H$7),1,0)</f>
        <v>1</v>
      </c>
      <c r="P58" s="82">
        <f t="shared" ca="1" si="7"/>
        <v>0</v>
      </c>
      <c r="Q58" s="84">
        <f t="shared" ca="1" si="8"/>
        <v>1</v>
      </c>
      <c r="R58" s="82">
        <f t="shared" ca="1" si="9"/>
        <v>4</v>
      </c>
      <c r="S58" s="82">
        <f ca="1">SUM(R$22:$R58)</f>
        <v>112.4</v>
      </c>
      <c r="W58" s="60">
        <v>37</v>
      </c>
      <c r="X58" s="82">
        <f ca="1"/>
        <v>2878.4000000000069</v>
      </c>
    </row>
    <row r="59" spans="7:24" x14ac:dyDescent="0.2">
      <c r="G59" s="60">
        <v>38</v>
      </c>
      <c r="H59" s="82">
        <f ca="1"/>
        <v>0</v>
      </c>
      <c r="I59" s="82">
        <f t="shared" ca="1" si="6"/>
        <v>23</v>
      </c>
      <c r="J59" s="83">
        <f t="shared" ca="1" si="5"/>
        <v>0.60526315789473684</v>
      </c>
      <c r="N59" s="60">
        <v>38</v>
      </c>
      <c r="O59" s="82">
        <f ca="1">IF(AND(N59&lt;=U$22,RAND()&lt;=$H$7),1,0)</f>
        <v>1</v>
      </c>
      <c r="P59" s="82">
        <f t="shared" ca="1" si="7"/>
        <v>1</v>
      </c>
      <c r="Q59" s="84">
        <f t="shared" ca="1" si="8"/>
        <v>1</v>
      </c>
      <c r="R59" s="82">
        <f t="shared" ca="1" si="9"/>
        <v>4</v>
      </c>
      <c r="S59" s="82">
        <f ca="1">SUM(R$22:$R59)</f>
        <v>116.4</v>
      </c>
      <c r="W59" s="60">
        <v>38</v>
      </c>
      <c r="X59" s="82">
        <f ca="1"/>
        <v>2772.4000000000074</v>
      </c>
    </row>
    <row r="60" spans="7:24" x14ac:dyDescent="0.2">
      <c r="G60" s="60">
        <v>39</v>
      </c>
      <c r="H60" s="82">
        <f ca="1"/>
        <v>1</v>
      </c>
      <c r="I60" s="82">
        <f t="shared" ca="1" si="6"/>
        <v>24</v>
      </c>
      <c r="J60" s="83">
        <f t="shared" ca="1" si="5"/>
        <v>0.61538461538461542</v>
      </c>
      <c r="N60" s="60">
        <v>39</v>
      </c>
      <c r="O60" s="82">
        <f ca="1">IF(AND(N60&lt;=U$22,RAND()&lt;=$H$7),1,0)</f>
        <v>0</v>
      </c>
      <c r="P60" s="82">
        <f t="shared" ca="1" si="7"/>
        <v>0</v>
      </c>
      <c r="Q60" s="84">
        <f t="shared" ca="1" si="8"/>
        <v>1</v>
      </c>
      <c r="R60" s="82">
        <f t="shared" ca="1" si="9"/>
        <v>0</v>
      </c>
      <c r="S60" s="82">
        <f ca="1">SUM(R$22:$R60)</f>
        <v>116.4</v>
      </c>
      <c r="W60" s="60">
        <v>39</v>
      </c>
      <c r="X60" s="82">
        <f ca="1"/>
        <v>2591.2000000000057</v>
      </c>
    </row>
    <row r="61" spans="7:24" x14ac:dyDescent="0.2">
      <c r="G61" s="60">
        <v>40</v>
      </c>
      <c r="H61" s="82">
        <f ca="1"/>
        <v>0</v>
      </c>
      <c r="I61" s="82">
        <f t="shared" ca="1" si="6"/>
        <v>24</v>
      </c>
      <c r="J61" s="83">
        <f t="shared" ca="1" si="5"/>
        <v>0.6</v>
      </c>
      <c r="N61" s="60">
        <v>40</v>
      </c>
      <c r="O61" s="82">
        <f ca="1">IF(AND(N61&lt;=U$22,RAND()&lt;=$H$7),1,0)</f>
        <v>1</v>
      </c>
      <c r="P61" s="82">
        <f t="shared" ca="1" si="7"/>
        <v>0</v>
      </c>
      <c r="Q61" s="84">
        <f t="shared" ca="1" si="8"/>
        <v>1</v>
      </c>
      <c r="R61" s="82">
        <f t="shared" ca="1" si="9"/>
        <v>4</v>
      </c>
      <c r="S61" s="82">
        <f ca="1">SUM(R$22:$R61)</f>
        <v>120.4</v>
      </c>
      <c r="W61" s="60">
        <v>40</v>
      </c>
      <c r="X61" s="82">
        <f ca="1"/>
        <v>2628.4000000000074</v>
      </c>
    </row>
    <row r="62" spans="7:24" x14ac:dyDescent="0.2">
      <c r="G62" s="60">
        <v>41</v>
      </c>
      <c r="H62" s="82">
        <f ca="1"/>
        <v>1</v>
      </c>
      <c r="I62" s="82">
        <f t="shared" ca="1" si="6"/>
        <v>25</v>
      </c>
      <c r="J62" s="83">
        <f t="shared" ca="1" si="5"/>
        <v>0.6097560975609756</v>
      </c>
      <c r="N62" s="60">
        <v>41</v>
      </c>
      <c r="O62" s="82">
        <f ca="1">IF(AND(N62&lt;=U$22,RAND()&lt;=$H$7),1,0)</f>
        <v>0</v>
      </c>
      <c r="P62" s="82">
        <f t="shared" ca="1" si="7"/>
        <v>0</v>
      </c>
      <c r="Q62" s="84">
        <f t="shared" ca="1" si="8"/>
        <v>1</v>
      </c>
      <c r="R62" s="82">
        <f t="shared" ca="1" si="9"/>
        <v>0</v>
      </c>
      <c r="S62" s="82">
        <f ca="1">SUM(R$22:$R62)</f>
        <v>120.4</v>
      </c>
      <c r="W62" s="60">
        <v>41</v>
      </c>
      <c r="X62" s="82">
        <f ca="1"/>
        <v>2634.4000000000065</v>
      </c>
    </row>
    <row r="63" spans="7:24" x14ac:dyDescent="0.2">
      <c r="G63" s="60">
        <v>42</v>
      </c>
      <c r="H63" s="82">
        <f ca="1"/>
        <v>1</v>
      </c>
      <c r="I63" s="82">
        <f t="shared" ca="1" si="6"/>
        <v>26</v>
      </c>
      <c r="J63" s="83">
        <f t="shared" ca="1" si="5"/>
        <v>0.61904761904761907</v>
      </c>
      <c r="N63" s="60">
        <v>42</v>
      </c>
      <c r="O63" s="82">
        <f ca="1">IF(AND(N63&lt;=U$22,RAND()&lt;=$H$7),1,0)</f>
        <v>1</v>
      </c>
      <c r="P63" s="82">
        <f t="shared" ca="1" si="7"/>
        <v>0</v>
      </c>
      <c r="Q63" s="84">
        <f t="shared" ca="1" si="8"/>
        <v>1</v>
      </c>
      <c r="R63" s="82">
        <f t="shared" ca="1" si="9"/>
        <v>4</v>
      </c>
      <c r="S63" s="82">
        <f ca="1">SUM(R$22:$R63)</f>
        <v>124.4</v>
      </c>
      <c r="W63" s="60">
        <v>42</v>
      </c>
      <c r="X63" s="82">
        <f ca="1"/>
        <v>2614.0000000000059</v>
      </c>
    </row>
    <row r="64" spans="7:24" x14ac:dyDescent="0.2">
      <c r="G64" s="60">
        <v>43</v>
      </c>
      <c r="H64" s="82">
        <f ca="1"/>
        <v>1</v>
      </c>
      <c r="I64" s="82">
        <f t="shared" ca="1" si="6"/>
        <v>27</v>
      </c>
      <c r="J64" s="83">
        <f t="shared" ca="1" si="5"/>
        <v>0.62790697674418605</v>
      </c>
      <c r="N64" s="60">
        <v>43</v>
      </c>
      <c r="O64" s="82">
        <f ca="1">IF(AND(N64&lt;=U$22,RAND()&lt;=$H$7),1,0)</f>
        <v>1</v>
      </c>
      <c r="P64" s="82">
        <f t="shared" ca="1" si="7"/>
        <v>1</v>
      </c>
      <c r="Q64" s="84">
        <f t="shared" ca="1" si="8"/>
        <v>1</v>
      </c>
      <c r="R64" s="82">
        <f t="shared" ca="1" si="9"/>
        <v>4</v>
      </c>
      <c r="S64" s="82">
        <f ca="1">SUM(R$22:$R64)</f>
        <v>128.4</v>
      </c>
      <c r="W64" s="60">
        <v>43</v>
      </c>
      <c r="X64" s="82">
        <f ca="1"/>
        <v>2701.2000000000085</v>
      </c>
    </row>
    <row r="65" spans="7:24" x14ac:dyDescent="0.2">
      <c r="G65" s="60">
        <v>44</v>
      </c>
      <c r="H65" s="82">
        <f ca="1"/>
        <v>0</v>
      </c>
      <c r="I65" s="82">
        <f t="shared" ca="1" si="6"/>
        <v>27</v>
      </c>
      <c r="J65" s="83">
        <f t="shared" ca="1" si="5"/>
        <v>0.61363636363636365</v>
      </c>
      <c r="N65" s="60">
        <v>44</v>
      </c>
      <c r="O65" s="82">
        <f ca="1">IF(AND(N65&lt;=U$22,RAND()&lt;=$H$7),1,0)</f>
        <v>1</v>
      </c>
      <c r="P65" s="82">
        <f t="shared" ca="1" si="7"/>
        <v>2</v>
      </c>
      <c r="Q65" s="84">
        <f t="shared" ca="1" si="8"/>
        <v>1.1000000000000001</v>
      </c>
      <c r="R65" s="82">
        <f t="shared" ca="1" si="9"/>
        <v>4.4000000000000004</v>
      </c>
      <c r="S65" s="82">
        <f ca="1">SUM(R$22:$R65)</f>
        <v>132.80000000000001</v>
      </c>
      <c r="W65" s="60">
        <v>44</v>
      </c>
      <c r="X65" s="82">
        <f ca="1"/>
        <v>2766.0000000000064</v>
      </c>
    </row>
    <row r="66" spans="7:24" x14ac:dyDescent="0.2">
      <c r="G66" s="60">
        <v>45</v>
      </c>
      <c r="H66" s="82">
        <f ca="1"/>
        <v>0</v>
      </c>
      <c r="I66" s="82">
        <f t="shared" ca="1" si="6"/>
        <v>27</v>
      </c>
      <c r="J66" s="83">
        <f t="shared" ca="1" si="5"/>
        <v>0.6</v>
      </c>
      <c r="N66" s="60">
        <v>45</v>
      </c>
      <c r="O66" s="82">
        <f ca="1">IF(AND(N66&lt;=U$22,RAND()&lt;=$H$7),1,0)</f>
        <v>0</v>
      </c>
      <c r="P66" s="82">
        <f t="shared" ca="1" si="7"/>
        <v>0</v>
      </c>
      <c r="Q66" s="84">
        <f t="shared" ca="1" si="8"/>
        <v>1</v>
      </c>
      <c r="R66" s="82">
        <f t="shared" ca="1" si="9"/>
        <v>0</v>
      </c>
      <c r="S66" s="82">
        <f ca="1">SUM(R$22:$R66)</f>
        <v>132.80000000000001</v>
      </c>
      <c r="W66" s="60">
        <v>45</v>
      </c>
      <c r="X66" s="82">
        <f ca="1"/>
        <v>2642.8000000000065</v>
      </c>
    </row>
    <row r="67" spans="7:24" x14ac:dyDescent="0.2">
      <c r="G67" s="60">
        <v>46</v>
      </c>
      <c r="H67" s="82">
        <f ca="1"/>
        <v>1</v>
      </c>
      <c r="I67" s="82">
        <f t="shared" ca="1" si="6"/>
        <v>28</v>
      </c>
      <c r="J67" s="83">
        <f t="shared" ca="1" si="5"/>
        <v>0.60869565217391308</v>
      </c>
      <c r="N67" s="60">
        <v>46</v>
      </c>
      <c r="O67" s="82">
        <f ca="1">IF(AND(N67&lt;=U$22,RAND()&lt;=$H$7),1,0)</f>
        <v>1</v>
      </c>
      <c r="P67" s="82">
        <f t="shared" ca="1" si="7"/>
        <v>0</v>
      </c>
      <c r="Q67" s="84">
        <f t="shared" ca="1" si="8"/>
        <v>1</v>
      </c>
      <c r="R67" s="82">
        <f t="shared" ca="1" si="9"/>
        <v>4</v>
      </c>
      <c r="S67" s="82">
        <f ca="1">SUM(R$22:$R67)</f>
        <v>136.80000000000001</v>
      </c>
      <c r="W67" s="60">
        <v>46</v>
      </c>
      <c r="X67" s="82">
        <f ca="1"/>
        <v>2714.4000000000051</v>
      </c>
    </row>
    <row r="68" spans="7:24" x14ac:dyDescent="0.2">
      <c r="G68" s="60">
        <v>47</v>
      </c>
      <c r="H68" s="82">
        <f ca="1"/>
        <v>0</v>
      </c>
      <c r="I68" s="82">
        <f t="shared" ca="1" si="6"/>
        <v>28</v>
      </c>
      <c r="J68" s="83">
        <f t="shared" ca="1" si="5"/>
        <v>0.5957446808510638</v>
      </c>
      <c r="N68" s="60">
        <v>47</v>
      </c>
      <c r="O68" s="82">
        <f ca="1">IF(AND(N68&lt;=U$22,RAND()&lt;=$H$7),1,0)</f>
        <v>1</v>
      </c>
      <c r="P68" s="82">
        <f t="shared" ca="1" si="7"/>
        <v>1</v>
      </c>
      <c r="Q68" s="84">
        <f t="shared" ca="1" si="8"/>
        <v>1</v>
      </c>
      <c r="R68" s="82">
        <f ca="1">Q68*$I$7*O68</f>
        <v>4</v>
      </c>
      <c r="S68" s="82">
        <f ca="1">SUM(R$22:$R68)</f>
        <v>140.80000000000001</v>
      </c>
      <c r="W68" s="60">
        <v>47</v>
      </c>
      <c r="X68" s="82">
        <f ca="1"/>
        <v>2736.0000000000086</v>
      </c>
    </row>
    <row r="69" spans="7:24" x14ac:dyDescent="0.2">
      <c r="G69" s="60">
        <v>48</v>
      </c>
      <c r="H69" s="82">
        <f ca="1"/>
        <v>0</v>
      </c>
      <c r="I69" s="82">
        <f t="shared" ca="1" si="6"/>
        <v>28</v>
      </c>
      <c r="J69" s="83">
        <f t="shared" ca="1" si="5"/>
        <v>0.58333333333333337</v>
      </c>
      <c r="N69" s="60">
        <v>48</v>
      </c>
      <c r="O69" s="82">
        <f ca="1">IF(AND(N69&lt;=U$22,RAND()&lt;=$H$7),1,0)</f>
        <v>1</v>
      </c>
      <c r="P69" s="82">
        <f t="shared" ca="1" si="7"/>
        <v>2</v>
      </c>
      <c r="Q69" s="84">
        <f t="shared" ca="1" si="8"/>
        <v>1.1000000000000001</v>
      </c>
      <c r="R69" s="82">
        <f t="shared" ca="1" si="9"/>
        <v>4.4000000000000004</v>
      </c>
      <c r="S69" s="82">
        <f ca="1">SUM(R$22:$R69)</f>
        <v>145.20000000000002</v>
      </c>
      <c r="W69" s="60">
        <v>48</v>
      </c>
      <c r="X69" s="82">
        <f ca="1"/>
        <v>2748.4000000000078</v>
      </c>
    </row>
    <row r="70" spans="7:24" x14ac:dyDescent="0.2">
      <c r="G70" s="60">
        <v>49</v>
      </c>
      <c r="H70" s="82">
        <f ca="1"/>
        <v>0</v>
      </c>
      <c r="I70" s="82">
        <f t="shared" ca="1" si="6"/>
        <v>28</v>
      </c>
      <c r="J70" s="83">
        <f t="shared" ca="1" si="5"/>
        <v>0.5714285714285714</v>
      </c>
      <c r="N70" s="60">
        <v>49</v>
      </c>
      <c r="O70" s="82">
        <f ca="1">IF(AND(N70&lt;=U$22,RAND()&lt;=$H$7),1,0)</f>
        <v>0</v>
      </c>
      <c r="P70" s="82">
        <f t="shared" ca="1" si="7"/>
        <v>0</v>
      </c>
      <c r="Q70" s="84">
        <f t="shared" ca="1" si="8"/>
        <v>1</v>
      </c>
      <c r="R70" s="82">
        <f t="shared" ca="1" si="9"/>
        <v>0</v>
      </c>
      <c r="S70" s="82">
        <f ca="1">SUM(R$22:$R70)</f>
        <v>145.20000000000002</v>
      </c>
      <c r="W70" s="60">
        <v>49</v>
      </c>
      <c r="X70" s="82">
        <f ca="1"/>
        <v>2783.200000000008</v>
      </c>
    </row>
    <row r="71" spans="7:24" x14ac:dyDescent="0.2">
      <c r="G71" s="60">
        <v>50</v>
      </c>
      <c r="H71" s="82">
        <f ca="1"/>
        <v>1</v>
      </c>
      <c r="I71" s="82">
        <f t="shared" ca="1" si="6"/>
        <v>29</v>
      </c>
      <c r="J71" s="83">
        <f t="shared" ca="1" si="5"/>
        <v>0.57999999999999996</v>
      </c>
      <c r="N71" s="60">
        <v>50</v>
      </c>
      <c r="O71" s="82">
        <f ca="1">IF(AND(N71&lt;=U$22,RAND()&lt;=$H$7),1,0)</f>
        <v>1</v>
      </c>
      <c r="P71" s="82">
        <f t="shared" ca="1" si="7"/>
        <v>0</v>
      </c>
      <c r="Q71" s="84">
        <f t="shared" ca="1" si="8"/>
        <v>1</v>
      </c>
      <c r="R71" s="82">
        <f t="shared" ca="1" si="9"/>
        <v>4</v>
      </c>
      <c r="S71" s="82">
        <f ca="1">SUM(R$22:$R71)</f>
        <v>149.20000000000002</v>
      </c>
      <c r="W71" s="60">
        <v>50</v>
      </c>
      <c r="X71" s="82">
        <f ca="1"/>
        <v>2818.0000000000077</v>
      </c>
    </row>
    <row r="72" spans="7:24" x14ac:dyDescent="0.2">
      <c r="G72" s="60">
        <v>51</v>
      </c>
      <c r="H72" s="82">
        <f ca="1"/>
        <v>1</v>
      </c>
      <c r="I72" s="82">
        <f t="shared" ca="1" si="6"/>
        <v>30</v>
      </c>
      <c r="J72" s="83">
        <f t="shared" ca="1" si="5"/>
        <v>0.58823529411764708</v>
      </c>
      <c r="N72" s="60">
        <v>51</v>
      </c>
      <c r="O72" s="82">
        <f ca="1">IF(AND(N72&lt;=U$22,RAND()&lt;=$H$7),1,0)</f>
        <v>1</v>
      </c>
      <c r="P72" s="82">
        <f t="shared" ca="1" si="7"/>
        <v>1</v>
      </c>
      <c r="Q72" s="84">
        <f t="shared" ca="1" si="8"/>
        <v>1</v>
      </c>
      <c r="R72" s="82">
        <f t="shared" ca="1" si="9"/>
        <v>4</v>
      </c>
      <c r="S72" s="82">
        <f ca="1">SUM(R$22:$R72)</f>
        <v>153.20000000000002</v>
      </c>
      <c r="W72" s="60">
        <v>51</v>
      </c>
      <c r="X72" s="82">
        <f ca="1"/>
        <v>2639.2000000000075</v>
      </c>
    </row>
    <row r="73" spans="7:24" x14ac:dyDescent="0.2">
      <c r="G73" s="60">
        <v>52</v>
      </c>
      <c r="H73" s="82">
        <f ca="1"/>
        <v>1</v>
      </c>
      <c r="I73" s="82">
        <f t="shared" ca="1" si="6"/>
        <v>31</v>
      </c>
      <c r="J73" s="83">
        <f t="shared" ca="1" si="5"/>
        <v>0.59615384615384615</v>
      </c>
      <c r="N73" s="60">
        <v>52</v>
      </c>
      <c r="O73" s="82">
        <f ca="1">IF(AND(N73&lt;=U$22,RAND()&lt;=$H$7),1,0)</f>
        <v>1</v>
      </c>
      <c r="P73" s="82">
        <f t="shared" ca="1" si="7"/>
        <v>2</v>
      </c>
      <c r="Q73" s="84">
        <f t="shared" ca="1" si="8"/>
        <v>1.1000000000000001</v>
      </c>
      <c r="R73" s="82">
        <f t="shared" ca="1" si="9"/>
        <v>4.4000000000000004</v>
      </c>
      <c r="S73" s="82">
        <f ca="1">SUM(R$22:$R73)</f>
        <v>157.60000000000002</v>
      </c>
      <c r="W73" s="60">
        <v>52</v>
      </c>
      <c r="X73" s="82">
        <f ca="1"/>
        <v>2788.8000000000061</v>
      </c>
    </row>
    <row r="74" spans="7:24" x14ac:dyDescent="0.2">
      <c r="G74" s="60">
        <v>53</v>
      </c>
      <c r="H74" s="82">
        <f ca="1"/>
        <v>1</v>
      </c>
      <c r="I74" s="82">
        <f t="shared" ca="1" si="6"/>
        <v>32</v>
      </c>
      <c r="J74" s="83">
        <f t="shared" ca="1" si="5"/>
        <v>0.60377358490566035</v>
      </c>
      <c r="N74" s="60">
        <v>53</v>
      </c>
      <c r="O74" s="82">
        <f ca="1">IF(AND(N74&lt;=U$22,RAND()&lt;=$H$7),1,0)</f>
        <v>1</v>
      </c>
      <c r="P74" s="82">
        <f t="shared" ca="1" si="7"/>
        <v>3</v>
      </c>
      <c r="Q74" s="84">
        <f t="shared" ca="1" si="8"/>
        <v>1.2</v>
      </c>
      <c r="R74" s="82">
        <f t="shared" ca="1" si="9"/>
        <v>4.8</v>
      </c>
      <c r="S74" s="82">
        <f ca="1">SUM(R$22:$R74)</f>
        <v>162.40000000000003</v>
      </c>
      <c r="W74" s="60">
        <v>53</v>
      </c>
      <c r="X74" s="82">
        <f ca="1"/>
        <v>2865.6000000000058</v>
      </c>
    </row>
    <row r="75" spans="7:24" x14ac:dyDescent="0.2">
      <c r="G75" s="60">
        <v>54</v>
      </c>
      <c r="H75" s="82">
        <f ca="1"/>
        <v>1</v>
      </c>
      <c r="I75" s="82">
        <f t="shared" ca="1" si="6"/>
        <v>33</v>
      </c>
      <c r="J75" s="83">
        <f t="shared" ca="1" si="5"/>
        <v>0.61111111111111116</v>
      </c>
      <c r="N75" s="60">
        <v>54</v>
      </c>
      <c r="O75" s="82">
        <f ca="1">IF(AND(N75&lt;=U$22,RAND()&lt;=$H$7),1,0)</f>
        <v>0</v>
      </c>
      <c r="P75" s="82">
        <f t="shared" ca="1" si="7"/>
        <v>0</v>
      </c>
      <c r="Q75" s="84">
        <f t="shared" ca="1" si="8"/>
        <v>1</v>
      </c>
      <c r="R75" s="82">
        <f t="shared" ca="1" si="9"/>
        <v>0</v>
      </c>
      <c r="S75" s="82">
        <f ca="1">SUM(R$22:$R75)</f>
        <v>162.40000000000003</v>
      </c>
      <c r="W75" s="60">
        <v>54</v>
      </c>
      <c r="X75" s="82">
        <f ca="1"/>
        <v>2707.2000000000071</v>
      </c>
    </row>
    <row r="76" spans="7:24" x14ac:dyDescent="0.2">
      <c r="G76" s="60">
        <v>55</v>
      </c>
      <c r="H76" s="82">
        <f ca="1"/>
        <v>1</v>
      </c>
      <c r="I76" s="82">
        <f t="shared" ca="1" si="6"/>
        <v>34</v>
      </c>
      <c r="J76" s="83">
        <f t="shared" ca="1" si="5"/>
        <v>0.61818181818181817</v>
      </c>
      <c r="N76" s="60">
        <v>55</v>
      </c>
      <c r="O76" s="82">
        <f ca="1">IF(AND(N76&lt;=U$22,RAND()&lt;=$H$7),1,0)</f>
        <v>0</v>
      </c>
      <c r="P76" s="82">
        <f t="shared" ca="1" si="7"/>
        <v>0</v>
      </c>
      <c r="Q76" s="84">
        <f t="shared" ca="1" si="8"/>
        <v>1</v>
      </c>
      <c r="R76" s="82">
        <f t="shared" ca="1" si="9"/>
        <v>0</v>
      </c>
      <c r="S76" s="82">
        <f ca="1">SUM(R$22:$R76)</f>
        <v>162.40000000000003</v>
      </c>
      <c r="W76" s="60">
        <v>55</v>
      </c>
      <c r="X76" s="82">
        <f ca="1"/>
        <v>2783.6000000000085</v>
      </c>
    </row>
    <row r="77" spans="7:24" x14ac:dyDescent="0.2">
      <c r="G77" s="60">
        <v>56</v>
      </c>
      <c r="H77" s="82">
        <f ca="1"/>
        <v>0</v>
      </c>
      <c r="I77" s="82">
        <f t="shared" ca="1" si="6"/>
        <v>34</v>
      </c>
      <c r="J77" s="83">
        <f t="shared" ca="1" si="5"/>
        <v>0.6071428571428571</v>
      </c>
      <c r="N77" s="60">
        <v>56</v>
      </c>
      <c r="O77" s="82">
        <f ca="1">IF(AND(N77&lt;=U$22,RAND()&lt;=$H$7),1,0)</f>
        <v>0</v>
      </c>
      <c r="P77" s="82">
        <f t="shared" ca="1" si="7"/>
        <v>0</v>
      </c>
      <c r="Q77" s="84">
        <f t="shared" ca="1" si="8"/>
        <v>1</v>
      </c>
      <c r="R77" s="82">
        <f t="shared" ca="1" si="9"/>
        <v>0</v>
      </c>
      <c r="S77" s="82">
        <f ca="1">SUM(R$22:$R77)</f>
        <v>162.40000000000003</v>
      </c>
      <c r="W77" s="60">
        <v>56</v>
      </c>
      <c r="X77" s="82">
        <f ca="1"/>
        <v>2770.800000000007</v>
      </c>
    </row>
    <row r="78" spans="7:24" x14ac:dyDescent="0.2">
      <c r="G78" s="60">
        <v>57</v>
      </c>
      <c r="H78" s="82">
        <f ca="1"/>
        <v>0</v>
      </c>
      <c r="I78" s="82">
        <f t="shared" ca="1" si="6"/>
        <v>34</v>
      </c>
      <c r="J78" s="83">
        <f t="shared" ca="1" si="5"/>
        <v>0.59649122807017541</v>
      </c>
      <c r="N78" s="60">
        <v>57</v>
      </c>
      <c r="O78" s="82">
        <f ca="1">IF(AND(N78&lt;=U$22,RAND()&lt;=$H$7),1,0)</f>
        <v>0</v>
      </c>
      <c r="P78" s="82">
        <f t="shared" ca="1" si="7"/>
        <v>0</v>
      </c>
      <c r="Q78" s="84">
        <f t="shared" ca="1" si="8"/>
        <v>1</v>
      </c>
      <c r="R78" s="82">
        <f t="shared" ca="1" si="9"/>
        <v>0</v>
      </c>
      <c r="S78" s="82">
        <f ca="1">SUM(R$22:$R78)</f>
        <v>162.40000000000003</v>
      </c>
      <c r="W78" s="60">
        <v>57</v>
      </c>
      <c r="X78" s="82">
        <f ca="1"/>
        <v>2898.4000000000078</v>
      </c>
    </row>
    <row r="79" spans="7:24" x14ac:dyDescent="0.2">
      <c r="G79" s="60">
        <v>58</v>
      </c>
      <c r="H79" s="82">
        <f ca="1"/>
        <v>1</v>
      </c>
      <c r="I79" s="82">
        <f t="shared" ca="1" si="6"/>
        <v>35</v>
      </c>
      <c r="J79" s="83">
        <f t="shared" ca="1" si="5"/>
        <v>0.60344827586206895</v>
      </c>
      <c r="N79" s="60">
        <v>58</v>
      </c>
      <c r="O79" s="82">
        <f ca="1">IF(AND(N79&lt;=U$22,RAND()&lt;=$H$7),1,0)</f>
        <v>1</v>
      </c>
      <c r="P79" s="82">
        <f t="shared" ca="1" si="7"/>
        <v>0</v>
      </c>
      <c r="Q79" s="84">
        <f t="shared" ca="1" si="8"/>
        <v>1</v>
      </c>
      <c r="R79" s="82">
        <f t="shared" ca="1" si="9"/>
        <v>4</v>
      </c>
      <c r="S79" s="82">
        <f ca="1">SUM(R$22:$R79)</f>
        <v>166.40000000000003</v>
      </c>
      <c r="W79" s="60">
        <v>58</v>
      </c>
      <c r="X79" s="82">
        <f ca="1"/>
        <v>2743.2000000000075</v>
      </c>
    </row>
    <row r="80" spans="7:24" x14ac:dyDescent="0.2">
      <c r="G80" s="60">
        <v>59</v>
      </c>
      <c r="H80" s="82">
        <f ca="1"/>
        <v>0</v>
      </c>
      <c r="I80" s="82">
        <f t="shared" ca="1" si="6"/>
        <v>35</v>
      </c>
      <c r="J80" s="83">
        <f t="shared" ca="1" si="5"/>
        <v>0.59322033898305082</v>
      </c>
      <c r="N80" s="60">
        <v>59</v>
      </c>
      <c r="O80" s="82">
        <f ca="1">IF(AND(N80&lt;=U$22,RAND()&lt;=$H$7),1,0)</f>
        <v>1</v>
      </c>
      <c r="P80" s="82">
        <f t="shared" ca="1" si="7"/>
        <v>1</v>
      </c>
      <c r="Q80" s="84">
        <f t="shared" ca="1" si="8"/>
        <v>1</v>
      </c>
      <c r="R80" s="82">
        <f t="shared" ca="1" si="9"/>
        <v>4</v>
      </c>
      <c r="S80" s="82">
        <f ca="1">SUM(R$22:$R80)</f>
        <v>170.40000000000003</v>
      </c>
      <c r="W80" s="60">
        <v>59</v>
      </c>
      <c r="X80" s="82">
        <f ca="1"/>
        <v>2809.2000000000062</v>
      </c>
    </row>
    <row r="81" spans="7:24" x14ac:dyDescent="0.2">
      <c r="G81" s="60">
        <v>60</v>
      </c>
      <c r="H81" s="82">
        <f ca="1"/>
        <v>1</v>
      </c>
      <c r="I81" s="82">
        <f t="shared" ca="1" si="6"/>
        <v>36</v>
      </c>
      <c r="J81" s="83">
        <f t="shared" ca="1" si="5"/>
        <v>0.6</v>
      </c>
      <c r="N81" s="60">
        <v>60</v>
      </c>
      <c r="O81" s="82">
        <f ca="1">IF(AND(N81&lt;=U$22,RAND()&lt;=$H$7),1,0)</f>
        <v>1</v>
      </c>
      <c r="P81" s="82">
        <f t="shared" ca="1" si="7"/>
        <v>2</v>
      </c>
      <c r="Q81" s="84">
        <f t="shared" ca="1" si="8"/>
        <v>1.1000000000000001</v>
      </c>
      <c r="R81" s="82">
        <f t="shared" ca="1" si="9"/>
        <v>4.4000000000000004</v>
      </c>
      <c r="S81" s="82">
        <f ca="1">SUM(R$22:$R81)</f>
        <v>174.80000000000004</v>
      </c>
      <c r="W81" s="60">
        <v>60</v>
      </c>
      <c r="X81" s="82">
        <f ca="1"/>
        <v>2900.8000000000061</v>
      </c>
    </row>
    <row r="82" spans="7:24" x14ac:dyDescent="0.2">
      <c r="G82" s="60">
        <v>61</v>
      </c>
      <c r="H82" s="82">
        <f ca="1"/>
        <v>0</v>
      </c>
      <c r="I82" s="82">
        <f t="shared" ca="1" si="6"/>
        <v>36</v>
      </c>
      <c r="J82" s="83">
        <f t="shared" ca="1" si="5"/>
        <v>0.5901639344262295</v>
      </c>
      <c r="N82" s="60">
        <v>61</v>
      </c>
      <c r="O82" s="82">
        <f ca="1">IF(AND(N82&lt;=U$22,RAND()&lt;=$H$7),1,0)</f>
        <v>0</v>
      </c>
      <c r="P82" s="82">
        <f t="shared" ca="1" si="7"/>
        <v>0</v>
      </c>
      <c r="Q82" s="84">
        <f t="shared" ca="1" si="8"/>
        <v>1</v>
      </c>
      <c r="R82" s="82">
        <f t="shared" ca="1" si="9"/>
        <v>0</v>
      </c>
      <c r="S82" s="82">
        <f ca="1">SUM(R$22:$R82)</f>
        <v>174.80000000000004</v>
      </c>
      <c r="W82" s="60">
        <v>61</v>
      </c>
      <c r="X82" s="82">
        <f ca="1"/>
        <v>2704.0000000000073</v>
      </c>
    </row>
    <row r="83" spans="7:24" x14ac:dyDescent="0.2">
      <c r="G83" s="60">
        <v>62</v>
      </c>
      <c r="H83" s="82">
        <f ca="1"/>
        <v>0</v>
      </c>
      <c r="I83" s="82">
        <f t="shared" ca="1" si="6"/>
        <v>36</v>
      </c>
      <c r="J83" s="83">
        <f t="shared" ca="1" si="5"/>
        <v>0.58064516129032262</v>
      </c>
      <c r="N83" s="60">
        <v>62</v>
      </c>
      <c r="O83" s="82">
        <f ca="1">IF(AND(N83&lt;=U$22,RAND()&lt;=$H$7),1,0)</f>
        <v>1</v>
      </c>
      <c r="P83" s="82">
        <f t="shared" ca="1" si="7"/>
        <v>0</v>
      </c>
      <c r="Q83" s="84">
        <f t="shared" ca="1" si="8"/>
        <v>1</v>
      </c>
      <c r="R83" s="82">
        <f t="shared" ca="1" si="9"/>
        <v>4</v>
      </c>
      <c r="S83" s="82">
        <f ca="1">SUM(R$22:$R83)</f>
        <v>178.80000000000004</v>
      </c>
      <c r="W83" s="60">
        <v>62</v>
      </c>
      <c r="X83" s="82">
        <f ca="1"/>
        <v>2611.2000000000066</v>
      </c>
    </row>
    <row r="84" spans="7:24" x14ac:dyDescent="0.2">
      <c r="G84" s="60">
        <v>63</v>
      </c>
      <c r="H84" s="82">
        <f ca="1"/>
        <v>0</v>
      </c>
      <c r="I84" s="82">
        <f t="shared" ca="1" si="6"/>
        <v>36</v>
      </c>
      <c r="J84" s="83">
        <f t="shared" ca="1" si="5"/>
        <v>0.5714285714285714</v>
      </c>
      <c r="N84" s="60">
        <v>63</v>
      </c>
      <c r="O84" s="82">
        <f ca="1">IF(AND(N84&lt;=U$22,RAND()&lt;=$H$7),1,0)</f>
        <v>1</v>
      </c>
      <c r="P84" s="82">
        <f t="shared" ca="1" si="7"/>
        <v>1</v>
      </c>
      <c r="Q84" s="84">
        <f t="shared" ca="1" si="8"/>
        <v>1</v>
      </c>
      <c r="R84" s="82">
        <f t="shared" ca="1" si="9"/>
        <v>4</v>
      </c>
      <c r="S84" s="82">
        <f ca="1">SUM(R$22:$R84)</f>
        <v>182.80000000000004</v>
      </c>
      <c r="W84" s="60">
        <v>63</v>
      </c>
      <c r="X84" s="82">
        <f ca="1"/>
        <v>2758.8000000000079</v>
      </c>
    </row>
    <row r="85" spans="7:24" x14ac:dyDescent="0.2">
      <c r="G85" s="60">
        <v>64</v>
      </c>
      <c r="H85" s="82">
        <f ca="1"/>
        <v>1</v>
      </c>
      <c r="I85" s="82">
        <f t="shared" ca="1" si="6"/>
        <v>37</v>
      </c>
      <c r="J85" s="83">
        <f t="shared" ca="1" si="5"/>
        <v>0.578125</v>
      </c>
      <c r="N85" s="60">
        <v>64</v>
      </c>
      <c r="O85" s="82">
        <f ca="1">IF(AND(N85&lt;=U$22,RAND()&lt;=$H$7),1,0)</f>
        <v>1</v>
      </c>
      <c r="P85" s="82">
        <f t="shared" ca="1" si="7"/>
        <v>2</v>
      </c>
      <c r="Q85" s="84">
        <f t="shared" ca="1" si="8"/>
        <v>1.1000000000000001</v>
      </c>
      <c r="R85" s="82">
        <f t="shared" ca="1" si="9"/>
        <v>4.4000000000000004</v>
      </c>
      <c r="S85" s="82">
        <f ca="1">SUM(R$22:$R85)</f>
        <v>187.20000000000005</v>
      </c>
      <c r="W85" s="60">
        <v>64</v>
      </c>
      <c r="X85" s="82">
        <f ca="1"/>
        <v>2734.0000000000068</v>
      </c>
    </row>
    <row r="86" spans="7:24" x14ac:dyDescent="0.2">
      <c r="G86" s="60">
        <v>65</v>
      </c>
      <c r="H86" s="82">
        <f ca="1"/>
        <v>0</v>
      </c>
      <c r="I86" s="82">
        <f t="shared" ca="1" si="6"/>
        <v>37</v>
      </c>
      <c r="J86" s="83">
        <f t="shared" ca="1" si="5"/>
        <v>0.56923076923076921</v>
      </c>
      <c r="N86" s="60">
        <v>65</v>
      </c>
      <c r="O86" s="82">
        <f ca="1">IF(AND(N86&lt;=U$22,RAND()&lt;=$H$7),1,0)</f>
        <v>0</v>
      </c>
      <c r="P86" s="82">
        <f t="shared" ca="1" si="7"/>
        <v>0</v>
      </c>
      <c r="Q86" s="84">
        <f t="shared" ca="1" si="8"/>
        <v>1</v>
      </c>
      <c r="R86" s="82">
        <f t="shared" ca="1" si="9"/>
        <v>0</v>
      </c>
      <c r="S86" s="82">
        <f ca="1">SUM(R$22:$R86)</f>
        <v>187.20000000000005</v>
      </c>
      <c r="W86" s="60">
        <v>65</v>
      </c>
      <c r="X86" s="82">
        <f ca="1"/>
        <v>2840.8000000000075</v>
      </c>
    </row>
    <row r="87" spans="7:24" x14ac:dyDescent="0.2">
      <c r="G87" s="60">
        <v>66</v>
      </c>
      <c r="H87" s="82">
        <f ca="1"/>
        <v>0</v>
      </c>
      <c r="I87" s="82">
        <f t="shared" ca="1" si="6"/>
        <v>37</v>
      </c>
      <c r="J87" s="83">
        <f t="shared" ref="J87:J150" ca="1" si="10">I87/G87</f>
        <v>0.56060606060606055</v>
      </c>
      <c r="N87" s="60">
        <v>66</v>
      </c>
      <c r="O87" s="82">
        <f ca="1">IF(AND(N87&lt;=U$22,RAND()&lt;=$H$7),1,0)</f>
        <v>0</v>
      </c>
      <c r="P87" s="82">
        <f t="shared" ca="1" si="7"/>
        <v>0</v>
      </c>
      <c r="Q87" s="84">
        <f t="shared" ca="1" si="8"/>
        <v>1</v>
      </c>
      <c r="R87" s="82">
        <f t="shared" ref="R87:R150" ca="1" si="11">Q87*$I$7*O87</f>
        <v>0</v>
      </c>
      <c r="S87" s="82">
        <f ca="1">SUM(R$22:$R87)</f>
        <v>187.20000000000005</v>
      </c>
      <c r="W87" s="60">
        <v>66</v>
      </c>
      <c r="X87" s="82">
        <f ca="1"/>
        <v>2638.8000000000056</v>
      </c>
    </row>
    <row r="88" spans="7:24" x14ac:dyDescent="0.2">
      <c r="G88" s="60">
        <v>67</v>
      </c>
      <c r="H88" s="82">
        <f ca="1"/>
        <v>1</v>
      </c>
      <c r="I88" s="82">
        <f t="shared" ref="I88:I151" ca="1" si="12">H88+I87</f>
        <v>38</v>
      </c>
      <c r="J88" s="83">
        <f t="shared" ca="1" si="10"/>
        <v>0.56716417910447758</v>
      </c>
      <c r="N88" s="60">
        <v>67</v>
      </c>
      <c r="O88" s="82">
        <f ca="1">IF(AND(N88&lt;=U$22,RAND()&lt;=$H$7),1,0)</f>
        <v>0</v>
      </c>
      <c r="P88" s="82">
        <f t="shared" ref="P88:P151" ca="1" si="13">IF(AND(O87=1,O88=1),P87+1,0)</f>
        <v>0</v>
      </c>
      <c r="Q88" s="84">
        <f t="shared" ref="Q88:Q151" ca="1" si="14">IF(P88&gt;1,1+(P88-1)*0.1,1)</f>
        <v>1</v>
      </c>
      <c r="R88" s="82">
        <f t="shared" ca="1" si="11"/>
        <v>0</v>
      </c>
      <c r="S88" s="82">
        <f ca="1">SUM(R$22:$R88)</f>
        <v>187.20000000000005</v>
      </c>
      <c r="W88" s="60">
        <v>67</v>
      </c>
      <c r="X88" s="82">
        <f ca="1"/>
        <v>2860.0000000000064</v>
      </c>
    </row>
    <row r="89" spans="7:24" x14ac:dyDescent="0.2">
      <c r="G89" s="60">
        <v>68</v>
      </c>
      <c r="H89" s="82">
        <f ca="1"/>
        <v>0</v>
      </c>
      <c r="I89" s="82">
        <f t="shared" ca="1" si="12"/>
        <v>38</v>
      </c>
      <c r="J89" s="83">
        <f t="shared" ca="1" si="10"/>
        <v>0.55882352941176472</v>
      </c>
      <c r="N89" s="60">
        <v>68</v>
      </c>
      <c r="O89" s="82">
        <f ca="1">IF(AND(N89&lt;=U$22,RAND()&lt;=$H$7),1,0)</f>
        <v>0</v>
      </c>
      <c r="P89" s="82">
        <f t="shared" ca="1" si="13"/>
        <v>0</v>
      </c>
      <c r="Q89" s="84">
        <f t="shared" ca="1" si="14"/>
        <v>1</v>
      </c>
      <c r="R89" s="82">
        <f t="shared" ca="1" si="11"/>
        <v>0</v>
      </c>
      <c r="S89" s="82">
        <f ca="1">SUM(R$22:$R89)</f>
        <v>187.20000000000005</v>
      </c>
      <c r="W89" s="60">
        <v>68</v>
      </c>
      <c r="X89" s="82">
        <f ca="1"/>
        <v>2613.6000000000072</v>
      </c>
    </row>
    <row r="90" spans="7:24" x14ac:dyDescent="0.2">
      <c r="G90" s="60">
        <v>69</v>
      </c>
      <c r="H90" s="82">
        <f ca="1"/>
        <v>1</v>
      </c>
      <c r="I90" s="82">
        <f t="shared" ca="1" si="12"/>
        <v>39</v>
      </c>
      <c r="J90" s="83">
        <f t="shared" ca="1" si="10"/>
        <v>0.56521739130434778</v>
      </c>
      <c r="N90" s="60">
        <v>69</v>
      </c>
      <c r="O90" s="82">
        <f ca="1">IF(AND(N90&lt;=U$22,RAND()&lt;=$H$7),1,0)</f>
        <v>1</v>
      </c>
      <c r="P90" s="82">
        <f t="shared" ca="1" si="13"/>
        <v>0</v>
      </c>
      <c r="Q90" s="84">
        <f t="shared" ca="1" si="14"/>
        <v>1</v>
      </c>
      <c r="R90" s="82">
        <f t="shared" ca="1" si="11"/>
        <v>4</v>
      </c>
      <c r="S90" s="82">
        <f ca="1">SUM(R$22:$R90)</f>
        <v>191.20000000000005</v>
      </c>
      <c r="W90" s="60">
        <v>69</v>
      </c>
      <c r="X90" s="82">
        <f ca="1"/>
        <v>2798.8000000000079</v>
      </c>
    </row>
    <row r="91" spans="7:24" x14ac:dyDescent="0.2">
      <c r="G91" s="60">
        <v>70</v>
      </c>
      <c r="H91" s="82">
        <f ca="1"/>
        <v>1</v>
      </c>
      <c r="I91" s="82">
        <f t="shared" ca="1" si="12"/>
        <v>40</v>
      </c>
      <c r="J91" s="83">
        <f t="shared" ca="1" si="10"/>
        <v>0.5714285714285714</v>
      </c>
      <c r="N91" s="60">
        <v>70</v>
      </c>
      <c r="O91" s="82">
        <f ca="1">IF(AND(N91&lt;=U$22,RAND()&lt;=$H$7),1,0)</f>
        <v>0</v>
      </c>
      <c r="P91" s="82">
        <f t="shared" ca="1" si="13"/>
        <v>0</v>
      </c>
      <c r="Q91" s="84">
        <f t="shared" ca="1" si="14"/>
        <v>1</v>
      </c>
      <c r="R91" s="82">
        <f t="shared" ca="1" si="11"/>
        <v>0</v>
      </c>
      <c r="S91" s="82">
        <f ca="1">SUM(R$22:$R91)</f>
        <v>191.20000000000005</v>
      </c>
      <c r="W91" s="60">
        <v>70</v>
      </c>
      <c r="X91" s="82">
        <f ca="1"/>
        <v>2744.0000000000068</v>
      </c>
    </row>
    <row r="92" spans="7:24" x14ac:dyDescent="0.2">
      <c r="G92" s="60">
        <v>71</v>
      </c>
      <c r="H92" s="82">
        <f ca="1"/>
        <v>0</v>
      </c>
      <c r="I92" s="82">
        <f t="shared" ca="1" si="12"/>
        <v>40</v>
      </c>
      <c r="J92" s="83">
        <f t="shared" ca="1" si="10"/>
        <v>0.56338028169014087</v>
      </c>
      <c r="N92" s="60">
        <v>71</v>
      </c>
      <c r="O92" s="82">
        <f ca="1">IF(AND(N92&lt;=U$22,RAND()&lt;=$H$7),1,0)</f>
        <v>0</v>
      </c>
      <c r="P92" s="82">
        <f t="shared" ca="1" si="13"/>
        <v>0</v>
      </c>
      <c r="Q92" s="84">
        <f t="shared" ca="1" si="14"/>
        <v>1</v>
      </c>
      <c r="R92" s="82">
        <f t="shared" ca="1" si="11"/>
        <v>0</v>
      </c>
      <c r="S92" s="82">
        <f ca="1">SUM(R$22:$R92)</f>
        <v>191.20000000000005</v>
      </c>
      <c r="W92" s="60">
        <v>71</v>
      </c>
      <c r="X92" s="82">
        <f ca="1"/>
        <v>2855.6000000000081</v>
      </c>
    </row>
    <row r="93" spans="7:24" x14ac:dyDescent="0.2">
      <c r="G93" s="60">
        <v>72</v>
      </c>
      <c r="H93" s="82">
        <f ca="1"/>
        <v>1</v>
      </c>
      <c r="I93" s="82">
        <f t="shared" ca="1" si="12"/>
        <v>41</v>
      </c>
      <c r="J93" s="83">
        <f t="shared" ca="1" si="10"/>
        <v>0.56944444444444442</v>
      </c>
      <c r="N93" s="60">
        <v>72</v>
      </c>
      <c r="O93" s="82">
        <f ca="1">IF(AND(N93&lt;=U$22,RAND()&lt;=$H$7),1,0)</f>
        <v>0</v>
      </c>
      <c r="P93" s="82">
        <f t="shared" ca="1" si="13"/>
        <v>0</v>
      </c>
      <c r="Q93" s="84">
        <f t="shared" ca="1" si="14"/>
        <v>1</v>
      </c>
      <c r="R93" s="82">
        <f t="shared" ca="1" si="11"/>
        <v>0</v>
      </c>
      <c r="S93" s="82">
        <f ca="1">SUM(R$22:$R93)</f>
        <v>191.20000000000005</v>
      </c>
      <c r="W93" s="60">
        <v>72</v>
      </c>
      <c r="X93" s="82">
        <f ca="1"/>
        <v>2877.2000000000075</v>
      </c>
    </row>
    <row r="94" spans="7:24" x14ac:dyDescent="0.2">
      <c r="G94" s="60">
        <v>73</v>
      </c>
      <c r="H94" s="82">
        <f ca="1"/>
        <v>0</v>
      </c>
      <c r="I94" s="82">
        <f t="shared" ca="1" si="12"/>
        <v>41</v>
      </c>
      <c r="J94" s="83">
        <f t="shared" ca="1" si="10"/>
        <v>0.56164383561643838</v>
      </c>
      <c r="N94" s="60">
        <v>73</v>
      </c>
      <c r="O94" s="82">
        <f ca="1">IF(AND(N94&lt;=U$22,RAND()&lt;=$H$7),1,0)</f>
        <v>1</v>
      </c>
      <c r="P94" s="82">
        <f t="shared" ca="1" si="13"/>
        <v>0</v>
      </c>
      <c r="Q94" s="84">
        <f t="shared" ca="1" si="14"/>
        <v>1</v>
      </c>
      <c r="R94" s="82">
        <f t="shared" ca="1" si="11"/>
        <v>4</v>
      </c>
      <c r="S94" s="82">
        <f ca="1">SUM(R$22:$R94)</f>
        <v>195.20000000000005</v>
      </c>
      <c r="W94" s="60">
        <v>73</v>
      </c>
      <c r="X94" s="82">
        <f ca="1"/>
        <v>2684.4000000000074</v>
      </c>
    </row>
    <row r="95" spans="7:24" x14ac:dyDescent="0.2">
      <c r="G95" s="60">
        <v>74</v>
      </c>
      <c r="H95" s="82">
        <f ca="1"/>
        <v>0</v>
      </c>
      <c r="I95" s="82">
        <f t="shared" ca="1" si="12"/>
        <v>41</v>
      </c>
      <c r="J95" s="83">
        <f t="shared" ca="1" si="10"/>
        <v>0.55405405405405406</v>
      </c>
      <c r="N95" s="60">
        <v>74</v>
      </c>
      <c r="O95" s="82">
        <f ca="1">IF(AND(N95&lt;=U$22,RAND()&lt;=$H$7),1,0)</f>
        <v>1</v>
      </c>
      <c r="P95" s="82">
        <f t="shared" ca="1" si="13"/>
        <v>1</v>
      </c>
      <c r="Q95" s="84">
        <f t="shared" ca="1" si="14"/>
        <v>1</v>
      </c>
      <c r="R95" s="82">
        <f t="shared" ca="1" si="11"/>
        <v>4</v>
      </c>
      <c r="S95" s="82">
        <f ca="1">SUM(R$22:$R95)</f>
        <v>199.20000000000005</v>
      </c>
      <c r="W95" s="60">
        <v>74</v>
      </c>
      <c r="X95" s="82">
        <f ca="1"/>
        <v>2723.2000000000085</v>
      </c>
    </row>
    <row r="96" spans="7:24" x14ac:dyDescent="0.2">
      <c r="G96" s="60">
        <v>75</v>
      </c>
      <c r="H96" s="82">
        <f ca="1"/>
        <v>1</v>
      </c>
      <c r="I96" s="82">
        <f t="shared" ca="1" si="12"/>
        <v>42</v>
      </c>
      <c r="J96" s="83">
        <f t="shared" ca="1" si="10"/>
        <v>0.56000000000000005</v>
      </c>
      <c r="N96" s="60">
        <v>75</v>
      </c>
      <c r="O96" s="82">
        <f ca="1">IF(AND(N96&lt;=U$22,RAND()&lt;=$H$7),1,0)</f>
        <v>0</v>
      </c>
      <c r="P96" s="82">
        <f t="shared" ca="1" si="13"/>
        <v>0</v>
      </c>
      <c r="Q96" s="84">
        <f t="shared" ca="1" si="14"/>
        <v>1</v>
      </c>
      <c r="R96" s="82">
        <f t="shared" ca="1" si="11"/>
        <v>0</v>
      </c>
      <c r="S96" s="82">
        <f ca="1">SUM(R$22:$R96)</f>
        <v>199.20000000000005</v>
      </c>
      <c r="W96" s="60">
        <v>75</v>
      </c>
      <c r="X96" s="82">
        <f ca="1"/>
        <v>2619.6000000000058</v>
      </c>
    </row>
    <row r="97" spans="7:24" x14ac:dyDescent="0.2">
      <c r="G97" s="60">
        <v>76</v>
      </c>
      <c r="H97" s="82">
        <f ca="1"/>
        <v>1</v>
      </c>
      <c r="I97" s="82">
        <f t="shared" ca="1" si="12"/>
        <v>43</v>
      </c>
      <c r="J97" s="83">
        <f t="shared" ca="1" si="10"/>
        <v>0.56578947368421051</v>
      </c>
      <c r="N97" s="60">
        <v>76</v>
      </c>
      <c r="O97" s="82">
        <f ca="1">IF(AND(N97&lt;=U$22,RAND()&lt;=$H$7),1,0)</f>
        <v>1</v>
      </c>
      <c r="P97" s="82">
        <f t="shared" ca="1" si="13"/>
        <v>0</v>
      </c>
      <c r="Q97" s="84">
        <f t="shared" ca="1" si="14"/>
        <v>1</v>
      </c>
      <c r="R97" s="82">
        <f t="shared" ca="1" si="11"/>
        <v>4</v>
      </c>
      <c r="S97" s="82">
        <f ca="1">SUM(R$22:$R97)</f>
        <v>203.20000000000005</v>
      </c>
      <c r="W97" s="60">
        <v>76</v>
      </c>
      <c r="X97" s="82">
        <f ca="1"/>
        <v>2932.0000000000077</v>
      </c>
    </row>
    <row r="98" spans="7:24" x14ac:dyDescent="0.2">
      <c r="G98" s="60">
        <v>77</v>
      </c>
      <c r="H98" s="82">
        <f ca="1"/>
        <v>1</v>
      </c>
      <c r="I98" s="82">
        <f t="shared" ca="1" si="12"/>
        <v>44</v>
      </c>
      <c r="J98" s="83">
        <f t="shared" ca="1" si="10"/>
        <v>0.5714285714285714</v>
      </c>
      <c r="N98" s="60">
        <v>77</v>
      </c>
      <c r="O98" s="82">
        <f ca="1">IF(AND(N98&lt;=U$22,RAND()&lt;=$H$7),1,0)</f>
        <v>1</v>
      </c>
      <c r="P98" s="82">
        <f t="shared" ca="1" si="13"/>
        <v>1</v>
      </c>
      <c r="Q98" s="84">
        <f t="shared" ca="1" si="14"/>
        <v>1</v>
      </c>
      <c r="R98" s="82">
        <f t="shared" ca="1" si="11"/>
        <v>4</v>
      </c>
      <c r="S98" s="82">
        <f ca="1">SUM(R$22:$R98)</f>
        <v>207.20000000000005</v>
      </c>
      <c r="W98" s="60">
        <v>77</v>
      </c>
      <c r="X98" s="82">
        <f ca="1"/>
        <v>2705.2000000000066</v>
      </c>
    </row>
    <row r="99" spans="7:24" x14ac:dyDescent="0.2">
      <c r="G99" s="60">
        <v>78</v>
      </c>
      <c r="H99" s="82">
        <f ca="1"/>
        <v>1</v>
      </c>
      <c r="I99" s="82">
        <f t="shared" ca="1" si="12"/>
        <v>45</v>
      </c>
      <c r="J99" s="83">
        <f t="shared" ca="1" si="10"/>
        <v>0.57692307692307687</v>
      </c>
      <c r="N99" s="60">
        <v>78</v>
      </c>
      <c r="O99" s="82">
        <f ca="1">IF(AND(N99&lt;=U$22,RAND()&lt;=$H$7),1,0)</f>
        <v>1</v>
      </c>
      <c r="P99" s="82">
        <f t="shared" ca="1" si="13"/>
        <v>2</v>
      </c>
      <c r="Q99" s="84">
        <f t="shared" ca="1" si="14"/>
        <v>1.1000000000000001</v>
      </c>
      <c r="R99" s="82">
        <f t="shared" ca="1" si="11"/>
        <v>4.4000000000000004</v>
      </c>
      <c r="S99" s="82">
        <f ca="1">SUM(R$22:$R99)</f>
        <v>211.60000000000005</v>
      </c>
      <c r="W99" s="60">
        <v>78</v>
      </c>
      <c r="X99" s="82">
        <f ca="1"/>
        <v>2762.0000000000082</v>
      </c>
    </row>
    <row r="100" spans="7:24" x14ac:dyDescent="0.2">
      <c r="G100" s="60">
        <v>79</v>
      </c>
      <c r="H100" s="82">
        <f ca="1"/>
        <v>1</v>
      </c>
      <c r="I100" s="82">
        <f t="shared" ca="1" si="12"/>
        <v>46</v>
      </c>
      <c r="J100" s="83">
        <f t="shared" ca="1" si="10"/>
        <v>0.58227848101265822</v>
      </c>
      <c r="N100" s="60">
        <v>79</v>
      </c>
      <c r="O100" s="82">
        <f ca="1">IF(AND(N100&lt;=U$22,RAND()&lt;=$H$7),1,0)</f>
        <v>1</v>
      </c>
      <c r="P100" s="82">
        <f t="shared" ca="1" si="13"/>
        <v>3</v>
      </c>
      <c r="Q100" s="84">
        <f t="shared" ca="1" si="14"/>
        <v>1.2</v>
      </c>
      <c r="R100" s="82">
        <f t="shared" ca="1" si="11"/>
        <v>4.8</v>
      </c>
      <c r="S100" s="82">
        <f ca="1">SUM(R$22:$R100)</f>
        <v>216.40000000000006</v>
      </c>
      <c r="W100" s="60">
        <v>79</v>
      </c>
      <c r="X100" s="82">
        <f ca="1"/>
        <v>2669.6000000000067</v>
      </c>
    </row>
    <row r="101" spans="7:24" x14ac:dyDescent="0.2">
      <c r="G101" s="60">
        <v>80</v>
      </c>
      <c r="H101" s="82">
        <f ca="1"/>
        <v>1</v>
      </c>
      <c r="I101" s="82">
        <f t="shared" ca="1" si="12"/>
        <v>47</v>
      </c>
      <c r="J101" s="83">
        <f t="shared" ca="1" si="10"/>
        <v>0.58750000000000002</v>
      </c>
      <c r="N101" s="60">
        <v>80</v>
      </c>
      <c r="O101" s="82">
        <f ca="1">IF(AND(N101&lt;=U$22,RAND()&lt;=$H$7),1,0)</f>
        <v>1</v>
      </c>
      <c r="P101" s="82">
        <f t="shared" ca="1" si="13"/>
        <v>4</v>
      </c>
      <c r="Q101" s="84">
        <f t="shared" ca="1" si="14"/>
        <v>1.3</v>
      </c>
      <c r="R101" s="82">
        <f t="shared" ca="1" si="11"/>
        <v>5.2</v>
      </c>
      <c r="S101" s="82">
        <f ca="1">SUM(R$22:$R101)</f>
        <v>221.60000000000005</v>
      </c>
      <c r="W101" s="60">
        <v>80</v>
      </c>
      <c r="X101" s="82">
        <f ca="1"/>
        <v>2831.6000000000072</v>
      </c>
    </row>
    <row r="102" spans="7:24" x14ac:dyDescent="0.2">
      <c r="G102" s="60">
        <v>81</v>
      </c>
      <c r="H102" s="82">
        <f ca="1"/>
        <v>1</v>
      </c>
      <c r="I102" s="82">
        <f t="shared" ca="1" si="12"/>
        <v>48</v>
      </c>
      <c r="J102" s="83">
        <f t="shared" ca="1" si="10"/>
        <v>0.59259259259259256</v>
      </c>
      <c r="N102" s="60">
        <v>81</v>
      </c>
      <c r="O102" s="82">
        <f ca="1">IF(AND(N102&lt;=U$22,RAND()&lt;=$H$7),1,0)</f>
        <v>1</v>
      </c>
      <c r="P102" s="82">
        <f t="shared" ca="1" si="13"/>
        <v>5</v>
      </c>
      <c r="Q102" s="84">
        <f t="shared" ca="1" si="14"/>
        <v>1.4</v>
      </c>
      <c r="R102" s="82">
        <f t="shared" ca="1" si="11"/>
        <v>5.6</v>
      </c>
      <c r="S102" s="82">
        <f ca="1">SUM(R$22:$R102)</f>
        <v>227.20000000000005</v>
      </c>
      <c r="W102" s="60">
        <v>81</v>
      </c>
      <c r="X102" s="82">
        <f ca="1"/>
        <v>2731.2000000000062</v>
      </c>
    </row>
    <row r="103" spans="7:24" x14ac:dyDescent="0.2">
      <c r="G103" s="60">
        <v>82</v>
      </c>
      <c r="H103" s="82">
        <f ca="1"/>
        <v>0</v>
      </c>
      <c r="I103" s="82">
        <f t="shared" ca="1" si="12"/>
        <v>48</v>
      </c>
      <c r="J103" s="83">
        <f t="shared" ca="1" si="10"/>
        <v>0.58536585365853655</v>
      </c>
      <c r="N103" s="60">
        <v>82</v>
      </c>
      <c r="O103" s="82">
        <f ca="1">IF(AND(N103&lt;=U$22,RAND()&lt;=$H$7),1,0)</f>
        <v>1</v>
      </c>
      <c r="P103" s="82">
        <f t="shared" ca="1" si="13"/>
        <v>6</v>
      </c>
      <c r="Q103" s="84">
        <f t="shared" ca="1" si="14"/>
        <v>1.5</v>
      </c>
      <c r="R103" s="82">
        <f t="shared" ca="1" si="11"/>
        <v>6</v>
      </c>
      <c r="S103" s="82">
        <f ca="1">SUM(R$22:$R103)</f>
        <v>233.20000000000005</v>
      </c>
      <c r="W103" s="60">
        <v>82</v>
      </c>
      <c r="X103" s="82">
        <f ca="1"/>
        <v>2755.2000000000053</v>
      </c>
    </row>
    <row r="104" spans="7:24" x14ac:dyDescent="0.2">
      <c r="G104" s="60">
        <v>83</v>
      </c>
      <c r="H104" s="82">
        <f ca="1"/>
        <v>1</v>
      </c>
      <c r="I104" s="82">
        <f t="shared" ca="1" si="12"/>
        <v>49</v>
      </c>
      <c r="J104" s="83">
        <f t="shared" ca="1" si="10"/>
        <v>0.59036144578313254</v>
      </c>
      <c r="N104" s="60">
        <v>83</v>
      </c>
      <c r="O104" s="82">
        <f ca="1">IF(AND(N104&lt;=U$22,RAND()&lt;=$H$7),1,0)</f>
        <v>1</v>
      </c>
      <c r="P104" s="82">
        <f t="shared" ca="1" si="13"/>
        <v>7</v>
      </c>
      <c r="Q104" s="84">
        <f t="shared" ca="1" si="14"/>
        <v>1.6</v>
      </c>
      <c r="R104" s="82">
        <f t="shared" ca="1" si="11"/>
        <v>6.4</v>
      </c>
      <c r="S104" s="82">
        <f ca="1">SUM(R$22:$R104)</f>
        <v>239.60000000000005</v>
      </c>
      <c r="W104" s="60">
        <v>83</v>
      </c>
      <c r="X104" s="82">
        <f ca="1"/>
        <v>2750.0000000000082</v>
      </c>
    </row>
    <row r="105" spans="7:24" x14ac:dyDescent="0.2">
      <c r="G105" s="60">
        <v>84</v>
      </c>
      <c r="H105" s="82">
        <f ca="1"/>
        <v>1</v>
      </c>
      <c r="I105" s="82">
        <f t="shared" ca="1" si="12"/>
        <v>50</v>
      </c>
      <c r="J105" s="83">
        <f t="shared" ca="1" si="10"/>
        <v>0.59523809523809523</v>
      </c>
      <c r="N105" s="60">
        <v>84</v>
      </c>
      <c r="O105" s="82">
        <f ca="1">IF(AND(N105&lt;=U$22,RAND()&lt;=$H$7),1,0)</f>
        <v>1</v>
      </c>
      <c r="P105" s="82">
        <f t="shared" ca="1" si="13"/>
        <v>8</v>
      </c>
      <c r="Q105" s="84">
        <f t="shared" ca="1" si="14"/>
        <v>1.7000000000000002</v>
      </c>
      <c r="R105" s="82">
        <f t="shared" ca="1" si="11"/>
        <v>6.8000000000000007</v>
      </c>
      <c r="S105" s="82">
        <f ca="1">SUM(R$22:$R105)</f>
        <v>246.40000000000006</v>
      </c>
      <c r="W105" s="60">
        <v>84</v>
      </c>
      <c r="X105" s="82">
        <f ca="1"/>
        <v>2993.2000000000085</v>
      </c>
    </row>
    <row r="106" spans="7:24" x14ac:dyDescent="0.2">
      <c r="G106" s="60">
        <v>85</v>
      </c>
      <c r="H106" s="82">
        <f ca="1"/>
        <v>0</v>
      </c>
      <c r="I106" s="82">
        <f t="shared" ca="1" si="12"/>
        <v>50</v>
      </c>
      <c r="J106" s="83">
        <f t="shared" ca="1" si="10"/>
        <v>0.58823529411764708</v>
      </c>
      <c r="N106" s="60">
        <v>85</v>
      </c>
      <c r="O106" s="82">
        <f ca="1">IF(AND(N106&lt;=U$22,RAND()&lt;=$H$7),1,0)</f>
        <v>1</v>
      </c>
      <c r="P106" s="82">
        <f t="shared" ca="1" si="13"/>
        <v>9</v>
      </c>
      <c r="Q106" s="84">
        <f t="shared" ca="1" si="14"/>
        <v>1.8</v>
      </c>
      <c r="R106" s="82">
        <f t="shared" ca="1" si="11"/>
        <v>7.2</v>
      </c>
      <c r="S106" s="82">
        <f ca="1">SUM(R$22:$R106)</f>
        <v>253.60000000000005</v>
      </c>
      <c r="W106" s="60">
        <v>85</v>
      </c>
      <c r="X106" s="82">
        <f ca="1"/>
        <v>2712.8000000000075</v>
      </c>
    </row>
    <row r="107" spans="7:24" x14ac:dyDescent="0.2">
      <c r="G107" s="60">
        <v>86</v>
      </c>
      <c r="H107" s="82">
        <f ca="1"/>
        <v>1</v>
      </c>
      <c r="I107" s="82">
        <f t="shared" ca="1" si="12"/>
        <v>51</v>
      </c>
      <c r="J107" s="83">
        <f t="shared" ca="1" si="10"/>
        <v>0.59302325581395354</v>
      </c>
      <c r="N107" s="60">
        <v>86</v>
      </c>
      <c r="O107" s="82">
        <f ca="1">IF(AND(N107&lt;=U$22,RAND()&lt;=$H$7),1,0)</f>
        <v>1</v>
      </c>
      <c r="P107" s="82">
        <f t="shared" ca="1" si="13"/>
        <v>10</v>
      </c>
      <c r="Q107" s="84">
        <f t="shared" ca="1" si="14"/>
        <v>1.9</v>
      </c>
      <c r="R107" s="82">
        <f t="shared" ca="1" si="11"/>
        <v>7.6</v>
      </c>
      <c r="S107" s="82">
        <f ca="1">SUM(R$22:$R107)</f>
        <v>261.20000000000005</v>
      </c>
      <c r="W107" s="60">
        <v>86</v>
      </c>
      <c r="X107" s="82">
        <f ca="1"/>
        <v>2834.8000000000093</v>
      </c>
    </row>
    <row r="108" spans="7:24" x14ac:dyDescent="0.2">
      <c r="G108" s="60">
        <v>87</v>
      </c>
      <c r="H108" s="82">
        <f ca="1"/>
        <v>0</v>
      </c>
      <c r="I108" s="82">
        <f t="shared" ca="1" si="12"/>
        <v>51</v>
      </c>
      <c r="J108" s="83">
        <f t="shared" ca="1" si="10"/>
        <v>0.58620689655172409</v>
      </c>
      <c r="N108" s="60">
        <v>87</v>
      </c>
      <c r="O108" s="82">
        <f ca="1">IF(AND(N108&lt;=U$22,RAND()&lt;=$H$7),1,0)</f>
        <v>1</v>
      </c>
      <c r="P108" s="82">
        <f t="shared" ca="1" si="13"/>
        <v>11</v>
      </c>
      <c r="Q108" s="84">
        <f t="shared" ca="1" si="14"/>
        <v>2</v>
      </c>
      <c r="R108" s="82">
        <f t="shared" ca="1" si="11"/>
        <v>8</v>
      </c>
      <c r="S108" s="82">
        <f ca="1">SUM(R$22:$R108)</f>
        <v>269.20000000000005</v>
      </c>
      <c r="W108" s="60">
        <v>87</v>
      </c>
      <c r="X108" s="82">
        <f ca="1"/>
        <v>2607.6000000000072</v>
      </c>
    </row>
    <row r="109" spans="7:24" x14ac:dyDescent="0.2">
      <c r="G109" s="60">
        <v>88</v>
      </c>
      <c r="H109" s="82">
        <f ca="1"/>
        <v>0</v>
      </c>
      <c r="I109" s="82">
        <f t="shared" ca="1" si="12"/>
        <v>51</v>
      </c>
      <c r="J109" s="83">
        <f t="shared" ca="1" si="10"/>
        <v>0.57954545454545459</v>
      </c>
      <c r="N109" s="60">
        <v>88</v>
      </c>
      <c r="O109" s="82">
        <f ca="1">IF(AND(N109&lt;=U$22,RAND()&lt;=$H$7),1,0)</f>
        <v>1</v>
      </c>
      <c r="P109" s="82">
        <f t="shared" ca="1" si="13"/>
        <v>12</v>
      </c>
      <c r="Q109" s="84">
        <f t="shared" ca="1" si="14"/>
        <v>2.1</v>
      </c>
      <c r="R109" s="82">
        <f t="shared" ca="1" si="11"/>
        <v>8.4</v>
      </c>
      <c r="S109" s="82">
        <f ca="1">SUM(R$22:$R109)</f>
        <v>277.60000000000002</v>
      </c>
      <c r="W109" s="60">
        <v>88</v>
      </c>
      <c r="X109" s="82">
        <f ca="1"/>
        <v>2907.2000000000071</v>
      </c>
    </row>
    <row r="110" spans="7:24" x14ac:dyDescent="0.2">
      <c r="G110" s="60">
        <v>89</v>
      </c>
      <c r="H110" s="82">
        <f ca="1"/>
        <v>1</v>
      </c>
      <c r="I110" s="82">
        <f t="shared" ca="1" si="12"/>
        <v>52</v>
      </c>
      <c r="J110" s="83">
        <f t="shared" ca="1" si="10"/>
        <v>0.5842696629213483</v>
      </c>
      <c r="N110" s="60">
        <v>89</v>
      </c>
      <c r="O110" s="82">
        <f ca="1">IF(AND(N110&lt;=U$22,RAND()&lt;=$H$7),1,0)</f>
        <v>1</v>
      </c>
      <c r="P110" s="82">
        <f t="shared" ca="1" si="13"/>
        <v>13</v>
      </c>
      <c r="Q110" s="84">
        <f t="shared" ca="1" si="14"/>
        <v>2.2000000000000002</v>
      </c>
      <c r="R110" s="82">
        <f t="shared" ca="1" si="11"/>
        <v>8.8000000000000007</v>
      </c>
      <c r="S110" s="82">
        <f ca="1">SUM(R$22:$R110)</f>
        <v>286.40000000000003</v>
      </c>
      <c r="W110" s="60">
        <v>89</v>
      </c>
      <c r="X110" s="82">
        <f ca="1"/>
        <v>2682.4000000000051</v>
      </c>
    </row>
    <row r="111" spans="7:24" x14ac:dyDescent="0.2">
      <c r="G111" s="60">
        <v>90</v>
      </c>
      <c r="H111" s="82">
        <f ca="1"/>
        <v>1</v>
      </c>
      <c r="I111" s="82">
        <f t="shared" ca="1" si="12"/>
        <v>53</v>
      </c>
      <c r="J111" s="83">
        <f t="shared" ca="1" si="10"/>
        <v>0.58888888888888891</v>
      </c>
      <c r="N111" s="60">
        <v>90</v>
      </c>
      <c r="O111" s="82">
        <f ca="1">IF(AND(N111&lt;=U$22,RAND()&lt;=$H$7),1,0)</f>
        <v>1</v>
      </c>
      <c r="P111" s="82">
        <f t="shared" ca="1" si="13"/>
        <v>14</v>
      </c>
      <c r="Q111" s="84">
        <f t="shared" ca="1" si="14"/>
        <v>2.2999999999999998</v>
      </c>
      <c r="R111" s="82">
        <f t="shared" ca="1" si="11"/>
        <v>9.1999999999999993</v>
      </c>
      <c r="S111" s="82">
        <f ca="1">SUM(R$22:$R111)</f>
        <v>295.60000000000002</v>
      </c>
      <c r="W111" s="60">
        <v>90</v>
      </c>
      <c r="X111" s="82">
        <f ca="1"/>
        <v>2725.6000000000072</v>
      </c>
    </row>
    <row r="112" spans="7:24" x14ac:dyDescent="0.2">
      <c r="G112" s="60">
        <v>91</v>
      </c>
      <c r="H112" s="82">
        <f ca="1"/>
        <v>1</v>
      </c>
      <c r="I112" s="82">
        <f t="shared" ca="1" si="12"/>
        <v>54</v>
      </c>
      <c r="J112" s="83">
        <f t="shared" ca="1" si="10"/>
        <v>0.59340659340659341</v>
      </c>
      <c r="N112" s="60">
        <v>91</v>
      </c>
      <c r="O112" s="82">
        <f ca="1">IF(AND(N112&lt;=U$22,RAND()&lt;=$H$7),1,0)</f>
        <v>1</v>
      </c>
      <c r="P112" s="82">
        <f t="shared" ca="1" si="13"/>
        <v>15</v>
      </c>
      <c r="Q112" s="84">
        <f t="shared" ca="1" si="14"/>
        <v>2.4000000000000004</v>
      </c>
      <c r="R112" s="82">
        <f t="shared" ca="1" si="11"/>
        <v>9.6000000000000014</v>
      </c>
      <c r="S112" s="82">
        <f ca="1">SUM(R$22:$R112)</f>
        <v>305.20000000000005</v>
      </c>
      <c r="W112" s="60">
        <v>91</v>
      </c>
      <c r="X112" s="82">
        <f ca="1"/>
        <v>2906.4000000000074</v>
      </c>
    </row>
    <row r="113" spans="7:24" x14ac:dyDescent="0.2">
      <c r="G113" s="60">
        <v>92</v>
      </c>
      <c r="H113" s="82">
        <f ca="1"/>
        <v>1</v>
      </c>
      <c r="I113" s="82">
        <f t="shared" ca="1" si="12"/>
        <v>55</v>
      </c>
      <c r="J113" s="83">
        <f t="shared" ca="1" si="10"/>
        <v>0.59782608695652173</v>
      </c>
      <c r="N113" s="60">
        <v>92</v>
      </c>
      <c r="O113" s="82">
        <f ca="1">IF(AND(N113&lt;=U$22,RAND()&lt;=$H$7),1,0)</f>
        <v>0</v>
      </c>
      <c r="P113" s="82">
        <f t="shared" ca="1" si="13"/>
        <v>0</v>
      </c>
      <c r="Q113" s="84">
        <f t="shared" ca="1" si="14"/>
        <v>1</v>
      </c>
      <c r="R113" s="82">
        <f t="shared" ca="1" si="11"/>
        <v>0</v>
      </c>
      <c r="S113" s="82">
        <f ca="1">SUM(R$22:$R113)</f>
        <v>305.20000000000005</v>
      </c>
      <c r="W113" s="60">
        <v>92</v>
      </c>
      <c r="X113" s="82">
        <f ca="1"/>
        <v>2711.6000000000072</v>
      </c>
    </row>
    <row r="114" spans="7:24" x14ac:dyDescent="0.2">
      <c r="G114" s="60">
        <v>93</v>
      </c>
      <c r="H114" s="82">
        <f ca="1"/>
        <v>1</v>
      </c>
      <c r="I114" s="82">
        <f t="shared" ca="1" si="12"/>
        <v>56</v>
      </c>
      <c r="J114" s="83">
        <f t="shared" ca="1" si="10"/>
        <v>0.60215053763440862</v>
      </c>
      <c r="N114" s="60">
        <v>93</v>
      </c>
      <c r="O114" s="82">
        <f ca="1">IF(AND(N114&lt;=U$22,RAND()&lt;=$H$7),1,0)</f>
        <v>1</v>
      </c>
      <c r="P114" s="82">
        <f t="shared" ca="1" si="13"/>
        <v>0</v>
      </c>
      <c r="Q114" s="84">
        <f t="shared" ca="1" si="14"/>
        <v>1</v>
      </c>
      <c r="R114" s="82">
        <f t="shared" ca="1" si="11"/>
        <v>4</v>
      </c>
      <c r="S114" s="82">
        <f ca="1">SUM(R$22:$R114)</f>
        <v>309.20000000000005</v>
      </c>
      <c r="W114" s="60">
        <v>93</v>
      </c>
      <c r="X114" s="82">
        <f ca="1"/>
        <v>2624.8000000000061</v>
      </c>
    </row>
    <row r="115" spans="7:24" x14ac:dyDescent="0.2">
      <c r="G115" s="60">
        <v>94</v>
      </c>
      <c r="H115" s="82">
        <f ca="1"/>
        <v>0</v>
      </c>
      <c r="I115" s="82">
        <f t="shared" ca="1" si="12"/>
        <v>56</v>
      </c>
      <c r="J115" s="83">
        <f t="shared" ca="1" si="10"/>
        <v>0.5957446808510638</v>
      </c>
      <c r="N115" s="60">
        <v>94</v>
      </c>
      <c r="O115" s="82">
        <f ca="1">IF(AND(N115&lt;=U$22,RAND()&lt;=$H$7),1,0)</f>
        <v>1</v>
      </c>
      <c r="P115" s="82">
        <f t="shared" ca="1" si="13"/>
        <v>1</v>
      </c>
      <c r="Q115" s="84">
        <f t="shared" ca="1" si="14"/>
        <v>1</v>
      </c>
      <c r="R115" s="82">
        <f t="shared" ca="1" si="11"/>
        <v>4</v>
      </c>
      <c r="S115" s="82">
        <f ca="1">SUM(R$22:$R115)</f>
        <v>313.20000000000005</v>
      </c>
      <c r="W115" s="60">
        <v>94</v>
      </c>
      <c r="X115" s="82">
        <f ca="1"/>
        <v>2738.8000000000079</v>
      </c>
    </row>
    <row r="116" spans="7:24" x14ac:dyDescent="0.2">
      <c r="G116" s="60">
        <v>95</v>
      </c>
      <c r="H116" s="82">
        <f ca="1"/>
        <v>0</v>
      </c>
      <c r="I116" s="82">
        <f t="shared" ca="1" si="12"/>
        <v>56</v>
      </c>
      <c r="J116" s="83">
        <f t="shared" ca="1" si="10"/>
        <v>0.58947368421052626</v>
      </c>
      <c r="N116" s="60">
        <v>95</v>
      </c>
      <c r="O116" s="82">
        <f ca="1">IF(AND(N116&lt;=U$22,RAND()&lt;=$H$7),1,0)</f>
        <v>0</v>
      </c>
      <c r="P116" s="82">
        <f t="shared" ca="1" si="13"/>
        <v>0</v>
      </c>
      <c r="Q116" s="84">
        <f t="shared" ca="1" si="14"/>
        <v>1</v>
      </c>
      <c r="R116" s="82">
        <f t="shared" ca="1" si="11"/>
        <v>0</v>
      </c>
      <c r="S116" s="82">
        <f ca="1">SUM(R$22:$R116)</f>
        <v>313.20000000000005</v>
      </c>
      <c r="W116" s="60">
        <v>95</v>
      </c>
      <c r="X116" s="82">
        <f ca="1"/>
        <v>2638.0000000000055</v>
      </c>
    </row>
    <row r="117" spans="7:24" x14ac:dyDescent="0.2">
      <c r="G117" s="60">
        <v>96</v>
      </c>
      <c r="H117" s="82">
        <f ca="1"/>
        <v>1</v>
      </c>
      <c r="I117" s="82">
        <f t="shared" ca="1" si="12"/>
        <v>57</v>
      </c>
      <c r="J117" s="83">
        <f t="shared" ca="1" si="10"/>
        <v>0.59375</v>
      </c>
      <c r="N117" s="60">
        <v>96</v>
      </c>
      <c r="O117" s="82">
        <f ca="1">IF(AND(N117&lt;=U$22,RAND()&lt;=$H$7),1,0)</f>
        <v>1</v>
      </c>
      <c r="P117" s="82">
        <f t="shared" ca="1" si="13"/>
        <v>0</v>
      </c>
      <c r="Q117" s="84">
        <f t="shared" ca="1" si="14"/>
        <v>1</v>
      </c>
      <c r="R117" s="82">
        <f t="shared" ca="1" si="11"/>
        <v>4</v>
      </c>
      <c r="S117" s="82">
        <f ca="1">SUM(R$22:$R117)</f>
        <v>317.20000000000005</v>
      </c>
      <c r="W117" s="60">
        <v>96</v>
      </c>
      <c r="X117" s="82">
        <f ca="1"/>
        <v>2779.2000000000062</v>
      </c>
    </row>
    <row r="118" spans="7:24" x14ac:dyDescent="0.2">
      <c r="G118" s="60">
        <v>97</v>
      </c>
      <c r="H118" s="82">
        <f ca="1"/>
        <v>0</v>
      </c>
      <c r="I118" s="82">
        <f t="shared" ca="1" si="12"/>
        <v>57</v>
      </c>
      <c r="J118" s="83">
        <f t="shared" ca="1" si="10"/>
        <v>0.58762886597938147</v>
      </c>
      <c r="N118" s="60">
        <v>97</v>
      </c>
      <c r="O118" s="82">
        <f ca="1">IF(AND(N118&lt;=U$22,RAND()&lt;=$H$7),1,0)</f>
        <v>1</v>
      </c>
      <c r="P118" s="82">
        <f t="shared" ca="1" si="13"/>
        <v>1</v>
      </c>
      <c r="Q118" s="84">
        <f t="shared" ca="1" si="14"/>
        <v>1</v>
      </c>
      <c r="R118" s="82">
        <f t="shared" ca="1" si="11"/>
        <v>4</v>
      </c>
      <c r="S118" s="82">
        <f ca="1">SUM(R$22:$R118)</f>
        <v>321.20000000000005</v>
      </c>
      <c r="W118" s="60">
        <v>97</v>
      </c>
      <c r="X118" s="82">
        <f ca="1"/>
        <v>2660.4000000000051</v>
      </c>
    </row>
    <row r="119" spans="7:24" x14ac:dyDescent="0.2">
      <c r="G119" s="60">
        <v>98</v>
      </c>
      <c r="H119" s="82">
        <f ca="1"/>
        <v>0</v>
      </c>
      <c r="I119" s="82">
        <f t="shared" ca="1" si="12"/>
        <v>57</v>
      </c>
      <c r="J119" s="83">
        <f t="shared" ca="1" si="10"/>
        <v>0.58163265306122447</v>
      </c>
      <c r="N119" s="60">
        <v>98</v>
      </c>
      <c r="O119" s="82">
        <f ca="1">IF(AND(N119&lt;=U$22,RAND()&lt;=$H$7),1,0)</f>
        <v>0</v>
      </c>
      <c r="P119" s="82">
        <f t="shared" ca="1" si="13"/>
        <v>0</v>
      </c>
      <c r="Q119" s="84">
        <f t="shared" ca="1" si="14"/>
        <v>1</v>
      </c>
      <c r="R119" s="82">
        <f t="shared" ca="1" si="11"/>
        <v>0</v>
      </c>
      <c r="S119" s="82">
        <f ca="1">SUM(R$22:$R119)</f>
        <v>321.20000000000005</v>
      </c>
      <c r="W119" s="60">
        <v>98</v>
      </c>
      <c r="X119" s="82">
        <f ca="1"/>
        <v>2686.800000000007</v>
      </c>
    </row>
    <row r="120" spans="7:24" x14ac:dyDescent="0.2">
      <c r="G120" s="60">
        <v>99</v>
      </c>
      <c r="H120" s="82">
        <f ca="1"/>
        <v>1</v>
      </c>
      <c r="I120" s="82">
        <f t="shared" ca="1" si="12"/>
        <v>58</v>
      </c>
      <c r="J120" s="83">
        <f t="shared" ca="1" si="10"/>
        <v>0.58585858585858586</v>
      </c>
      <c r="N120" s="60">
        <v>99</v>
      </c>
      <c r="O120" s="82">
        <f ca="1">IF(AND(N120&lt;=U$22,RAND()&lt;=$H$7),1,0)</f>
        <v>0</v>
      </c>
      <c r="P120" s="82">
        <f t="shared" ca="1" si="13"/>
        <v>0</v>
      </c>
      <c r="Q120" s="84">
        <f t="shared" ca="1" si="14"/>
        <v>1</v>
      </c>
      <c r="R120" s="82">
        <f t="shared" ca="1" si="11"/>
        <v>0</v>
      </c>
      <c r="S120" s="82">
        <f ca="1">SUM(R$22:$R120)</f>
        <v>321.20000000000005</v>
      </c>
      <c r="W120" s="60">
        <v>99</v>
      </c>
      <c r="X120" s="82">
        <f ca="1"/>
        <v>2704.8000000000061</v>
      </c>
    </row>
    <row r="121" spans="7:24" x14ac:dyDescent="0.2">
      <c r="G121" s="60">
        <v>100</v>
      </c>
      <c r="H121" s="82">
        <f ca="1"/>
        <v>0</v>
      </c>
      <c r="I121" s="82">
        <f t="shared" ca="1" si="12"/>
        <v>58</v>
      </c>
      <c r="J121" s="83">
        <f t="shared" ca="1" si="10"/>
        <v>0.57999999999999996</v>
      </c>
      <c r="N121" s="60">
        <v>100</v>
      </c>
      <c r="O121" s="82">
        <f ca="1">IF(AND(N121&lt;=U$22,RAND()&lt;=$H$7),1,0)</f>
        <v>0</v>
      </c>
      <c r="P121" s="82">
        <f t="shared" ca="1" si="13"/>
        <v>0</v>
      </c>
      <c r="Q121" s="84">
        <f t="shared" ca="1" si="14"/>
        <v>1</v>
      </c>
      <c r="R121" s="82">
        <f t="shared" ca="1" si="11"/>
        <v>0</v>
      </c>
      <c r="S121" s="82">
        <f ca="1">SUM(R$22:$R121)</f>
        <v>321.20000000000005</v>
      </c>
      <c r="W121" s="60">
        <v>100</v>
      </c>
      <c r="X121" s="82">
        <f ca="1"/>
        <v>2694.8000000000088</v>
      </c>
    </row>
    <row r="122" spans="7:24" x14ac:dyDescent="0.2">
      <c r="G122" s="60">
        <v>101</v>
      </c>
      <c r="H122" s="82">
        <f ca="1"/>
        <v>0</v>
      </c>
      <c r="I122" s="82">
        <f t="shared" ca="1" si="12"/>
        <v>58</v>
      </c>
      <c r="J122" s="83">
        <f t="shared" ca="1" si="10"/>
        <v>0.57425742574257421</v>
      </c>
      <c r="N122" s="60">
        <v>101</v>
      </c>
      <c r="O122" s="82">
        <f ca="1">IF(AND(N122&lt;=U$22,RAND()&lt;=$H$7),1,0)</f>
        <v>0</v>
      </c>
      <c r="P122" s="82">
        <f t="shared" ca="1" si="13"/>
        <v>0</v>
      </c>
      <c r="Q122" s="84">
        <f t="shared" ca="1" si="14"/>
        <v>1</v>
      </c>
      <c r="R122" s="82">
        <f t="shared" ca="1" si="11"/>
        <v>0</v>
      </c>
      <c r="S122" s="82">
        <f ca="1">SUM(R$22:$R122)</f>
        <v>321.20000000000005</v>
      </c>
      <c r="W122" s="60">
        <v>101</v>
      </c>
      <c r="X122" s="82">
        <f ca="1"/>
        <v>2900.0000000000068</v>
      </c>
    </row>
    <row r="123" spans="7:24" x14ac:dyDescent="0.2">
      <c r="G123" s="60">
        <v>102</v>
      </c>
      <c r="H123" s="82">
        <f ca="1"/>
        <v>0</v>
      </c>
      <c r="I123" s="82">
        <f t="shared" ca="1" si="12"/>
        <v>58</v>
      </c>
      <c r="J123" s="83">
        <f t="shared" ca="1" si="10"/>
        <v>0.56862745098039214</v>
      </c>
      <c r="N123" s="60">
        <v>102</v>
      </c>
      <c r="O123" s="82">
        <f ca="1">IF(AND(N123&lt;=U$22,RAND()&lt;=$H$7),1,0)</f>
        <v>1</v>
      </c>
      <c r="P123" s="82">
        <f t="shared" ca="1" si="13"/>
        <v>0</v>
      </c>
      <c r="Q123" s="84">
        <f t="shared" ca="1" si="14"/>
        <v>1</v>
      </c>
      <c r="R123" s="82">
        <f t="shared" ca="1" si="11"/>
        <v>4</v>
      </c>
      <c r="S123" s="82">
        <f ca="1">SUM(R$22:$R123)</f>
        <v>325.20000000000005</v>
      </c>
      <c r="W123" s="60">
        <v>102</v>
      </c>
      <c r="X123" s="82">
        <f ca="1"/>
        <v>2818.4000000000069</v>
      </c>
    </row>
    <row r="124" spans="7:24" x14ac:dyDescent="0.2">
      <c r="G124" s="60">
        <v>103</v>
      </c>
      <c r="H124" s="82">
        <f ca="1"/>
        <v>0</v>
      </c>
      <c r="I124" s="82">
        <f t="shared" ca="1" si="12"/>
        <v>58</v>
      </c>
      <c r="J124" s="83">
        <f t="shared" ca="1" si="10"/>
        <v>0.56310679611650483</v>
      </c>
      <c r="N124" s="60">
        <v>103</v>
      </c>
      <c r="O124" s="82">
        <f ca="1">IF(AND(N124&lt;=U$22,RAND()&lt;=$H$7),1,0)</f>
        <v>1</v>
      </c>
      <c r="P124" s="82">
        <f t="shared" ca="1" si="13"/>
        <v>1</v>
      </c>
      <c r="Q124" s="84">
        <f t="shared" ca="1" si="14"/>
        <v>1</v>
      </c>
      <c r="R124" s="82">
        <f t="shared" ca="1" si="11"/>
        <v>4</v>
      </c>
      <c r="S124" s="82">
        <f ca="1">SUM(R$22:$R124)</f>
        <v>329.20000000000005</v>
      </c>
      <c r="W124" s="60">
        <v>103</v>
      </c>
      <c r="X124" s="82">
        <f ca="1"/>
        <v>2588.8000000000047</v>
      </c>
    </row>
    <row r="125" spans="7:24" x14ac:dyDescent="0.2">
      <c r="G125" s="60">
        <v>104</v>
      </c>
      <c r="H125" s="82">
        <f ca="1"/>
        <v>1</v>
      </c>
      <c r="I125" s="82">
        <f t="shared" ca="1" si="12"/>
        <v>59</v>
      </c>
      <c r="J125" s="83">
        <f t="shared" ca="1" si="10"/>
        <v>0.56730769230769229</v>
      </c>
      <c r="N125" s="60">
        <v>104</v>
      </c>
      <c r="O125" s="82">
        <f ca="1">IF(AND(N125&lt;=U$22,RAND()&lt;=$H$7),1,0)</f>
        <v>1</v>
      </c>
      <c r="P125" s="82">
        <f t="shared" ca="1" si="13"/>
        <v>2</v>
      </c>
      <c r="Q125" s="84">
        <f t="shared" ca="1" si="14"/>
        <v>1.1000000000000001</v>
      </c>
      <c r="R125" s="82">
        <f t="shared" ca="1" si="11"/>
        <v>4.4000000000000004</v>
      </c>
      <c r="S125" s="82">
        <f ca="1">SUM(R$22:$R125)</f>
        <v>333.6</v>
      </c>
      <c r="W125" s="60">
        <v>104</v>
      </c>
      <c r="X125" s="82">
        <f ca="1"/>
        <v>2627.2000000000066</v>
      </c>
    </row>
    <row r="126" spans="7:24" x14ac:dyDescent="0.2">
      <c r="G126" s="60">
        <v>105</v>
      </c>
      <c r="H126" s="82">
        <f ca="1"/>
        <v>1</v>
      </c>
      <c r="I126" s="82">
        <f t="shared" ca="1" si="12"/>
        <v>60</v>
      </c>
      <c r="J126" s="83">
        <f t="shared" ca="1" si="10"/>
        <v>0.5714285714285714</v>
      </c>
      <c r="N126" s="60">
        <v>105</v>
      </c>
      <c r="O126" s="82">
        <f ca="1">IF(AND(N126&lt;=U$22,RAND()&lt;=$H$7),1,0)</f>
        <v>1</v>
      </c>
      <c r="P126" s="82">
        <f t="shared" ca="1" si="13"/>
        <v>3</v>
      </c>
      <c r="Q126" s="84">
        <f t="shared" ca="1" si="14"/>
        <v>1.2</v>
      </c>
      <c r="R126" s="82">
        <f t="shared" ca="1" si="11"/>
        <v>4.8</v>
      </c>
      <c r="S126" s="82">
        <f ca="1">SUM(R$22:$R126)</f>
        <v>338.40000000000003</v>
      </c>
      <c r="W126" s="60">
        <v>105</v>
      </c>
      <c r="X126" s="82">
        <f ca="1"/>
        <v>2750.0000000000059</v>
      </c>
    </row>
    <row r="127" spans="7:24" x14ac:dyDescent="0.2">
      <c r="G127" s="60">
        <v>106</v>
      </c>
      <c r="H127" s="82">
        <f ca="1"/>
        <v>1</v>
      </c>
      <c r="I127" s="82">
        <f t="shared" ca="1" si="12"/>
        <v>61</v>
      </c>
      <c r="J127" s="83">
        <f t="shared" ca="1" si="10"/>
        <v>0.57547169811320753</v>
      </c>
      <c r="N127" s="60">
        <v>106</v>
      </c>
      <c r="O127" s="82">
        <f ca="1">IF(AND(N127&lt;=U$22,RAND()&lt;=$H$7),1,0)</f>
        <v>1</v>
      </c>
      <c r="P127" s="82">
        <f t="shared" ca="1" si="13"/>
        <v>4</v>
      </c>
      <c r="Q127" s="84">
        <f t="shared" ca="1" si="14"/>
        <v>1.3</v>
      </c>
      <c r="R127" s="82">
        <f t="shared" ca="1" si="11"/>
        <v>5.2</v>
      </c>
      <c r="S127" s="82">
        <f ca="1">SUM(R$22:$R127)</f>
        <v>343.6</v>
      </c>
      <c r="W127" s="60">
        <v>106</v>
      </c>
      <c r="X127" s="82">
        <f ca="1"/>
        <v>2799.2000000000066</v>
      </c>
    </row>
    <row r="128" spans="7:24" x14ac:dyDescent="0.2">
      <c r="G128" s="60">
        <v>107</v>
      </c>
      <c r="H128" s="82">
        <f ca="1"/>
        <v>0</v>
      </c>
      <c r="I128" s="82">
        <f t="shared" ca="1" si="12"/>
        <v>61</v>
      </c>
      <c r="J128" s="83">
        <f t="shared" ca="1" si="10"/>
        <v>0.57009345794392519</v>
      </c>
      <c r="N128" s="60">
        <v>107</v>
      </c>
      <c r="O128" s="82">
        <f ca="1">IF(AND(N128&lt;=U$22,RAND()&lt;=$H$7),1,0)</f>
        <v>0</v>
      </c>
      <c r="P128" s="82">
        <f t="shared" ca="1" si="13"/>
        <v>0</v>
      </c>
      <c r="Q128" s="84">
        <f t="shared" ca="1" si="14"/>
        <v>1</v>
      </c>
      <c r="R128" s="82">
        <f t="shared" ca="1" si="11"/>
        <v>0</v>
      </c>
      <c r="S128" s="82">
        <f ca="1">SUM(R$22:$R128)</f>
        <v>343.6</v>
      </c>
      <c r="W128" s="60">
        <v>107</v>
      </c>
      <c r="X128" s="82">
        <f ca="1"/>
        <v>2907.2000000000062</v>
      </c>
    </row>
    <row r="129" spans="7:24" x14ac:dyDescent="0.2">
      <c r="G129" s="60">
        <v>108</v>
      </c>
      <c r="H129" s="82">
        <f ca="1"/>
        <v>1</v>
      </c>
      <c r="I129" s="82">
        <f t="shared" ca="1" si="12"/>
        <v>62</v>
      </c>
      <c r="J129" s="83">
        <f t="shared" ca="1" si="10"/>
        <v>0.57407407407407407</v>
      </c>
      <c r="N129" s="60">
        <v>108</v>
      </c>
      <c r="O129" s="82">
        <f ca="1">IF(AND(N129&lt;=U$22,RAND()&lt;=$H$7),1,0)</f>
        <v>0</v>
      </c>
      <c r="P129" s="82">
        <f t="shared" ca="1" si="13"/>
        <v>0</v>
      </c>
      <c r="Q129" s="84">
        <f t="shared" ca="1" si="14"/>
        <v>1</v>
      </c>
      <c r="R129" s="82">
        <f t="shared" ca="1" si="11"/>
        <v>0</v>
      </c>
      <c r="S129" s="82">
        <f ca="1">SUM(R$22:$R129)</f>
        <v>343.6</v>
      </c>
      <c r="W129" s="60">
        <v>108</v>
      </c>
      <c r="X129" s="82">
        <f ca="1"/>
        <v>2875.6000000000081</v>
      </c>
    </row>
    <row r="130" spans="7:24" x14ac:dyDescent="0.2">
      <c r="G130" s="60">
        <v>109</v>
      </c>
      <c r="H130" s="82">
        <f ca="1"/>
        <v>0</v>
      </c>
      <c r="I130" s="82">
        <f t="shared" ca="1" si="12"/>
        <v>62</v>
      </c>
      <c r="J130" s="83">
        <f t="shared" ca="1" si="10"/>
        <v>0.56880733944954132</v>
      </c>
      <c r="N130" s="60">
        <v>109</v>
      </c>
      <c r="O130" s="82">
        <f ca="1">IF(AND(N130&lt;=U$22,RAND()&lt;=$H$7),1,0)</f>
        <v>1</v>
      </c>
      <c r="P130" s="82">
        <f t="shared" ca="1" si="13"/>
        <v>0</v>
      </c>
      <c r="Q130" s="84">
        <f t="shared" ca="1" si="14"/>
        <v>1</v>
      </c>
      <c r="R130" s="82">
        <f t="shared" ca="1" si="11"/>
        <v>4</v>
      </c>
      <c r="S130" s="82">
        <f ca="1">SUM(R$22:$R130)</f>
        <v>347.6</v>
      </c>
      <c r="W130" s="60">
        <v>109</v>
      </c>
      <c r="X130" s="82">
        <f ca="1"/>
        <v>2715.6000000000072</v>
      </c>
    </row>
    <row r="131" spans="7:24" x14ac:dyDescent="0.2">
      <c r="G131" s="60">
        <v>110</v>
      </c>
      <c r="H131" s="82">
        <f ca="1"/>
        <v>0</v>
      </c>
      <c r="I131" s="82">
        <f t="shared" ca="1" si="12"/>
        <v>62</v>
      </c>
      <c r="J131" s="83">
        <f t="shared" ca="1" si="10"/>
        <v>0.5636363636363636</v>
      </c>
      <c r="N131" s="60">
        <v>110</v>
      </c>
      <c r="O131" s="82">
        <f ca="1">IF(AND(N131&lt;=U$22,RAND()&lt;=$H$7),1,0)</f>
        <v>1</v>
      </c>
      <c r="P131" s="82">
        <f t="shared" ca="1" si="13"/>
        <v>1</v>
      </c>
      <c r="Q131" s="84">
        <f t="shared" ca="1" si="14"/>
        <v>1</v>
      </c>
      <c r="R131" s="82">
        <f t="shared" ca="1" si="11"/>
        <v>4</v>
      </c>
      <c r="S131" s="82">
        <f ca="1">SUM(R$22:$R131)</f>
        <v>351.6</v>
      </c>
      <c r="W131" s="60">
        <v>110</v>
      </c>
      <c r="X131" s="82">
        <f ca="1"/>
        <v>2752.0000000000059</v>
      </c>
    </row>
    <row r="132" spans="7:24" x14ac:dyDescent="0.2">
      <c r="G132" s="60">
        <v>111</v>
      </c>
      <c r="H132" s="82">
        <f ca="1"/>
        <v>1</v>
      </c>
      <c r="I132" s="82">
        <f t="shared" ca="1" si="12"/>
        <v>63</v>
      </c>
      <c r="J132" s="83">
        <f t="shared" ca="1" si="10"/>
        <v>0.56756756756756754</v>
      </c>
      <c r="N132" s="60">
        <v>111</v>
      </c>
      <c r="O132" s="82">
        <f ca="1">IF(AND(N132&lt;=U$22,RAND()&lt;=$H$7),1,0)</f>
        <v>0</v>
      </c>
      <c r="P132" s="82">
        <f t="shared" ca="1" si="13"/>
        <v>0</v>
      </c>
      <c r="Q132" s="84">
        <f t="shared" ca="1" si="14"/>
        <v>1</v>
      </c>
      <c r="R132" s="82">
        <f t="shared" ca="1" si="11"/>
        <v>0</v>
      </c>
      <c r="S132" s="82">
        <f ca="1">SUM(R$22:$R132)</f>
        <v>351.6</v>
      </c>
      <c r="W132" s="60">
        <v>111</v>
      </c>
      <c r="X132" s="82">
        <f ca="1"/>
        <v>2748.4000000000069</v>
      </c>
    </row>
    <row r="133" spans="7:24" x14ac:dyDescent="0.2">
      <c r="G133" s="60">
        <v>112</v>
      </c>
      <c r="H133" s="82">
        <f ca="1"/>
        <v>0</v>
      </c>
      <c r="I133" s="82">
        <f t="shared" ca="1" si="12"/>
        <v>63</v>
      </c>
      <c r="J133" s="83">
        <f t="shared" ca="1" si="10"/>
        <v>0.5625</v>
      </c>
      <c r="N133" s="60">
        <v>112</v>
      </c>
      <c r="O133" s="82">
        <f ca="1">IF(AND(N133&lt;=U$22,RAND()&lt;=$H$7),1,0)</f>
        <v>0</v>
      </c>
      <c r="P133" s="82">
        <f t="shared" ca="1" si="13"/>
        <v>0</v>
      </c>
      <c r="Q133" s="84">
        <f t="shared" ca="1" si="14"/>
        <v>1</v>
      </c>
      <c r="R133" s="82">
        <f t="shared" ca="1" si="11"/>
        <v>0</v>
      </c>
      <c r="S133" s="82">
        <f ca="1">SUM(R$22:$R133)</f>
        <v>351.6</v>
      </c>
      <c r="W133" s="60">
        <v>112</v>
      </c>
      <c r="X133" s="82">
        <f ca="1"/>
        <v>2744.8000000000061</v>
      </c>
    </row>
    <row r="134" spans="7:24" x14ac:dyDescent="0.2">
      <c r="G134" s="60">
        <v>113</v>
      </c>
      <c r="H134" s="82">
        <f ca="1"/>
        <v>0</v>
      </c>
      <c r="I134" s="82">
        <f t="shared" ca="1" si="12"/>
        <v>63</v>
      </c>
      <c r="J134" s="83">
        <f t="shared" ca="1" si="10"/>
        <v>0.55752212389380529</v>
      </c>
      <c r="N134" s="60">
        <v>113</v>
      </c>
      <c r="O134" s="82">
        <f ca="1">IF(AND(N134&lt;=U$22,RAND()&lt;=$H$7),1,0)</f>
        <v>1</v>
      </c>
      <c r="P134" s="82">
        <f t="shared" ca="1" si="13"/>
        <v>0</v>
      </c>
      <c r="Q134" s="84">
        <f t="shared" ca="1" si="14"/>
        <v>1</v>
      </c>
      <c r="R134" s="82">
        <f t="shared" ca="1" si="11"/>
        <v>4</v>
      </c>
      <c r="S134" s="82">
        <f ca="1">SUM(R$22:$R134)</f>
        <v>355.6</v>
      </c>
      <c r="W134" s="60">
        <v>113</v>
      </c>
      <c r="X134" s="82">
        <f ca="1"/>
        <v>2770.4000000000069</v>
      </c>
    </row>
    <row r="135" spans="7:24" x14ac:dyDescent="0.2">
      <c r="G135" s="60">
        <v>114</v>
      </c>
      <c r="H135" s="82">
        <f ca="1"/>
        <v>1</v>
      </c>
      <c r="I135" s="82">
        <f t="shared" ca="1" si="12"/>
        <v>64</v>
      </c>
      <c r="J135" s="83">
        <f t="shared" ca="1" si="10"/>
        <v>0.56140350877192979</v>
      </c>
      <c r="N135" s="60">
        <v>114</v>
      </c>
      <c r="O135" s="82">
        <f ca="1">IF(AND(N135&lt;=U$22,RAND()&lt;=$H$7),1,0)</f>
        <v>0</v>
      </c>
      <c r="P135" s="82">
        <f t="shared" ca="1" si="13"/>
        <v>0</v>
      </c>
      <c r="Q135" s="84">
        <f t="shared" ca="1" si="14"/>
        <v>1</v>
      </c>
      <c r="R135" s="82">
        <f t="shared" ca="1" si="11"/>
        <v>0</v>
      </c>
      <c r="S135" s="82">
        <f ca="1">SUM(R$22:$R135)</f>
        <v>355.6</v>
      </c>
      <c r="W135" s="60">
        <v>114</v>
      </c>
      <c r="X135" s="82">
        <f ca="1"/>
        <v>2886.0000000000073</v>
      </c>
    </row>
    <row r="136" spans="7:24" x14ac:dyDescent="0.2">
      <c r="G136" s="60">
        <v>115</v>
      </c>
      <c r="H136" s="82">
        <f ca="1"/>
        <v>0</v>
      </c>
      <c r="I136" s="82">
        <f t="shared" ca="1" si="12"/>
        <v>64</v>
      </c>
      <c r="J136" s="83">
        <f t="shared" ca="1" si="10"/>
        <v>0.55652173913043479</v>
      </c>
      <c r="N136" s="60">
        <v>115</v>
      </c>
      <c r="O136" s="82">
        <f ca="1">IF(AND(N136&lt;=U$22,RAND()&lt;=$H$7),1,0)</f>
        <v>1</v>
      </c>
      <c r="P136" s="82">
        <f t="shared" ca="1" si="13"/>
        <v>0</v>
      </c>
      <c r="Q136" s="84">
        <f t="shared" ca="1" si="14"/>
        <v>1</v>
      </c>
      <c r="R136" s="82">
        <f t="shared" ca="1" si="11"/>
        <v>4</v>
      </c>
      <c r="S136" s="82">
        <f ca="1">SUM(R$22:$R136)</f>
        <v>359.6</v>
      </c>
      <c r="W136" s="60">
        <v>115</v>
      </c>
      <c r="X136" s="82">
        <f ca="1"/>
        <v>2869.6000000000067</v>
      </c>
    </row>
    <row r="137" spans="7:24" x14ac:dyDescent="0.2">
      <c r="G137" s="60">
        <v>116</v>
      </c>
      <c r="H137" s="82">
        <f ca="1"/>
        <v>0</v>
      </c>
      <c r="I137" s="82">
        <f t="shared" ca="1" si="12"/>
        <v>64</v>
      </c>
      <c r="J137" s="83">
        <f t="shared" ca="1" si="10"/>
        <v>0.55172413793103448</v>
      </c>
      <c r="N137" s="60">
        <v>116</v>
      </c>
      <c r="O137" s="82">
        <f ca="1">IF(AND(N137&lt;=U$22,RAND()&lt;=$H$7),1,0)</f>
        <v>1</v>
      </c>
      <c r="P137" s="82">
        <f t="shared" ca="1" si="13"/>
        <v>1</v>
      </c>
      <c r="Q137" s="84">
        <f t="shared" ca="1" si="14"/>
        <v>1</v>
      </c>
      <c r="R137" s="82">
        <f t="shared" ca="1" si="11"/>
        <v>4</v>
      </c>
      <c r="S137" s="82">
        <f ca="1">SUM(R$22:$R137)</f>
        <v>363.6</v>
      </c>
      <c r="W137" s="60">
        <v>116</v>
      </c>
      <c r="X137" s="82">
        <f ca="1"/>
        <v>2717.2000000000057</v>
      </c>
    </row>
    <row r="138" spans="7:24" x14ac:dyDescent="0.2">
      <c r="G138" s="60">
        <v>117</v>
      </c>
      <c r="H138" s="82">
        <f ca="1"/>
        <v>0</v>
      </c>
      <c r="I138" s="82">
        <f t="shared" ca="1" si="12"/>
        <v>64</v>
      </c>
      <c r="J138" s="83">
        <f t="shared" ca="1" si="10"/>
        <v>0.54700854700854706</v>
      </c>
      <c r="N138" s="60">
        <v>117</v>
      </c>
      <c r="O138" s="82">
        <f ca="1">IF(AND(N138&lt;=U$22,RAND()&lt;=$H$7),1,0)</f>
        <v>1</v>
      </c>
      <c r="P138" s="82">
        <f t="shared" ca="1" si="13"/>
        <v>2</v>
      </c>
      <c r="Q138" s="84">
        <f t="shared" ca="1" si="14"/>
        <v>1.1000000000000001</v>
      </c>
      <c r="R138" s="82">
        <f t="shared" ca="1" si="11"/>
        <v>4.4000000000000004</v>
      </c>
      <c r="S138" s="82">
        <f ca="1">SUM(R$22:$R138)</f>
        <v>368</v>
      </c>
      <c r="W138" s="60">
        <v>117</v>
      </c>
      <c r="X138" s="82">
        <f ca="1"/>
        <v>2763.6000000000081</v>
      </c>
    </row>
    <row r="139" spans="7:24" x14ac:dyDescent="0.2">
      <c r="G139" s="60">
        <v>118</v>
      </c>
      <c r="H139" s="82">
        <f ca="1"/>
        <v>1</v>
      </c>
      <c r="I139" s="82">
        <f t="shared" ca="1" si="12"/>
        <v>65</v>
      </c>
      <c r="J139" s="83">
        <f t="shared" ca="1" si="10"/>
        <v>0.55084745762711862</v>
      </c>
      <c r="N139" s="60">
        <v>118</v>
      </c>
      <c r="O139" s="82">
        <f ca="1">IF(AND(N139&lt;=U$22,RAND()&lt;=$H$7),1,0)</f>
        <v>1</v>
      </c>
      <c r="P139" s="82">
        <f t="shared" ca="1" si="13"/>
        <v>3</v>
      </c>
      <c r="Q139" s="84">
        <f t="shared" ca="1" si="14"/>
        <v>1.2</v>
      </c>
      <c r="R139" s="82">
        <f t="shared" ca="1" si="11"/>
        <v>4.8</v>
      </c>
      <c r="S139" s="82">
        <f ca="1">SUM(R$22:$R139)</f>
        <v>372.8</v>
      </c>
      <c r="W139" s="60">
        <v>118</v>
      </c>
      <c r="X139" s="82">
        <f ca="1"/>
        <v>2685.6000000000072</v>
      </c>
    </row>
    <row r="140" spans="7:24" x14ac:dyDescent="0.2">
      <c r="G140" s="60">
        <v>119</v>
      </c>
      <c r="H140" s="82">
        <f ca="1"/>
        <v>1</v>
      </c>
      <c r="I140" s="82">
        <f t="shared" ca="1" si="12"/>
        <v>66</v>
      </c>
      <c r="J140" s="83">
        <f t="shared" ca="1" si="10"/>
        <v>0.55462184873949583</v>
      </c>
      <c r="N140" s="60">
        <v>119</v>
      </c>
      <c r="O140" s="82">
        <f ca="1">IF(AND(N140&lt;=U$22,RAND()&lt;=$H$7),1,0)</f>
        <v>1</v>
      </c>
      <c r="P140" s="82">
        <f t="shared" ca="1" si="13"/>
        <v>4</v>
      </c>
      <c r="Q140" s="84">
        <f t="shared" ca="1" si="14"/>
        <v>1.3</v>
      </c>
      <c r="R140" s="82">
        <f t="shared" ca="1" si="11"/>
        <v>5.2</v>
      </c>
      <c r="S140" s="82">
        <f ca="1">SUM(R$22:$R140)</f>
        <v>378</v>
      </c>
      <c r="W140" s="60">
        <v>119</v>
      </c>
      <c r="X140" s="82">
        <f ca="1"/>
        <v>2839.6000000000076</v>
      </c>
    </row>
    <row r="141" spans="7:24" x14ac:dyDescent="0.2">
      <c r="G141" s="60">
        <v>120</v>
      </c>
      <c r="H141" s="82">
        <f ca="1"/>
        <v>1</v>
      </c>
      <c r="I141" s="82">
        <f t="shared" ca="1" si="12"/>
        <v>67</v>
      </c>
      <c r="J141" s="83">
        <f t="shared" ca="1" si="10"/>
        <v>0.55833333333333335</v>
      </c>
      <c r="N141" s="60">
        <v>120</v>
      </c>
      <c r="O141" s="82">
        <f ca="1">IF(AND(N141&lt;=U$22,RAND()&lt;=$H$7),1,0)</f>
        <v>1</v>
      </c>
      <c r="P141" s="82">
        <f t="shared" ca="1" si="13"/>
        <v>5</v>
      </c>
      <c r="Q141" s="84">
        <f t="shared" ca="1" si="14"/>
        <v>1.4</v>
      </c>
      <c r="R141" s="82">
        <f t="shared" ca="1" si="11"/>
        <v>5.6</v>
      </c>
      <c r="S141" s="82">
        <f ca="1">SUM(R$22:$R141)</f>
        <v>383.6</v>
      </c>
      <c r="W141" s="60">
        <v>120</v>
      </c>
      <c r="X141" s="82">
        <f ca="1"/>
        <v>2817.6000000000081</v>
      </c>
    </row>
    <row r="142" spans="7:24" x14ac:dyDescent="0.2">
      <c r="G142" s="60">
        <v>121</v>
      </c>
      <c r="H142" s="82">
        <f ca="1"/>
        <v>1</v>
      </c>
      <c r="I142" s="82">
        <f t="shared" ca="1" si="12"/>
        <v>68</v>
      </c>
      <c r="J142" s="83">
        <f t="shared" ca="1" si="10"/>
        <v>0.56198347107438018</v>
      </c>
      <c r="N142" s="60">
        <v>121</v>
      </c>
      <c r="O142" s="82">
        <f ca="1">IF(AND(N142&lt;=U$22,RAND()&lt;=$H$7),1,0)</f>
        <v>1</v>
      </c>
      <c r="P142" s="82">
        <f t="shared" ca="1" si="13"/>
        <v>6</v>
      </c>
      <c r="Q142" s="84">
        <f t="shared" ca="1" si="14"/>
        <v>1.5</v>
      </c>
      <c r="R142" s="82">
        <f t="shared" ca="1" si="11"/>
        <v>6</v>
      </c>
      <c r="S142" s="82">
        <f ca="1">SUM(R$22:$R142)</f>
        <v>389.6</v>
      </c>
      <c r="W142" s="60">
        <v>121</v>
      </c>
      <c r="X142" s="82">
        <f ca="1"/>
        <v>2616.4000000000069</v>
      </c>
    </row>
    <row r="143" spans="7:24" x14ac:dyDescent="0.2">
      <c r="G143" s="60">
        <v>122</v>
      </c>
      <c r="H143" s="82">
        <f ca="1"/>
        <v>0</v>
      </c>
      <c r="I143" s="82">
        <f t="shared" ca="1" si="12"/>
        <v>68</v>
      </c>
      <c r="J143" s="83">
        <f t="shared" ca="1" si="10"/>
        <v>0.55737704918032782</v>
      </c>
      <c r="N143" s="60">
        <v>122</v>
      </c>
      <c r="O143" s="82">
        <f ca="1">IF(AND(N143&lt;=U$22,RAND()&lt;=$H$7),1,0)</f>
        <v>0</v>
      </c>
      <c r="P143" s="82">
        <f t="shared" ca="1" si="13"/>
        <v>0</v>
      </c>
      <c r="Q143" s="84">
        <f t="shared" ca="1" si="14"/>
        <v>1</v>
      </c>
      <c r="R143" s="82">
        <f t="shared" ca="1" si="11"/>
        <v>0</v>
      </c>
      <c r="S143" s="82">
        <f ca="1">SUM(R$22:$R143)</f>
        <v>389.6</v>
      </c>
      <c r="W143" s="60">
        <v>122</v>
      </c>
      <c r="X143" s="82">
        <f ca="1"/>
        <v>2759.2000000000071</v>
      </c>
    </row>
    <row r="144" spans="7:24" x14ac:dyDescent="0.2">
      <c r="G144" s="60">
        <v>123</v>
      </c>
      <c r="H144" s="82">
        <f ca="1"/>
        <v>0</v>
      </c>
      <c r="I144" s="82">
        <f t="shared" ca="1" si="12"/>
        <v>68</v>
      </c>
      <c r="J144" s="83">
        <f t="shared" ca="1" si="10"/>
        <v>0.55284552845528456</v>
      </c>
      <c r="N144" s="60">
        <v>123</v>
      </c>
      <c r="O144" s="82">
        <f ca="1">IF(AND(N144&lt;=U$22,RAND()&lt;=$H$7),1,0)</f>
        <v>1</v>
      </c>
      <c r="P144" s="82">
        <f t="shared" ca="1" si="13"/>
        <v>0</v>
      </c>
      <c r="Q144" s="84">
        <f t="shared" ca="1" si="14"/>
        <v>1</v>
      </c>
      <c r="R144" s="82">
        <f t="shared" ca="1" si="11"/>
        <v>4</v>
      </c>
      <c r="S144" s="82">
        <f ca="1">SUM(R$22:$R144)</f>
        <v>393.6</v>
      </c>
      <c r="W144" s="60">
        <v>123</v>
      </c>
      <c r="X144" s="82">
        <f ca="1"/>
        <v>2818.800000000007</v>
      </c>
    </row>
    <row r="145" spans="7:24" x14ac:dyDescent="0.2">
      <c r="G145" s="60">
        <v>124</v>
      </c>
      <c r="H145" s="82">
        <f ca="1"/>
        <v>1</v>
      </c>
      <c r="I145" s="82">
        <f t="shared" ca="1" si="12"/>
        <v>69</v>
      </c>
      <c r="J145" s="83">
        <f t="shared" ca="1" si="10"/>
        <v>0.55645161290322576</v>
      </c>
      <c r="N145" s="60">
        <v>124</v>
      </c>
      <c r="O145" s="82">
        <f ca="1">IF(AND(N145&lt;=U$22,RAND()&lt;=$H$7),1,0)</f>
        <v>1</v>
      </c>
      <c r="P145" s="82">
        <f t="shared" ca="1" si="13"/>
        <v>1</v>
      </c>
      <c r="Q145" s="84">
        <f t="shared" ca="1" si="14"/>
        <v>1</v>
      </c>
      <c r="R145" s="82">
        <f t="shared" ca="1" si="11"/>
        <v>4</v>
      </c>
      <c r="S145" s="82">
        <f ca="1">SUM(R$22:$R145)</f>
        <v>397.6</v>
      </c>
      <c r="W145" s="60">
        <v>124</v>
      </c>
      <c r="X145" s="82">
        <f ca="1"/>
        <v>2675.2000000000066</v>
      </c>
    </row>
    <row r="146" spans="7:24" x14ac:dyDescent="0.2">
      <c r="G146" s="60">
        <v>125</v>
      </c>
      <c r="H146" s="82">
        <f ca="1"/>
        <v>1</v>
      </c>
      <c r="I146" s="82">
        <f t="shared" ca="1" si="12"/>
        <v>70</v>
      </c>
      <c r="J146" s="83">
        <f t="shared" ca="1" si="10"/>
        <v>0.56000000000000005</v>
      </c>
      <c r="N146" s="60">
        <v>125</v>
      </c>
      <c r="O146" s="82">
        <f ca="1">IF(AND(N146&lt;=U$22,RAND()&lt;=$H$7),1,0)</f>
        <v>1</v>
      </c>
      <c r="P146" s="82">
        <f t="shared" ca="1" si="13"/>
        <v>2</v>
      </c>
      <c r="Q146" s="84">
        <f t="shared" ca="1" si="14"/>
        <v>1.1000000000000001</v>
      </c>
      <c r="R146" s="82">
        <f t="shared" ca="1" si="11"/>
        <v>4.4000000000000004</v>
      </c>
      <c r="S146" s="82">
        <f ca="1">SUM(R$22:$R146)</f>
        <v>402</v>
      </c>
      <c r="W146" s="60">
        <v>125</v>
      </c>
      <c r="X146" s="82">
        <f ca="1"/>
        <v>2756.0000000000068</v>
      </c>
    </row>
    <row r="147" spans="7:24" x14ac:dyDescent="0.2">
      <c r="G147" s="60">
        <v>126</v>
      </c>
      <c r="H147" s="82">
        <f ca="1"/>
        <v>0</v>
      </c>
      <c r="I147" s="82">
        <f t="shared" ca="1" si="12"/>
        <v>70</v>
      </c>
      <c r="J147" s="83">
        <f t="shared" ca="1" si="10"/>
        <v>0.55555555555555558</v>
      </c>
      <c r="N147" s="60">
        <v>126</v>
      </c>
      <c r="O147" s="82">
        <f ca="1">IF(AND(N147&lt;=U$22,RAND()&lt;=$H$7),1,0)</f>
        <v>1</v>
      </c>
      <c r="P147" s="82">
        <f t="shared" ca="1" si="13"/>
        <v>3</v>
      </c>
      <c r="Q147" s="84">
        <f t="shared" ca="1" si="14"/>
        <v>1.2</v>
      </c>
      <c r="R147" s="82">
        <f t="shared" ca="1" si="11"/>
        <v>4.8</v>
      </c>
      <c r="S147" s="82">
        <f ca="1">SUM(R$22:$R147)</f>
        <v>406.8</v>
      </c>
      <c r="W147" s="60">
        <v>126</v>
      </c>
      <c r="X147" s="82">
        <f ca="1"/>
        <v>2886.0000000000073</v>
      </c>
    </row>
    <row r="148" spans="7:24" x14ac:dyDescent="0.2">
      <c r="G148" s="60">
        <v>127</v>
      </c>
      <c r="H148" s="82">
        <f ca="1"/>
        <v>1</v>
      </c>
      <c r="I148" s="82">
        <f t="shared" ca="1" si="12"/>
        <v>71</v>
      </c>
      <c r="J148" s="83">
        <f t="shared" ca="1" si="10"/>
        <v>0.55905511811023623</v>
      </c>
      <c r="N148" s="60">
        <v>127</v>
      </c>
      <c r="O148" s="82">
        <f ca="1">IF(AND(N148&lt;=U$22,RAND()&lt;=$H$7),1,0)</f>
        <v>0</v>
      </c>
      <c r="P148" s="82">
        <f t="shared" ca="1" si="13"/>
        <v>0</v>
      </c>
      <c r="Q148" s="84">
        <f t="shared" ca="1" si="14"/>
        <v>1</v>
      </c>
      <c r="R148" s="82">
        <f t="shared" ca="1" si="11"/>
        <v>0</v>
      </c>
      <c r="S148" s="82">
        <f ca="1">SUM(R$22:$R148)</f>
        <v>406.8</v>
      </c>
      <c r="W148" s="60">
        <v>127</v>
      </c>
      <c r="X148" s="82">
        <f ca="1"/>
        <v>2775.6000000000085</v>
      </c>
    </row>
    <row r="149" spans="7:24" x14ac:dyDescent="0.2">
      <c r="G149" s="60">
        <v>128</v>
      </c>
      <c r="H149" s="82">
        <f ca="1"/>
        <v>1</v>
      </c>
      <c r="I149" s="82">
        <f t="shared" ca="1" si="12"/>
        <v>72</v>
      </c>
      <c r="J149" s="83">
        <f t="shared" ca="1" si="10"/>
        <v>0.5625</v>
      </c>
      <c r="N149" s="60">
        <v>128</v>
      </c>
      <c r="O149" s="82">
        <f ca="1">IF(AND(N149&lt;=U$22,RAND()&lt;=$H$7),1,0)</f>
        <v>0</v>
      </c>
      <c r="P149" s="82">
        <f t="shared" ca="1" si="13"/>
        <v>0</v>
      </c>
      <c r="Q149" s="84">
        <f t="shared" ca="1" si="14"/>
        <v>1</v>
      </c>
      <c r="R149" s="82">
        <f t="shared" ca="1" si="11"/>
        <v>0</v>
      </c>
      <c r="S149" s="82">
        <f ca="1">SUM(R$22:$R149)</f>
        <v>406.8</v>
      </c>
      <c r="W149" s="60">
        <v>128</v>
      </c>
      <c r="X149" s="82">
        <f ca="1"/>
        <v>2615.2000000000071</v>
      </c>
    </row>
    <row r="150" spans="7:24" x14ac:dyDescent="0.2">
      <c r="G150" s="60">
        <v>129</v>
      </c>
      <c r="H150" s="82">
        <f ca="1"/>
        <v>1</v>
      </c>
      <c r="I150" s="82">
        <f t="shared" ca="1" si="12"/>
        <v>73</v>
      </c>
      <c r="J150" s="83">
        <f t="shared" ca="1" si="10"/>
        <v>0.56589147286821706</v>
      </c>
      <c r="N150" s="60">
        <v>129</v>
      </c>
      <c r="O150" s="82">
        <f ca="1">IF(AND(N150&lt;=U$22,RAND()&lt;=$H$7),1,0)</f>
        <v>1</v>
      </c>
      <c r="P150" s="82">
        <f t="shared" ca="1" si="13"/>
        <v>0</v>
      </c>
      <c r="Q150" s="84">
        <f t="shared" ca="1" si="14"/>
        <v>1</v>
      </c>
      <c r="R150" s="82">
        <f t="shared" ca="1" si="11"/>
        <v>4</v>
      </c>
      <c r="S150" s="82">
        <f ca="1">SUM(R$22:$R150)</f>
        <v>410.8</v>
      </c>
      <c r="W150" s="60">
        <v>129</v>
      </c>
      <c r="X150" s="82">
        <f ca="1"/>
        <v>3011.2000000000071</v>
      </c>
    </row>
    <row r="151" spans="7:24" x14ac:dyDescent="0.2">
      <c r="G151" s="60">
        <v>130</v>
      </c>
      <c r="H151" s="82">
        <f ca="1"/>
        <v>1</v>
      </c>
      <c r="I151" s="82">
        <f t="shared" ca="1" si="12"/>
        <v>74</v>
      </c>
      <c r="J151" s="83">
        <f t="shared" ref="J151:J214" ca="1" si="15">I151/G151</f>
        <v>0.56923076923076921</v>
      </c>
      <c r="N151" s="60">
        <v>130</v>
      </c>
      <c r="O151" s="82">
        <f ca="1">IF(AND(N151&lt;=U$22,RAND()&lt;=$H$7),1,0)</f>
        <v>1</v>
      </c>
      <c r="P151" s="82">
        <f t="shared" ca="1" si="13"/>
        <v>1</v>
      </c>
      <c r="Q151" s="84">
        <f t="shared" ca="1" si="14"/>
        <v>1</v>
      </c>
      <c r="R151" s="82">
        <f t="shared" ref="R151:R214" ca="1" si="16">Q151*$I$7*O151</f>
        <v>4</v>
      </c>
      <c r="S151" s="82">
        <f ca="1">SUM(R$22:$R151)</f>
        <v>414.8</v>
      </c>
      <c r="W151" s="60">
        <v>130</v>
      </c>
      <c r="X151" s="82">
        <f ca="1"/>
        <v>2985.200000000008</v>
      </c>
    </row>
    <row r="152" spans="7:24" x14ac:dyDescent="0.2">
      <c r="G152" s="60">
        <v>131</v>
      </c>
      <c r="H152" s="82">
        <f ca="1"/>
        <v>0</v>
      </c>
      <c r="I152" s="82">
        <f t="shared" ref="I152:I215" ca="1" si="17">H152+I151</f>
        <v>74</v>
      </c>
      <c r="J152" s="83">
        <f t="shared" ca="1" si="15"/>
        <v>0.56488549618320616</v>
      </c>
      <c r="N152" s="60">
        <v>131</v>
      </c>
      <c r="O152" s="82">
        <f ca="1">IF(AND(N152&lt;=U$22,RAND()&lt;=$H$7),1,0)</f>
        <v>1</v>
      </c>
      <c r="P152" s="82">
        <f t="shared" ref="P152:P215" ca="1" si="18">IF(AND(O151=1,O152=1),P151+1,0)</f>
        <v>2</v>
      </c>
      <c r="Q152" s="84">
        <f t="shared" ref="Q152:Q215" ca="1" si="19">IF(P152&gt;1,1+(P152-1)*0.1,1)</f>
        <v>1.1000000000000001</v>
      </c>
      <c r="R152" s="82">
        <f t="shared" ca="1" si="16"/>
        <v>4.4000000000000004</v>
      </c>
      <c r="S152" s="82">
        <f ca="1">SUM(R$22:$R152)</f>
        <v>419.2</v>
      </c>
      <c r="W152" s="60">
        <v>131</v>
      </c>
      <c r="X152" s="82">
        <f ca="1"/>
        <v>2832.8000000000065</v>
      </c>
    </row>
    <row r="153" spans="7:24" x14ac:dyDescent="0.2">
      <c r="G153" s="60">
        <v>132</v>
      </c>
      <c r="H153" s="82">
        <f ca="1"/>
        <v>1</v>
      </c>
      <c r="I153" s="82">
        <f t="shared" ca="1" si="17"/>
        <v>75</v>
      </c>
      <c r="J153" s="83">
        <f t="shared" ca="1" si="15"/>
        <v>0.56818181818181823</v>
      </c>
      <c r="N153" s="60">
        <v>132</v>
      </c>
      <c r="O153" s="82">
        <f ca="1">IF(AND(N153&lt;=U$22,RAND()&lt;=$H$7),1,0)</f>
        <v>1</v>
      </c>
      <c r="P153" s="82">
        <f t="shared" ca="1" si="18"/>
        <v>3</v>
      </c>
      <c r="Q153" s="84">
        <f t="shared" ca="1" si="19"/>
        <v>1.2</v>
      </c>
      <c r="R153" s="82">
        <f t="shared" ca="1" si="16"/>
        <v>4.8</v>
      </c>
      <c r="S153" s="82">
        <f ca="1">SUM(R$22:$R153)</f>
        <v>424</v>
      </c>
      <c r="W153" s="60">
        <v>132</v>
      </c>
      <c r="X153" s="82">
        <f ca="1"/>
        <v>2755.2000000000062</v>
      </c>
    </row>
    <row r="154" spans="7:24" x14ac:dyDescent="0.2">
      <c r="G154" s="60">
        <v>133</v>
      </c>
      <c r="H154" s="82">
        <f ca="1"/>
        <v>1</v>
      </c>
      <c r="I154" s="82">
        <f t="shared" ca="1" si="17"/>
        <v>76</v>
      </c>
      <c r="J154" s="83">
        <f t="shared" ca="1" si="15"/>
        <v>0.5714285714285714</v>
      </c>
      <c r="N154" s="60">
        <v>133</v>
      </c>
      <c r="O154" s="82">
        <f ca="1">IF(AND(N154&lt;=U$22,RAND()&lt;=$H$7),1,0)</f>
        <v>1</v>
      </c>
      <c r="P154" s="82">
        <f t="shared" ca="1" si="18"/>
        <v>4</v>
      </c>
      <c r="Q154" s="84">
        <f t="shared" ca="1" si="19"/>
        <v>1.3</v>
      </c>
      <c r="R154" s="82">
        <f t="shared" ca="1" si="16"/>
        <v>5.2</v>
      </c>
      <c r="S154" s="82">
        <f ca="1">SUM(R$22:$R154)</f>
        <v>429.2</v>
      </c>
      <c r="W154" s="60">
        <v>133</v>
      </c>
      <c r="X154" s="82">
        <f ca="1"/>
        <v>2900.0000000000077</v>
      </c>
    </row>
    <row r="155" spans="7:24" x14ac:dyDescent="0.2">
      <c r="G155" s="60">
        <v>134</v>
      </c>
      <c r="H155" s="82">
        <f ca="1"/>
        <v>1</v>
      </c>
      <c r="I155" s="82">
        <f t="shared" ca="1" si="17"/>
        <v>77</v>
      </c>
      <c r="J155" s="83">
        <f t="shared" ca="1" si="15"/>
        <v>0.57462686567164178</v>
      </c>
      <c r="N155" s="60">
        <v>134</v>
      </c>
      <c r="O155" s="82">
        <f ca="1">IF(AND(N155&lt;=U$22,RAND()&lt;=$H$7),1,0)</f>
        <v>1</v>
      </c>
      <c r="P155" s="82">
        <f t="shared" ca="1" si="18"/>
        <v>5</v>
      </c>
      <c r="Q155" s="84">
        <f t="shared" ca="1" si="19"/>
        <v>1.4</v>
      </c>
      <c r="R155" s="82">
        <f t="shared" ca="1" si="16"/>
        <v>5.6</v>
      </c>
      <c r="S155" s="82">
        <f ca="1">SUM(R$22:$R155)</f>
        <v>434.8</v>
      </c>
      <c r="W155" s="60">
        <v>134</v>
      </c>
      <c r="X155" s="82">
        <f ca="1"/>
        <v>2915.6000000000085</v>
      </c>
    </row>
    <row r="156" spans="7:24" x14ac:dyDescent="0.2">
      <c r="G156" s="60">
        <v>135</v>
      </c>
      <c r="H156" s="82">
        <f ca="1"/>
        <v>1</v>
      </c>
      <c r="I156" s="82">
        <f t="shared" ca="1" si="17"/>
        <v>78</v>
      </c>
      <c r="J156" s="83">
        <f t="shared" ca="1" si="15"/>
        <v>0.57777777777777772</v>
      </c>
      <c r="N156" s="60">
        <v>135</v>
      </c>
      <c r="O156" s="82">
        <f ca="1">IF(AND(N156&lt;=U$22,RAND()&lt;=$H$7),1,0)</f>
        <v>1</v>
      </c>
      <c r="P156" s="82">
        <f t="shared" ca="1" si="18"/>
        <v>6</v>
      </c>
      <c r="Q156" s="84">
        <f t="shared" ca="1" si="19"/>
        <v>1.5</v>
      </c>
      <c r="R156" s="82">
        <f t="shared" ca="1" si="16"/>
        <v>6</v>
      </c>
      <c r="S156" s="82">
        <f ca="1">SUM(R$22:$R156)</f>
        <v>440.8</v>
      </c>
      <c r="W156" s="60">
        <v>135</v>
      </c>
      <c r="X156" s="82">
        <f ca="1"/>
        <v>2830.4000000000065</v>
      </c>
    </row>
    <row r="157" spans="7:24" x14ac:dyDescent="0.2">
      <c r="G157" s="60">
        <v>136</v>
      </c>
      <c r="H157" s="82">
        <f ca="1"/>
        <v>1</v>
      </c>
      <c r="I157" s="82">
        <f t="shared" ca="1" si="17"/>
        <v>79</v>
      </c>
      <c r="J157" s="83">
        <f t="shared" ca="1" si="15"/>
        <v>0.58088235294117652</v>
      </c>
      <c r="N157" s="60">
        <v>136</v>
      </c>
      <c r="O157" s="82">
        <f ca="1">IF(AND(N157&lt;=U$22,RAND()&lt;=$H$7),1,0)</f>
        <v>1</v>
      </c>
      <c r="P157" s="82">
        <f t="shared" ca="1" si="18"/>
        <v>7</v>
      </c>
      <c r="Q157" s="84">
        <f t="shared" ca="1" si="19"/>
        <v>1.6</v>
      </c>
      <c r="R157" s="82">
        <f t="shared" ca="1" si="16"/>
        <v>6.4</v>
      </c>
      <c r="S157" s="82">
        <f ca="1">SUM(R$22:$R157)</f>
        <v>447.2</v>
      </c>
      <c r="W157" s="60">
        <v>136</v>
      </c>
      <c r="X157" s="82">
        <f ca="1"/>
        <v>2716.0000000000059</v>
      </c>
    </row>
    <row r="158" spans="7:24" x14ac:dyDescent="0.2">
      <c r="G158" s="60">
        <v>137</v>
      </c>
      <c r="H158" s="82">
        <f ca="1"/>
        <v>0</v>
      </c>
      <c r="I158" s="82">
        <f t="shared" ca="1" si="17"/>
        <v>79</v>
      </c>
      <c r="J158" s="83">
        <f t="shared" ca="1" si="15"/>
        <v>0.57664233576642332</v>
      </c>
      <c r="N158" s="60">
        <v>137</v>
      </c>
      <c r="O158" s="82">
        <f ca="1">IF(AND(N158&lt;=U$22,RAND()&lt;=$H$7),1,0)</f>
        <v>0</v>
      </c>
      <c r="P158" s="82">
        <f t="shared" ca="1" si="18"/>
        <v>0</v>
      </c>
      <c r="Q158" s="84">
        <f t="shared" ca="1" si="19"/>
        <v>1</v>
      </c>
      <c r="R158" s="82">
        <f t="shared" ca="1" si="16"/>
        <v>0</v>
      </c>
      <c r="S158" s="82">
        <f ca="1">SUM(R$22:$R158)</f>
        <v>447.2</v>
      </c>
      <c r="W158" s="60">
        <v>137</v>
      </c>
      <c r="X158" s="82">
        <f ca="1"/>
        <v>2738.8000000000061</v>
      </c>
    </row>
    <row r="159" spans="7:24" x14ac:dyDescent="0.2">
      <c r="G159" s="60">
        <v>138</v>
      </c>
      <c r="H159" s="82">
        <f ca="1"/>
        <v>1</v>
      </c>
      <c r="I159" s="82">
        <f t="shared" ca="1" si="17"/>
        <v>80</v>
      </c>
      <c r="J159" s="83">
        <f t="shared" ca="1" si="15"/>
        <v>0.57971014492753625</v>
      </c>
      <c r="N159" s="60">
        <v>138</v>
      </c>
      <c r="O159" s="82">
        <f ca="1">IF(AND(N159&lt;=U$22,RAND()&lt;=$H$7),1,0)</f>
        <v>0</v>
      </c>
      <c r="P159" s="82">
        <f t="shared" ca="1" si="18"/>
        <v>0</v>
      </c>
      <c r="Q159" s="84">
        <f t="shared" ca="1" si="19"/>
        <v>1</v>
      </c>
      <c r="R159" s="82">
        <f t="shared" ca="1" si="16"/>
        <v>0</v>
      </c>
      <c r="S159" s="82">
        <f ca="1">SUM(R$22:$R159)</f>
        <v>447.2</v>
      </c>
      <c r="W159" s="60">
        <v>138</v>
      </c>
      <c r="X159" s="82">
        <f ca="1"/>
        <v>2841.6000000000099</v>
      </c>
    </row>
    <row r="160" spans="7:24" x14ac:dyDescent="0.2">
      <c r="G160" s="60">
        <v>139</v>
      </c>
      <c r="H160" s="82">
        <f ca="1"/>
        <v>0</v>
      </c>
      <c r="I160" s="82">
        <f t="shared" ca="1" si="17"/>
        <v>80</v>
      </c>
      <c r="J160" s="83">
        <f t="shared" ca="1" si="15"/>
        <v>0.57553956834532372</v>
      </c>
      <c r="N160" s="60">
        <v>139</v>
      </c>
      <c r="O160" s="82">
        <f ca="1">IF(AND(N160&lt;=U$22,RAND()&lt;=$H$7),1,0)</f>
        <v>1</v>
      </c>
      <c r="P160" s="82">
        <f t="shared" ca="1" si="18"/>
        <v>0</v>
      </c>
      <c r="Q160" s="84">
        <f t="shared" ca="1" si="19"/>
        <v>1</v>
      </c>
      <c r="R160" s="82">
        <f t="shared" ca="1" si="16"/>
        <v>4</v>
      </c>
      <c r="S160" s="82">
        <f ca="1">SUM(R$22:$R160)</f>
        <v>451.2</v>
      </c>
      <c r="W160" s="60">
        <v>139</v>
      </c>
      <c r="X160" s="82">
        <f ca="1"/>
        <v>2596.800000000007</v>
      </c>
    </row>
    <row r="161" spans="7:24" x14ac:dyDescent="0.2">
      <c r="G161" s="60">
        <v>140</v>
      </c>
      <c r="H161" s="82">
        <f ca="1"/>
        <v>0</v>
      </c>
      <c r="I161" s="82">
        <f t="shared" ca="1" si="17"/>
        <v>80</v>
      </c>
      <c r="J161" s="83">
        <f t="shared" ca="1" si="15"/>
        <v>0.5714285714285714</v>
      </c>
      <c r="N161" s="60">
        <v>140</v>
      </c>
      <c r="O161" s="82">
        <f ca="1">IF(AND(N161&lt;=U$22,RAND()&lt;=$H$7),1,0)</f>
        <v>1</v>
      </c>
      <c r="P161" s="82">
        <f t="shared" ca="1" si="18"/>
        <v>1</v>
      </c>
      <c r="Q161" s="84">
        <f t="shared" ca="1" si="19"/>
        <v>1</v>
      </c>
      <c r="R161" s="82">
        <f t="shared" ca="1" si="16"/>
        <v>4</v>
      </c>
      <c r="S161" s="82">
        <f ca="1">SUM(R$22:$R161)</f>
        <v>455.2</v>
      </c>
      <c r="W161" s="60">
        <v>140</v>
      </c>
      <c r="X161" s="82">
        <f ca="1"/>
        <v>2698.4000000000055</v>
      </c>
    </row>
    <row r="162" spans="7:24" x14ac:dyDescent="0.2">
      <c r="G162" s="60">
        <v>141</v>
      </c>
      <c r="H162" s="82">
        <f ca="1"/>
        <v>0</v>
      </c>
      <c r="I162" s="82">
        <f t="shared" ca="1" si="17"/>
        <v>80</v>
      </c>
      <c r="J162" s="83">
        <f t="shared" ca="1" si="15"/>
        <v>0.56737588652482274</v>
      </c>
      <c r="N162" s="60">
        <v>141</v>
      </c>
      <c r="O162" s="82">
        <f ca="1">IF(AND(N162&lt;=U$22,RAND()&lt;=$H$7),1,0)</f>
        <v>0</v>
      </c>
      <c r="P162" s="82">
        <f t="shared" ca="1" si="18"/>
        <v>0</v>
      </c>
      <c r="Q162" s="84">
        <f t="shared" ca="1" si="19"/>
        <v>1</v>
      </c>
      <c r="R162" s="82">
        <f t="shared" ca="1" si="16"/>
        <v>0</v>
      </c>
      <c r="S162" s="82">
        <f ca="1">SUM(R$22:$R162)</f>
        <v>455.2</v>
      </c>
      <c r="W162" s="60">
        <v>141</v>
      </c>
      <c r="X162" s="82">
        <f ca="1"/>
        <v>2683.6000000000072</v>
      </c>
    </row>
    <row r="163" spans="7:24" x14ac:dyDescent="0.2">
      <c r="G163" s="60">
        <v>142</v>
      </c>
      <c r="H163" s="82">
        <f ca="1"/>
        <v>0</v>
      </c>
      <c r="I163" s="82">
        <f t="shared" ca="1" si="17"/>
        <v>80</v>
      </c>
      <c r="J163" s="83">
        <f t="shared" ca="1" si="15"/>
        <v>0.56338028169014087</v>
      </c>
      <c r="N163" s="60">
        <v>142</v>
      </c>
      <c r="O163" s="82">
        <f ca="1">IF(AND(N163&lt;=U$22,RAND()&lt;=$H$7),1,0)</f>
        <v>0</v>
      </c>
      <c r="P163" s="82">
        <f t="shared" ca="1" si="18"/>
        <v>0</v>
      </c>
      <c r="Q163" s="84">
        <f t="shared" ca="1" si="19"/>
        <v>1</v>
      </c>
      <c r="R163" s="82">
        <f t="shared" ca="1" si="16"/>
        <v>0</v>
      </c>
      <c r="S163" s="82">
        <f ca="1">SUM(R$22:$R163)</f>
        <v>455.2</v>
      </c>
      <c r="W163" s="60">
        <v>142</v>
      </c>
      <c r="X163" s="82">
        <f ca="1"/>
        <v>2734.8000000000061</v>
      </c>
    </row>
    <row r="164" spans="7:24" x14ac:dyDescent="0.2">
      <c r="G164" s="60">
        <v>143</v>
      </c>
      <c r="H164" s="82">
        <f ca="1"/>
        <v>0</v>
      </c>
      <c r="I164" s="82">
        <f t="shared" ca="1" si="17"/>
        <v>80</v>
      </c>
      <c r="J164" s="83">
        <f t="shared" ca="1" si="15"/>
        <v>0.55944055944055948</v>
      </c>
      <c r="N164" s="60">
        <v>143</v>
      </c>
      <c r="O164" s="82">
        <f ca="1">IF(AND(N164&lt;=U$22,RAND()&lt;=$H$7),1,0)</f>
        <v>1</v>
      </c>
      <c r="P164" s="82">
        <f t="shared" ca="1" si="18"/>
        <v>0</v>
      </c>
      <c r="Q164" s="84">
        <f t="shared" ca="1" si="19"/>
        <v>1</v>
      </c>
      <c r="R164" s="82">
        <f t="shared" ca="1" si="16"/>
        <v>4</v>
      </c>
      <c r="S164" s="82">
        <f ca="1">SUM(R$22:$R164)</f>
        <v>459.2</v>
      </c>
      <c r="W164" s="60">
        <v>143</v>
      </c>
      <c r="X164" s="82">
        <f ca="1"/>
        <v>2894.0000000000077</v>
      </c>
    </row>
    <row r="165" spans="7:24" x14ac:dyDescent="0.2">
      <c r="G165" s="60">
        <v>144</v>
      </c>
      <c r="H165" s="82">
        <f ca="1"/>
        <v>1</v>
      </c>
      <c r="I165" s="82">
        <f t="shared" ca="1" si="17"/>
        <v>81</v>
      </c>
      <c r="J165" s="83">
        <f t="shared" ca="1" si="15"/>
        <v>0.5625</v>
      </c>
      <c r="N165" s="60">
        <v>144</v>
      </c>
      <c r="O165" s="82">
        <f ca="1">IF(AND(N165&lt;=U$22,RAND()&lt;=$H$7),1,0)</f>
        <v>1</v>
      </c>
      <c r="P165" s="82">
        <f t="shared" ca="1" si="18"/>
        <v>1</v>
      </c>
      <c r="Q165" s="84">
        <f t="shared" ca="1" si="19"/>
        <v>1</v>
      </c>
      <c r="R165" s="82">
        <f t="shared" ca="1" si="16"/>
        <v>4</v>
      </c>
      <c r="S165" s="82">
        <f ca="1">SUM(R$22:$R165)</f>
        <v>463.2</v>
      </c>
      <c r="W165" s="60">
        <v>144</v>
      </c>
      <c r="X165" s="82">
        <f ca="1"/>
        <v>2782.4000000000065</v>
      </c>
    </row>
    <row r="166" spans="7:24" x14ac:dyDescent="0.2">
      <c r="G166" s="60">
        <v>145</v>
      </c>
      <c r="H166" s="82">
        <f ca="1"/>
        <v>1</v>
      </c>
      <c r="I166" s="82">
        <f t="shared" ca="1" si="17"/>
        <v>82</v>
      </c>
      <c r="J166" s="83">
        <f t="shared" ca="1" si="15"/>
        <v>0.56551724137931036</v>
      </c>
      <c r="N166" s="60">
        <v>145</v>
      </c>
      <c r="O166" s="82">
        <f ca="1">IF(AND(N166&lt;=U$22,RAND()&lt;=$H$7),1,0)</f>
        <v>0</v>
      </c>
      <c r="P166" s="82">
        <f t="shared" ca="1" si="18"/>
        <v>0</v>
      </c>
      <c r="Q166" s="84">
        <f t="shared" ca="1" si="19"/>
        <v>1</v>
      </c>
      <c r="R166" s="82">
        <f t="shared" ca="1" si="16"/>
        <v>0</v>
      </c>
      <c r="S166" s="82">
        <f ca="1">SUM(R$22:$R166)</f>
        <v>463.2</v>
      </c>
      <c r="W166" s="60">
        <v>145</v>
      </c>
      <c r="X166" s="82">
        <f ca="1"/>
        <v>2683.6000000000072</v>
      </c>
    </row>
    <row r="167" spans="7:24" x14ac:dyDescent="0.2">
      <c r="G167" s="60">
        <v>146</v>
      </c>
      <c r="H167" s="82">
        <f ca="1"/>
        <v>1</v>
      </c>
      <c r="I167" s="82">
        <f t="shared" ca="1" si="17"/>
        <v>83</v>
      </c>
      <c r="J167" s="83">
        <f t="shared" ca="1" si="15"/>
        <v>0.56849315068493156</v>
      </c>
      <c r="N167" s="60">
        <v>146</v>
      </c>
      <c r="O167" s="82">
        <f ca="1">IF(AND(N167&lt;=U$22,RAND()&lt;=$H$7),1,0)</f>
        <v>1</v>
      </c>
      <c r="P167" s="82">
        <f t="shared" ca="1" si="18"/>
        <v>0</v>
      </c>
      <c r="Q167" s="84">
        <f t="shared" ca="1" si="19"/>
        <v>1</v>
      </c>
      <c r="R167" s="82">
        <f t="shared" ca="1" si="16"/>
        <v>4</v>
      </c>
      <c r="S167" s="82">
        <f ca="1">SUM(R$22:$R167)</f>
        <v>467.2</v>
      </c>
      <c r="W167" s="60">
        <v>146</v>
      </c>
      <c r="X167" s="82">
        <f ca="1"/>
        <v>2825.2000000000071</v>
      </c>
    </row>
    <row r="168" spans="7:24" x14ac:dyDescent="0.2">
      <c r="G168" s="60">
        <v>147</v>
      </c>
      <c r="H168" s="82">
        <f ca="1"/>
        <v>1</v>
      </c>
      <c r="I168" s="82">
        <f t="shared" ca="1" si="17"/>
        <v>84</v>
      </c>
      <c r="J168" s="83">
        <f t="shared" ca="1" si="15"/>
        <v>0.5714285714285714</v>
      </c>
      <c r="N168" s="60">
        <v>147</v>
      </c>
      <c r="O168" s="82">
        <f ca="1">IF(AND(N168&lt;=U$22,RAND()&lt;=$H$7),1,0)</f>
        <v>1</v>
      </c>
      <c r="P168" s="82">
        <f t="shared" ca="1" si="18"/>
        <v>1</v>
      </c>
      <c r="Q168" s="84">
        <f t="shared" ca="1" si="19"/>
        <v>1</v>
      </c>
      <c r="R168" s="82">
        <f t="shared" ca="1" si="16"/>
        <v>4</v>
      </c>
      <c r="S168" s="82">
        <f ca="1">SUM(R$22:$R168)</f>
        <v>471.2</v>
      </c>
      <c r="W168" s="60">
        <v>147</v>
      </c>
      <c r="X168" s="82">
        <f ca="1"/>
        <v>2738.8000000000065</v>
      </c>
    </row>
    <row r="169" spans="7:24" x14ac:dyDescent="0.2">
      <c r="G169" s="60">
        <v>148</v>
      </c>
      <c r="H169" s="82">
        <f ca="1"/>
        <v>0</v>
      </c>
      <c r="I169" s="82">
        <f t="shared" ca="1" si="17"/>
        <v>84</v>
      </c>
      <c r="J169" s="83">
        <f t="shared" ca="1" si="15"/>
        <v>0.56756756756756754</v>
      </c>
      <c r="N169" s="60">
        <v>148</v>
      </c>
      <c r="O169" s="82">
        <f ca="1">IF(AND(N169&lt;=U$22,RAND()&lt;=$H$7),1,0)</f>
        <v>1</v>
      </c>
      <c r="P169" s="82">
        <f t="shared" ca="1" si="18"/>
        <v>2</v>
      </c>
      <c r="Q169" s="84">
        <f t="shared" ca="1" si="19"/>
        <v>1.1000000000000001</v>
      </c>
      <c r="R169" s="82">
        <f t="shared" ca="1" si="16"/>
        <v>4.4000000000000004</v>
      </c>
      <c r="S169" s="82">
        <f ca="1">SUM(R$22:$R169)</f>
        <v>475.59999999999997</v>
      </c>
      <c r="W169" s="60">
        <v>148</v>
      </c>
      <c r="X169" s="82">
        <f ca="1"/>
        <v>2936.4000000000087</v>
      </c>
    </row>
    <row r="170" spans="7:24" x14ac:dyDescent="0.2">
      <c r="G170" s="60">
        <v>149</v>
      </c>
      <c r="H170" s="82">
        <f ca="1"/>
        <v>1</v>
      </c>
      <c r="I170" s="82">
        <f t="shared" ca="1" si="17"/>
        <v>85</v>
      </c>
      <c r="J170" s="83">
        <f t="shared" ca="1" si="15"/>
        <v>0.57046979865771807</v>
      </c>
      <c r="N170" s="60">
        <v>149</v>
      </c>
      <c r="O170" s="82">
        <f ca="1">IF(AND(N170&lt;=U$22,RAND()&lt;=$H$7),1,0)</f>
        <v>0</v>
      </c>
      <c r="P170" s="82">
        <f t="shared" ca="1" si="18"/>
        <v>0</v>
      </c>
      <c r="Q170" s="84">
        <f t="shared" ca="1" si="19"/>
        <v>1</v>
      </c>
      <c r="R170" s="82">
        <f t="shared" ca="1" si="16"/>
        <v>0</v>
      </c>
      <c r="S170" s="82">
        <f ca="1">SUM(R$22:$R170)</f>
        <v>475.59999999999997</v>
      </c>
      <c r="W170" s="60">
        <v>149</v>
      </c>
      <c r="X170" s="82">
        <f ca="1"/>
        <v>2736.4000000000078</v>
      </c>
    </row>
    <row r="171" spans="7:24" x14ac:dyDescent="0.2">
      <c r="G171" s="60">
        <v>150</v>
      </c>
      <c r="H171" s="82">
        <f ca="1"/>
        <v>1</v>
      </c>
      <c r="I171" s="82">
        <f t="shared" ca="1" si="17"/>
        <v>86</v>
      </c>
      <c r="J171" s="83">
        <f t="shared" ca="1" si="15"/>
        <v>0.57333333333333336</v>
      </c>
      <c r="N171" s="60">
        <v>150</v>
      </c>
      <c r="O171" s="82">
        <f ca="1">IF(AND(N171&lt;=U$22,RAND()&lt;=$H$7),1,0)</f>
        <v>1</v>
      </c>
      <c r="P171" s="82">
        <f t="shared" ca="1" si="18"/>
        <v>0</v>
      </c>
      <c r="Q171" s="84">
        <f t="shared" ca="1" si="19"/>
        <v>1</v>
      </c>
      <c r="R171" s="82">
        <f t="shared" ca="1" si="16"/>
        <v>4</v>
      </c>
      <c r="S171" s="82">
        <f ca="1">SUM(R$22:$R171)</f>
        <v>479.59999999999997</v>
      </c>
      <c r="W171" s="60">
        <v>150</v>
      </c>
      <c r="X171" s="82">
        <f ca="1"/>
        <v>2713.6000000000067</v>
      </c>
    </row>
    <row r="172" spans="7:24" x14ac:dyDescent="0.2">
      <c r="G172" s="60">
        <v>151</v>
      </c>
      <c r="H172" s="82">
        <f ca="1"/>
        <v>1</v>
      </c>
      <c r="I172" s="82">
        <f t="shared" ca="1" si="17"/>
        <v>87</v>
      </c>
      <c r="J172" s="83">
        <f t="shared" ca="1" si="15"/>
        <v>0.57615894039735094</v>
      </c>
      <c r="N172" s="60">
        <v>151</v>
      </c>
      <c r="O172" s="82">
        <f ca="1">IF(AND(N172&lt;=U$22,RAND()&lt;=$H$7),1,0)</f>
        <v>1</v>
      </c>
      <c r="P172" s="82">
        <f t="shared" ca="1" si="18"/>
        <v>1</v>
      </c>
      <c r="Q172" s="84">
        <f t="shared" ca="1" si="19"/>
        <v>1</v>
      </c>
      <c r="R172" s="82">
        <f t="shared" ca="1" si="16"/>
        <v>4</v>
      </c>
      <c r="S172" s="82">
        <f ca="1">SUM(R$22:$R172)</f>
        <v>483.59999999999997</v>
      </c>
      <c r="W172" s="60">
        <v>151</v>
      </c>
      <c r="X172" s="82">
        <f ca="1"/>
        <v>2642.800000000007</v>
      </c>
    </row>
    <row r="173" spans="7:24" x14ac:dyDescent="0.2">
      <c r="G173" s="60">
        <v>152</v>
      </c>
      <c r="H173" s="82">
        <f ca="1"/>
        <v>0</v>
      </c>
      <c r="I173" s="82">
        <f t="shared" ca="1" si="17"/>
        <v>87</v>
      </c>
      <c r="J173" s="83">
        <f t="shared" ca="1" si="15"/>
        <v>0.57236842105263153</v>
      </c>
      <c r="N173" s="60">
        <v>152</v>
      </c>
      <c r="O173" s="82">
        <f ca="1">IF(AND(N173&lt;=U$22,RAND()&lt;=$H$7),1,0)</f>
        <v>0</v>
      </c>
      <c r="P173" s="82">
        <f t="shared" ca="1" si="18"/>
        <v>0</v>
      </c>
      <c r="Q173" s="84">
        <f t="shared" ca="1" si="19"/>
        <v>1</v>
      </c>
      <c r="R173" s="82">
        <f t="shared" ca="1" si="16"/>
        <v>0</v>
      </c>
      <c r="S173" s="82">
        <f ca="1">SUM(R$22:$R173)</f>
        <v>483.59999999999997</v>
      </c>
      <c r="W173" s="60">
        <v>152</v>
      </c>
      <c r="X173" s="82">
        <f ca="1"/>
        <v>2711.2000000000085</v>
      </c>
    </row>
    <row r="174" spans="7:24" x14ac:dyDescent="0.2">
      <c r="G174" s="60">
        <v>153</v>
      </c>
      <c r="H174" s="82">
        <f ca="1"/>
        <v>1</v>
      </c>
      <c r="I174" s="82">
        <f t="shared" ca="1" si="17"/>
        <v>88</v>
      </c>
      <c r="J174" s="83">
        <f t="shared" ca="1" si="15"/>
        <v>0.57516339869281041</v>
      </c>
      <c r="N174" s="60">
        <v>153</v>
      </c>
      <c r="O174" s="82">
        <f ca="1">IF(AND(N174&lt;=U$22,RAND()&lt;=$H$7),1,0)</f>
        <v>0</v>
      </c>
      <c r="P174" s="82">
        <f t="shared" ca="1" si="18"/>
        <v>0</v>
      </c>
      <c r="Q174" s="84">
        <f t="shared" ca="1" si="19"/>
        <v>1</v>
      </c>
      <c r="R174" s="82">
        <f t="shared" ca="1" si="16"/>
        <v>0</v>
      </c>
      <c r="S174" s="82">
        <f ca="1">SUM(R$22:$R174)</f>
        <v>483.59999999999997</v>
      </c>
      <c r="W174" s="60">
        <v>153</v>
      </c>
      <c r="X174" s="82">
        <f ca="1"/>
        <v>2732.8000000000061</v>
      </c>
    </row>
    <row r="175" spans="7:24" x14ac:dyDescent="0.2">
      <c r="G175" s="60">
        <v>154</v>
      </c>
      <c r="H175" s="82">
        <f ca="1"/>
        <v>1</v>
      </c>
      <c r="I175" s="82">
        <f t="shared" ca="1" si="17"/>
        <v>89</v>
      </c>
      <c r="J175" s="83">
        <f t="shared" ca="1" si="15"/>
        <v>0.57792207792207795</v>
      </c>
      <c r="N175" s="60">
        <v>154</v>
      </c>
      <c r="O175" s="82">
        <f ca="1">IF(AND(N175&lt;=U$22,RAND()&lt;=$H$7),1,0)</f>
        <v>0</v>
      </c>
      <c r="P175" s="82">
        <f t="shared" ca="1" si="18"/>
        <v>0</v>
      </c>
      <c r="Q175" s="84">
        <f t="shared" ca="1" si="19"/>
        <v>1</v>
      </c>
      <c r="R175" s="82">
        <f t="shared" ca="1" si="16"/>
        <v>0</v>
      </c>
      <c r="S175" s="82">
        <f ca="1">SUM(R$22:$R175)</f>
        <v>483.59999999999997</v>
      </c>
      <c r="W175" s="60">
        <v>154</v>
      </c>
      <c r="X175" s="82">
        <f ca="1"/>
        <v>2696.0000000000086</v>
      </c>
    </row>
    <row r="176" spans="7:24" x14ac:dyDescent="0.2">
      <c r="G176" s="60">
        <v>155</v>
      </c>
      <c r="H176" s="82">
        <f ca="1"/>
        <v>0</v>
      </c>
      <c r="I176" s="82">
        <f t="shared" ca="1" si="17"/>
        <v>89</v>
      </c>
      <c r="J176" s="83">
        <f t="shared" ca="1" si="15"/>
        <v>0.5741935483870968</v>
      </c>
      <c r="N176" s="60">
        <v>155</v>
      </c>
      <c r="O176" s="82">
        <f ca="1">IF(AND(N176&lt;=U$22,RAND()&lt;=$H$7),1,0)</f>
        <v>1</v>
      </c>
      <c r="P176" s="82">
        <f t="shared" ca="1" si="18"/>
        <v>0</v>
      </c>
      <c r="Q176" s="84">
        <f t="shared" ca="1" si="19"/>
        <v>1</v>
      </c>
      <c r="R176" s="82">
        <f t="shared" ca="1" si="16"/>
        <v>4</v>
      </c>
      <c r="S176" s="82">
        <f ca="1">SUM(R$22:$R176)</f>
        <v>487.59999999999997</v>
      </c>
      <c r="W176" s="60">
        <v>155</v>
      </c>
      <c r="X176" s="82">
        <f ca="1"/>
        <v>2701.2000000000071</v>
      </c>
    </row>
    <row r="177" spans="7:24" x14ac:dyDescent="0.2">
      <c r="G177" s="60">
        <v>156</v>
      </c>
      <c r="H177" s="82">
        <f ca="1"/>
        <v>1</v>
      </c>
      <c r="I177" s="82">
        <f t="shared" ca="1" si="17"/>
        <v>90</v>
      </c>
      <c r="J177" s="83">
        <f t="shared" ca="1" si="15"/>
        <v>0.57692307692307687</v>
      </c>
      <c r="N177" s="60">
        <v>156</v>
      </c>
      <c r="O177" s="82">
        <f ca="1">IF(AND(N177&lt;=U$22,RAND()&lt;=$H$7),1,0)</f>
        <v>1</v>
      </c>
      <c r="P177" s="82">
        <f t="shared" ca="1" si="18"/>
        <v>1</v>
      </c>
      <c r="Q177" s="84">
        <f t="shared" ca="1" si="19"/>
        <v>1</v>
      </c>
      <c r="R177" s="82">
        <f t="shared" ca="1" si="16"/>
        <v>4</v>
      </c>
      <c r="S177" s="82">
        <f ca="1">SUM(R$22:$R177)</f>
        <v>491.59999999999997</v>
      </c>
      <c r="W177" s="60">
        <v>156</v>
      </c>
      <c r="X177" s="82">
        <f ca="1"/>
        <v>2670.0000000000068</v>
      </c>
    </row>
    <row r="178" spans="7:24" x14ac:dyDescent="0.2">
      <c r="G178" s="60">
        <v>157</v>
      </c>
      <c r="H178" s="82">
        <f ca="1"/>
        <v>0</v>
      </c>
      <c r="I178" s="82">
        <f t="shared" ca="1" si="17"/>
        <v>90</v>
      </c>
      <c r="J178" s="83">
        <f t="shared" ca="1" si="15"/>
        <v>0.57324840764331209</v>
      </c>
      <c r="N178" s="60">
        <v>157</v>
      </c>
      <c r="O178" s="82">
        <f ca="1">IF(AND(N178&lt;=U$22,RAND()&lt;=$H$7),1,0)</f>
        <v>0</v>
      </c>
      <c r="P178" s="82">
        <f t="shared" ca="1" si="18"/>
        <v>0</v>
      </c>
      <c r="Q178" s="84">
        <f t="shared" ca="1" si="19"/>
        <v>1</v>
      </c>
      <c r="R178" s="82">
        <f t="shared" ca="1" si="16"/>
        <v>0</v>
      </c>
      <c r="S178" s="82">
        <f ca="1">SUM(R$22:$R178)</f>
        <v>491.59999999999997</v>
      </c>
      <c r="W178" s="60">
        <v>157</v>
      </c>
      <c r="X178" s="82">
        <f ca="1"/>
        <v>2851.6000000000072</v>
      </c>
    </row>
    <row r="179" spans="7:24" x14ac:dyDescent="0.2">
      <c r="G179" s="60">
        <v>158</v>
      </c>
      <c r="H179" s="82">
        <f ca="1"/>
        <v>0</v>
      </c>
      <c r="I179" s="82">
        <f t="shared" ca="1" si="17"/>
        <v>90</v>
      </c>
      <c r="J179" s="83">
        <f t="shared" ca="1" si="15"/>
        <v>0.569620253164557</v>
      </c>
      <c r="N179" s="60">
        <v>158</v>
      </c>
      <c r="O179" s="82">
        <f ca="1">IF(AND(N179&lt;=U$22,RAND()&lt;=$H$7),1,0)</f>
        <v>1</v>
      </c>
      <c r="P179" s="82">
        <f t="shared" ca="1" si="18"/>
        <v>0</v>
      </c>
      <c r="Q179" s="84">
        <f t="shared" ca="1" si="19"/>
        <v>1</v>
      </c>
      <c r="R179" s="82">
        <f t="shared" ca="1" si="16"/>
        <v>4</v>
      </c>
      <c r="S179" s="82">
        <f ca="1">SUM(R$22:$R179)</f>
        <v>495.59999999999997</v>
      </c>
      <c r="W179" s="60">
        <v>158</v>
      </c>
      <c r="X179" s="82">
        <f ca="1"/>
        <v>2748.4000000000065</v>
      </c>
    </row>
    <row r="180" spans="7:24" x14ac:dyDescent="0.2">
      <c r="G180" s="60">
        <v>159</v>
      </c>
      <c r="H180" s="82">
        <f ca="1"/>
        <v>0</v>
      </c>
      <c r="I180" s="82">
        <f t="shared" ca="1" si="17"/>
        <v>90</v>
      </c>
      <c r="J180" s="83">
        <f t="shared" ca="1" si="15"/>
        <v>0.56603773584905659</v>
      </c>
      <c r="N180" s="60">
        <v>159</v>
      </c>
      <c r="O180" s="82">
        <f ca="1">IF(AND(N180&lt;=U$22,RAND()&lt;=$H$7),1,0)</f>
        <v>1</v>
      </c>
      <c r="P180" s="82">
        <f t="shared" ca="1" si="18"/>
        <v>1</v>
      </c>
      <c r="Q180" s="84">
        <f t="shared" ca="1" si="19"/>
        <v>1</v>
      </c>
      <c r="R180" s="82">
        <f t="shared" ca="1" si="16"/>
        <v>4</v>
      </c>
      <c r="S180" s="82">
        <f ca="1">SUM(R$22:$R180)</f>
        <v>499.59999999999997</v>
      </c>
      <c r="W180" s="60">
        <v>159</v>
      </c>
      <c r="X180" s="82">
        <f ca="1"/>
        <v>2796.4000000000065</v>
      </c>
    </row>
    <row r="181" spans="7:24" x14ac:dyDescent="0.2">
      <c r="G181" s="60">
        <v>160</v>
      </c>
      <c r="H181" s="82">
        <f ca="1"/>
        <v>1</v>
      </c>
      <c r="I181" s="82">
        <f t="shared" ca="1" si="17"/>
        <v>91</v>
      </c>
      <c r="J181" s="83">
        <f t="shared" ca="1" si="15"/>
        <v>0.56874999999999998</v>
      </c>
      <c r="N181" s="60">
        <v>160</v>
      </c>
      <c r="O181" s="82">
        <f ca="1">IF(AND(N181&lt;=U$22,RAND()&lt;=$H$7),1,0)</f>
        <v>1</v>
      </c>
      <c r="P181" s="82">
        <f t="shared" ca="1" si="18"/>
        <v>2</v>
      </c>
      <c r="Q181" s="84">
        <f t="shared" ca="1" si="19"/>
        <v>1.1000000000000001</v>
      </c>
      <c r="R181" s="82">
        <f t="shared" ca="1" si="16"/>
        <v>4.4000000000000004</v>
      </c>
      <c r="S181" s="82">
        <f ca="1">SUM(R$22:$R181)</f>
        <v>503.99999999999994</v>
      </c>
      <c r="W181" s="60">
        <v>160</v>
      </c>
      <c r="X181" s="82">
        <f ca="1"/>
        <v>2778.8000000000061</v>
      </c>
    </row>
    <row r="182" spans="7:24" x14ac:dyDescent="0.2">
      <c r="G182" s="60">
        <v>161</v>
      </c>
      <c r="H182" s="82">
        <f ca="1"/>
        <v>0</v>
      </c>
      <c r="I182" s="82">
        <f t="shared" ca="1" si="17"/>
        <v>91</v>
      </c>
      <c r="J182" s="83">
        <f t="shared" ca="1" si="15"/>
        <v>0.56521739130434778</v>
      </c>
      <c r="N182" s="60">
        <v>161</v>
      </c>
      <c r="O182" s="82">
        <f ca="1">IF(AND(N182&lt;=U$22,RAND()&lt;=$H$7),1,0)</f>
        <v>0</v>
      </c>
      <c r="P182" s="82">
        <f t="shared" ca="1" si="18"/>
        <v>0</v>
      </c>
      <c r="Q182" s="84">
        <f t="shared" ca="1" si="19"/>
        <v>1</v>
      </c>
      <c r="R182" s="82">
        <f t="shared" ca="1" si="16"/>
        <v>0</v>
      </c>
      <c r="S182" s="82">
        <f ca="1">SUM(R$22:$R182)</f>
        <v>503.99999999999994</v>
      </c>
      <c r="W182" s="60">
        <v>161</v>
      </c>
      <c r="X182" s="82">
        <f ca="1"/>
        <v>2690.0000000000077</v>
      </c>
    </row>
    <row r="183" spans="7:24" x14ac:dyDescent="0.2">
      <c r="G183" s="60">
        <v>162</v>
      </c>
      <c r="H183" s="82">
        <f ca="1"/>
        <v>1</v>
      </c>
      <c r="I183" s="82">
        <f t="shared" ca="1" si="17"/>
        <v>92</v>
      </c>
      <c r="J183" s="83">
        <f t="shared" ca="1" si="15"/>
        <v>0.5679012345679012</v>
      </c>
      <c r="N183" s="60">
        <v>162</v>
      </c>
      <c r="O183" s="82">
        <f ca="1">IF(AND(N183&lt;=U$22,RAND()&lt;=$H$7),1,0)</f>
        <v>1</v>
      </c>
      <c r="P183" s="82">
        <f t="shared" ca="1" si="18"/>
        <v>0</v>
      </c>
      <c r="Q183" s="84">
        <f t="shared" ca="1" si="19"/>
        <v>1</v>
      </c>
      <c r="R183" s="82">
        <f t="shared" ca="1" si="16"/>
        <v>4</v>
      </c>
      <c r="S183" s="82">
        <f ca="1">SUM(R$22:$R183)</f>
        <v>507.99999999999994</v>
      </c>
      <c r="W183" s="60">
        <v>162</v>
      </c>
      <c r="X183" s="82">
        <f ca="1"/>
        <v>2711.6000000000063</v>
      </c>
    </row>
    <row r="184" spans="7:24" x14ac:dyDescent="0.2">
      <c r="G184" s="60">
        <v>163</v>
      </c>
      <c r="H184" s="82">
        <f ca="1"/>
        <v>0</v>
      </c>
      <c r="I184" s="82">
        <f t="shared" ca="1" si="17"/>
        <v>92</v>
      </c>
      <c r="J184" s="83">
        <f t="shared" ca="1" si="15"/>
        <v>0.56441717791411039</v>
      </c>
      <c r="N184" s="60">
        <v>163</v>
      </c>
      <c r="O184" s="82">
        <f ca="1">IF(AND(N184&lt;=U$22,RAND()&lt;=$H$7),1,0)</f>
        <v>0</v>
      </c>
      <c r="P184" s="82">
        <f t="shared" ca="1" si="18"/>
        <v>0</v>
      </c>
      <c r="Q184" s="84">
        <f t="shared" ca="1" si="19"/>
        <v>1</v>
      </c>
      <c r="R184" s="82">
        <f t="shared" ca="1" si="16"/>
        <v>0</v>
      </c>
      <c r="S184" s="82">
        <f ca="1">SUM(R$22:$R184)</f>
        <v>507.99999999999994</v>
      </c>
      <c r="W184" s="60">
        <v>163</v>
      </c>
      <c r="X184" s="82">
        <f ca="1"/>
        <v>2881.600000000009</v>
      </c>
    </row>
    <row r="185" spans="7:24" x14ac:dyDescent="0.2">
      <c r="G185" s="60">
        <v>164</v>
      </c>
      <c r="H185" s="82">
        <f ca="1"/>
        <v>1</v>
      </c>
      <c r="I185" s="82">
        <f t="shared" ca="1" si="17"/>
        <v>93</v>
      </c>
      <c r="J185" s="83">
        <f t="shared" ca="1" si="15"/>
        <v>0.56707317073170727</v>
      </c>
      <c r="N185" s="60">
        <v>164</v>
      </c>
      <c r="O185" s="82">
        <f ca="1">IF(AND(N185&lt;=U$22,RAND()&lt;=$H$7),1,0)</f>
        <v>0</v>
      </c>
      <c r="P185" s="82">
        <f t="shared" ca="1" si="18"/>
        <v>0</v>
      </c>
      <c r="Q185" s="84">
        <f t="shared" ca="1" si="19"/>
        <v>1</v>
      </c>
      <c r="R185" s="82">
        <f t="shared" ca="1" si="16"/>
        <v>0</v>
      </c>
      <c r="S185" s="82">
        <f ca="1">SUM(R$22:$R185)</f>
        <v>507.99999999999994</v>
      </c>
      <c r="W185" s="60">
        <v>164</v>
      </c>
      <c r="X185" s="82">
        <f ca="1"/>
        <v>2675.6000000000063</v>
      </c>
    </row>
    <row r="186" spans="7:24" x14ac:dyDescent="0.2">
      <c r="G186" s="60">
        <v>165</v>
      </c>
      <c r="H186" s="82">
        <f ca="1"/>
        <v>0</v>
      </c>
      <c r="I186" s="82">
        <f t="shared" ca="1" si="17"/>
        <v>93</v>
      </c>
      <c r="J186" s="83">
        <f t="shared" ca="1" si="15"/>
        <v>0.5636363636363636</v>
      </c>
      <c r="N186" s="60">
        <v>165</v>
      </c>
      <c r="O186" s="82">
        <f ca="1">IF(AND(N186&lt;=U$22,RAND()&lt;=$H$7),1,0)</f>
        <v>0</v>
      </c>
      <c r="P186" s="82">
        <f t="shared" ca="1" si="18"/>
        <v>0</v>
      </c>
      <c r="Q186" s="84">
        <f t="shared" ca="1" si="19"/>
        <v>1</v>
      </c>
      <c r="R186" s="82">
        <f t="shared" ca="1" si="16"/>
        <v>0</v>
      </c>
      <c r="S186" s="82">
        <f ca="1">SUM(R$22:$R186)</f>
        <v>507.99999999999994</v>
      </c>
      <c r="W186" s="60">
        <v>165</v>
      </c>
      <c r="X186" s="82">
        <f ca="1"/>
        <v>2862.0000000000073</v>
      </c>
    </row>
    <row r="187" spans="7:24" x14ac:dyDescent="0.2">
      <c r="G187" s="60">
        <v>166</v>
      </c>
      <c r="H187" s="82">
        <f ca="1"/>
        <v>1</v>
      </c>
      <c r="I187" s="82">
        <f t="shared" ca="1" si="17"/>
        <v>94</v>
      </c>
      <c r="J187" s="83">
        <f t="shared" ca="1" si="15"/>
        <v>0.5662650602409639</v>
      </c>
      <c r="N187" s="60">
        <v>166</v>
      </c>
      <c r="O187" s="82">
        <f ca="1">IF(AND(N187&lt;=U$22,RAND()&lt;=$H$7),1,0)</f>
        <v>1</v>
      </c>
      <c r="P187" s="82">
        <f t="shared" ca="1" si="18"/>
        <v>0</v>
      </c>
      <c r="Q187" s="84">
        <f t="shared" ca="1" si="19"/>
        <v>1</v>
      </c>
      <c r="R187" s="82">
        <f t="shared" ca="1" si="16"/>
        <v>4</v>
      </c>
      <c r="S187" s="82">
        <f ca="1">SUM(R$22:$R187)</f>
        <v>511.99999999999994</v>
      </c>
      <c r="W187" s="60">
        <v>166</v>
      </c>
      <c r="X187" s="82">
        <f ca="1"/>
        <v>2680.0000000000077</v>
      </c>
    </row>
    <row r="188" spans="7:24" x14ac:dyDescent="0.2">
      <c r="G188" s="60">
        <v>167</v>
      </c>
      <c r="H188" s="82">
        <f ca="1"/>
        <v>1</v>
      </c>
      <c r="I188" s="82">
        <f t="shared" ca="1" si="17"/>
        <v>95</v>
      </c>
      <c r="J188" s="83">
        <f t="shared" ca="1" si="15"/>
        <v>0.56886227544910184</v>
      </c>
      <c r="N188" s="60">
        <v>167</v>
      </c>
      <c r="O188" s="82">
        <f ca="1">IF(AND(N188&lt;=U$22,RAND()&lt;=$H$7),1,0)</f>
        <v>0</v>
      </c>
      <c r="P188" s="82">
        <f t="shared" ca="1" si="18"/>
        <v>0</v>
      </c>
      <c r="Q188" s="84">
        <f t="shared" ca="1" si="19"/>
        <v>1</v>
      </c>
      <c r="R188" s="82">
        <f t="shared" ca="1" si="16"/>
        <v>0</v>
      </c>
      <c r="S188" s="82">
        <f ca="1">SUM(R$22:$R188)</f>
        <v>511.99999999999994</v>
      </c>
      <c r="W188" s="60">
        <v>167</v>
      </c>
      <c r="X188" s="82">
        <f ca="1"/>
        <v>2789.2000000000066</v>
      </c>
    </row>
    <row r="189" spans="7:24" x14ac:dyDescent="0.2">
      <c r="G189" s="60">
        <v>168</v>
      </c>
      <c r="H189" s="82">
        <f ca="1"/>
        <v>0</v>
      </c>
      <c r="I189" s="82">
        <f t="shared" ca="1" si="17"/>
        <v>95</v>
      </c>
      <c r="J189" s="83">
        <f t="shared" ca="1" si="15"/>
        <v>0.56547619047619047</v>
      </c>
      <c r="N189" s="60">
        <v>168</v>
      </c>
      <c r="O189" s="82">
        <f ca="1">IF(AND(N189&lt;=U$22,RAND()&lt;=$H$7),1,0)</f>
        <v>1</v>
      </c>
      <c r="P189" s="82">
        <f t="shared" ca="1" si="18"/>
        <v>0</v>
      </c>
      <c r="Q189" s="84">
        <f t="shared" ca="1" si="19"/>
        <v>1</v>
      </c>
      <c r="R189" s="82">
        <f t="shared" ca="1" si="16"/>
        <v>4</v>
      </c>
      <c r="S189" s="82">
        <f ca="1">SUM(R$22:$R189)</f>
        <v>516</v>
      </c>
      <c r="W189" s="60">
        <v>168</v>
      </c>
      <c r="X189" s="82">
        <f ca="1"/>
        <v>2856.4000000000087</v>
      </c>
    </row>
    <row r="190" spans="7:24" x14ac:dyDescent="0.2">
      <c r="G190" s="60">
        <v>169</v>
      </c>
      <c r="H190" s="82">
        <f ca="1"/>
        <v>1</v>
      </c>
      <c r="I190" s="82">
        <f t="shared" ca="1" si="17"/>
        <v>96</v>
      </c>
      <c r="J190" s="83">
        <f t="shared" ca="1" si="15"/>
        <v>0.56804733727810652</v>
      </c>
      <c r="N190" s="60">
        <v>169</v>
      </c>
      <c r="O190" s="82">
        <f ca="1">IF(AND(N190&lt;=U$22,RAND()&lt;=$H$7),1,0)</f>
        <v>1</v>
      </c>
      <c r="P190" s="82">
        <f t="shared" ca="1" si="18"/>
        <v>1</v>
      </c>
      <c r="Q190" s="84">
        <f t="shared" ca="1" si="19"/>
        <v>1</v>
      </c>
      <c r="R190" s="82">
        <f t="shared" ca="1" si="16"/>
        <v>4</v>
      </c>
      <c r="S190" s="82">
        <f ca="1">SUM(R$22:$R190)</f>
        <v>520</v>
      </c>
      <c r="W190" s="60">
        <v>169</v>
      </c>
      <c r="X190" s="82">
        <f ca="1"/>
        <v>2702.800000000007</v>
      </c>
    </row>
    <row r="191" spans="7:24" x14ac:dyDescent="0.2">
      <c r="G191" s="60">
        <v>170</v>
      </c>
      <c r="H191" s="82">
        <f ca="1"/>
        <v>0</v>
      </c>
      <c r="I191" s="82">
        <f t="shared" ca="1" si="17"/>
        <v>96</v>
      </c>
      <c r="J191" s="83">
        <f t="shared" ca="1" si="15"/>
        <v>0.56470588235294117</v>
      </c>
      <c r="N191" s="60">
        <v>170</v>
      </c>
      <c r="O191" s="82">
        <f ca="1">IF(AND(N191&lt;=U$22,RAND()&lt;=$H$7),1,0)</f>
        <v>1</v>
      </c>
      <c r="P191" s="82">
        <f t="shared" ca="1" si="18"/>
        <v>2</v>
      </c>
      <c r="Q191" s="84">
        <f t="shared" ca="1" si="19"/>
        <v>1.1000000000000001</v>
      </c>
      <c r="R191" s="82">
        <f t="shared" ca="1" si="16"/>
        <v>4.4000000000000004</v>
      </c>
      <c r="S191" s="82">
        <f ca="1">SUM(R$22:$R191)</f>
        <v>524.4</v>
      </c>
      <c r="W191" s="60">
        <v>170</v>
      </c>
      <c r="X191" s="82">
        <f ca="1"/>
        <v>2661.2000000000071</v>
      </c>
    </row>
    <row r="192" spans="7:24" x14ac:dyDescent="0.2">
      <c r="G192" s="60">
        <v>171</v>
      </c>
      <c r="H192" s="82">
        <f ca="1"/>
        <v>0</v>
      </c>
      <c r="I192" s="82">
        <f t="shared" ca="1" si="17"/>
        <v>96</v>
      </c>
      <c r="J192" s="83">
        <f t="shared" ca="1" si="15"/>
        <v>0.56140350877192979</v>
      </c>
      <c r="N192" s="60">
        <v>171</v>
      </c>
      <c r="O192" s="82">
        <f ca="1">IF(AND(N192&lt;=U$22,RAND()&lt;=$H$7),1,0)</f>
        <v>1</v>
      </c>
      <c r="P192" s="82">
        <f t="shared" ca="1" si="18"/>
        <v>3</v>
      </c>
      <c r="Q192" s="84">
        <f t="shared" ca="1" si="19"/>
        <v>1.2</v>
      </c>
      <c r="R192" s="82">
        <f t="shared" ca="1" si="16"/>
        <v>4.8</v>
      </c>
      <c r="S192" s="82">
        <f ca="1">SUM(R$22:$R192)</f>
        <v>529.19999999999993</v>
      </c>
      <c r="W192" s="60">
        <v>171</v>
      </c>
      <c r="X192" s="82">
        <f ca="1"/>
        <v>2590.400000000006</v>
      </c>
    </row>
    <row r="193" spans="7:24" x14ac:dyDescent="0.2">
      <c r="G193" s="60">
        <v>172</v>
      </c>
      <c r="H193" s="82">
        <f ca="1"/>
        <v>0</v>
      </c>
      <c r="I193" s="82">
        <f t="shared" ca="1" si="17"/>
        <v>96</v>
      </c>
      <c r="J193" s="83">
        <f t="shared" ca="1" si="15"/>
        <v>0.55813953488372092</v>
      </c>
      <c r="N193" s="60">
        <v>172</v>
      </c>
      <c r="O193" s="82">
        <f ca="1">IF(AND(N193&lt;=U$22,RAND()&lt;=$H$7),1,0)</f>
        <v>1</v>
      </c>
      <c r="P193" s="82">
        <f t="shared" ca="1" si="18"/>
        <v>4</v>
      </c>
      <c r="Q193" s="84">
        <f t="shared" ca="1" si="19"/>
        <v>1.3</v>
      </c>
      <c r="R193" s="82">
        <f t="shared" ca="1" si="16"/>
        <v>5.2</v>
      </c>
      <c r="S193" s="82">
        <f ca="1">SUM(R$22:$R193)</f>
        <v>534.4</v>
      </c>
      <c r="W193" s="60">
        <v>172</v>
      </c>
      <c r="X193" s="82">
        <f ca="1"/>
        <v>2642.0000000000068</v>
      </c>
    </row>
    <row r="194" spans="7:24" x14ac:dyDescent="0.2">
      <c r="G194" s="60">
        <v>173</v>
      </c>
      <c r="H194" s="82">
        <f ca="1"/>
        <v>1</v>
      </c>
      <c r="I194" s="82">
        <f t="shared" ca="1" si="17"/>
        <v>97</v>
      </c>
      <c r="J194" s="83">
        <f t="shared" ca="1" si="15"/>
        <v>0.56069364161849711</v>
      </c>
      <c r="N194" s="60">
        <v>173</v>
      </c>
      <c r="O194" s="82">
        <f ca="1">IF(AND(N194&lt;=U$22,RAND()&lt;=$H$7),1,0)</f>
        <v>1</v>
      </c>
      <c r="P194" s="82">
        <f t="shared" ca="1" si="18"/>
        <v>5</v>
      </c>
      <c r="Q194" s="84">
        <f t="shared" ca="1" si="19"/>
        <v>1.4</v>
      </c>
      <c r="R194" s="82">
        <f t="shared" ca="1" si="16"/>
        <v>5.6</v>
      </c>
      <c r="S194" s="82">
        <f ca="1">SUM(R$22:$R194)</f>
        <v>540</v>
      </c>
      <c r="W194" s="60">
        <v>173</v>
      </c>
      <c r="X194" s="82">
        <f ca="1"/>
        <v>2755.2000000000066</v>
      </c>
    </row>
    <row r="195" spans="7:24" x14ac:dyDescent="0.2">
      <c r="G195" s="60">
        <v>174</v>
      </c>
      <c r="H195" s="82">
        <f ca="1"/>
        <v>1</v>
      </c>
      <c r="I195" s="82">
        <f t="shared" ca="1" si="17"/>
        <v>98</v>
      </c>
      <c r="J195" s="83">
        <f t="shared" ca="1" si="15"/>
        <v>0.56321839080459768</v>
      </c>
      <c r="N195" s="60">
        <v>174</v>
      </c>
      <c r="O195" s="82">
        <f ca="1">IF(AND(N195&lt;=U$22,RAND()&lt;=$H$7),1,0)</f>
        <v>1</v>
      </c>
      <c r="P195" s="82">
        <f t="shared" ca="1" si="18"/>
        <v>6</v>
      </c>
      <c r="Q195" s="84">
        <f t="shared" ca="1" si="19"/>
        <v>1.5</v>
      </c>
      <c r="R195" s="82">
        <f t="shared" ca="1" si="16"/>
        <v>6</v>
      </c>
      <c r="S195" s="82">
        <f ca="1">SUM(R$22:$R195)</f>
        <v>546</v>
      </c>
      <c r="W195" s="60">
        <v>174</v>
      </c>
      <c r="X195" s="82">
        <f ca="1"/>
        <v>2781.6000000000076</v>
      </c>
    </row>
    <row r="196" spans="7:24" x14ac:dyDescent="0.2">
      <c r="G196" s="60">
        <v>175</v>
      </c>
      <c r="H196" s="82">
        <f ca="1"/>
        <v>1</v>
      </c>
      <c r="I196" s="82">
        <f t="shared" ca="1" si="17"/>
        <v>99</v>
      </c>
      <c r="J196" s="83">
        <f t="shared" ca="1" si="15"/>
        <v>0.56571428571428573</v>
      </c>
      <c r="N196" s="60">
        <v>175</v>
      </c>
      <c r="O196" s="82">
        <f ca="1">IF(AND(N196&lt;=U$22,RAND()&lt;=$H$7),1,0)</f>
        <v>1</v>
      </c>
      <c r="P196" s="82">
        <f t="shared" ca="1" si="18"/>
        <v>7</v>
      </c>
      <c r="Q196" s="84">
        <f t="shared" ca="1" si="19"/>
        <v>1.6</v>
      </c>
      <c r="R196" s="82">
        <f t="shared" ca="1" si="16"/>
        <v>6.4</v>
      </c>
      <c r="S196" s="82">
        <f ca="1">SUM(R$22:$R196)</f>
        <v>552.4</v>
      </c>
      <c r="W196" s="60">
        <v>175</v>
      </c>
      <c r="X196" s="82">
        <f ca="1"/>
        <v>2761.6000000000072</v>
      </c>
    </row>
    <row r="197" spans="7:24" x14ac:dyDescent="0.2">
      <c r="G197" s="60">
        <v>176</v>
      </c>
      <c r="H197" s="82">
        <f ca="1"/>
        <v>1</v>
      </c>
      <c r="I197" s="82">
        <f t="shared" ca="1" si="17"/>
        <v>100</v>
      </c>
      <c r="J197" s="83">
        <f t="shared" ca="1" si="15"/>
        <v>0.56818181818181823</v>
      </c>
      <c r="N197" s="60">
        <v>176</v>
      </c>
      <c r="O197" s="82">
        <f ca="1">IF(AND(N197&lt;=U$22,RAND()&lt;=$H$7),1,0)</f>
        <v>1</v>
      </c>
      <c r="P197" s="82">
        <f t="shared" ca="1" si="18"/>
        <v>8</v>
      </c>
      <c r="Q197" s="84">
        <f t="shared" ca="1" si="19"/>
        <v>1.7000000000000002</v>
      </c>
      <c r="R197" s="82">
        <f t="shared" ca="1" si="16"/>
        <v>6.8000000000000007</v>
      </c>
      <c r="S197" s="82">
        <f ca="1">SUM(R$22:$R197)</f>
        <v>559.19999999999993</v>
      </c>
      <c r="W197" s="60">
        <v>176</v>
      </c>
      <c r="X197" s="82">
        <f ca="1"/>
        <v>2555.6000000000072</v>
      </c>
    </row>
    <row r="198" spans="7:24" x14ac:dyDescent="0.2">
      <c r="G198" s="60">
        <v>177</v>
      </c>
      <c r="H198" s="82">
        <f ca="1"/>
        <v>1</v>
      </c>
      <c r="I198" s="82">
        <f t="shared" ca="1" si="17"/>
        <v>101</v>
      </c>
      <c r="J198" s="83">
        <f t="shared" ca="1" si="15"/>
        <v>0.57062146892655363</v>
      </c>
      <c r="N198" s="60">
        <v>177</v>
      </c>
      <c r="O198" s="82">
        <f ca="1">IF(AND(N198&lt;=U$22,RAND()&lt;=$H$7),1,0)</f>
        <v>1</v>
      </c>
      <c r="P198" s="82">
        <f t="shared" ca="1" si="18"/>
        <v>9</v>
      </c>
      <c r="Q198" s="84">
        <f t="shared" ca="1" si="19"/>
        <v>1.8</v>
      </c>
      <c r="R198" s="82">
        <f t="shared" ca="1" si="16"/>
        <v>7.2</v>
      </c>
      <c r="S198" s="82">
        <f ca="1">SUM(R$22:$R198)</f>
        <v>566.4</v>
      </c>
      <c r="W198" s="60">
        <v>177</v>
      </c>
      <c r="X198" s="82">
        <f ca="1"/>
        <v>2579.6000000000045</v>
      </c>
    </row>
    <row r="199" spans="7:24" x14ac:dyDescent="0.2">
      <c r="G199" s="60">
        <v>178</v>
      </c>
      <c r="H199" s="82">
        <f ca="1"/>
        <v>0</v>
      </c>
      <c r="I199" s="82">
        <f t="shared" ca="1" si="17"/>
        <v>101</v>
      </c>
      <c r="J199" s="83">
        <f t="shared" ca="1" si="15"/>
        <v>0.56741573033707871</v>
      </c>
      <c r="N199" s="60">
        <v>178</v>
      </c>
      <c r="O199" s="82">
        <f ca="1">IF(AND(N199&lt;=U$22,RAND()&lt;=$H$7),1,0)</f>
        <v>0</v>
      </c>
      <c r="P199" s="82">
        <f t="shared" ca="1" si="18"/>
        <v>0</v>
      </c>
      <c r="Q199" s="84">
        <f t="shared" ca="1" si="19"/>
        <v>1</v>
      </c>
      <c r="R199" s="82">
        <f t="shared" ca="1" si="16"/>
        <v>0</v>
      </c>
      <c r="S199" s="82">
        <f ca="1">SUM(R$22:$R199)</f>
        <v>566.4</v>
      </c>
      <c r="W199" s="60">
        <v>178</v>
      </c>
      <c r="X199" s="82">
        <f ca="1"/>
        <v>2822.800000000007</v>
      </c>
    </row>
    <row r="200" spans="7:24" x14ac:dyDescent="0.2">
      <c r="G200" s="60">
        <v>179</v>
      </c>
      <c r="H200" s="82">
        <f ca="1"/>
        <v>1</v>
      </c>
      <c r="I200" s="82">
        <f t="shared" ca="1" si="17"/>
        <v>102</v>
      </c>
      <c r="J200" s="83">
        <f t="shared" ca="1" si="15"/>
        <v>0.56983240223463683</v>
      </c>
      <c r="N200" s="60">
        <v>179</v>
      </c>
      <c r="O200" s="82">
        <f ca="1">IF(AND(N200&lt;=U$22,RAND()&lt;=$H$7),1,0)</f>
        <v>0</v>
      </c>
      <c r="P200" s="82">
        <f t="shared" ca="1" si="18"/>
        <v>0</v>
      </c>
      <c r="Q200" s="84">
        <f t="shared" ca="1" si="19"/>
        <v>1</v>
      </c>
      <c r="R200" s="82">
        <f t="shared" ca="1" si="16"/>
        <v>0</v>
      </c>
      <c r="S200" s="82">
        <f ca="1">SUM(R$22:$R200)</f>
        <v>566.4</v>
      </c>
      <c r="W200" s="60">
        <v>179</v>
      </c>
      <c r="X200" s="82">
        <f ca="1"/>
        <v>2781.2000000000057</v>
      </c>
    </row>
    <row r="201" spans="7:24" x14ac:dyDescent="0.2">
      <c r="G201" s="60">
        <v>180</v>
      </c>
      <c r="H201" s="82">
        <f ca="1"/>
        <v>1</v>
      </c>
      <c r="I201" s="82">
        <f t="shared" ca="1" si="17"/>
        <v>103</v>
      </c>
      <c r="J201" s="83">
        <f t="shared" ca="1" si="15"/>
        <v>0.57222222222222219</v>
      </c>
      <c r="N201" s="60">
        <v>180</v>
      </c>
      <c r="O201" s="82">
        <f ca="1">IF(AND(N201&lt;=U$22,RAND()&lt;=$H$7),1,0)</f>
        <v>1</v>
      </c>
      <c r="P201" s="82">
        <f t="shared" ca="1" si="18"/>
        <v>0</v>
      </c>
      <c r="Q201" s="84">
        <f t="shared" ca="1" si="19"/>
        <v>1</v>
      </c>
      <c r="R201" s="82">
        <f t="shared" ca="1" si="16"/>
        <v>4</v>
      </c>
      <c r="S201" s="82">
        <f ca="1">SUM(R$22:$R201)</f>
        <v>570.4</v>
      </c>
      <c r="W201" s="60">
        <v>180</v>
      </c>
      <c r="X201" s="82">
        <f ca="1"/>
        <v>2790.0000000000073</v>
      </c>
    </row>
    <row r="202" spans="7:24" x14ac:dyDescent="0.2">
      <c r="G202" s="60">
        <v>181</v>
      </c>
      <c r="H202" s="82">
        <f ca="1"/>
        <v>0</v>
      </c>
      <c r="I202" s="82">
        <f t="shared" ca="1" si="17"/>
        <v>103</v>
      </c>
      <c r="J202" s="83">
        <f t="shared" ca="1" si="15"/>
        <v>0.56906077348066297</v>
      </c>
      <c r="N202" s="60">
        <v>181</v>
      </c>
      <c r="O202" s="82">
        <f ca="1">IF(AND(N202&lt;=U$22,RAND()&lt;=$H$7),1,0)</f>
        <v>0</v>
      </c>
      <c r="P202" s="82">
        <f t="shared" ca="1" si="18"/>
        <v>0</v>
      </c>
      <c r="Q202" s="84">
        <f t="shared" ca="1" si="19"/>
        <v>1</v>
      </c>
      <c r="R202" s="82">
        <f t="shared" ca="1" si="16"/>
        <v>0</v>
      </c>
      <c r="S202" s="82">
        <f ca="1">SUM(R$22:$R202)</f>
        <v>570.4</v>
      </c>
      <c r="W202" s="60">
        <v>181</v>
      </c>
      <c r="X202" s="82">
        <f ca="1"/>
        <v>2624.4000000000051</v>
      </c>
    </row>
    <row r="203" spans="7:24" x14ac:dyDescent="0.2">
      <c r="G203" s="60">
        <v>182</v>
      </c>
      <c r="H203" s="82">
        <f ca="1"/>
        <v>0</v>
      </c>
      <c r="I203" s="82">
        <f t="shared" ca="1" si="17"/>
        <v>103</v>
      </c>
      <c r="J203" s="83">
        <f t="shared" ca="1" si="15"/>
        <v>0.56593406593406592</v>
      </c>
      <c r="N203" s="60">
        <v>182</v>
      </c>
      <c r="O203" s="82">
        <f ca="1">IF(AND(N203&lt;=U$22,RAND()&lt;=$H$7),1,0)</f>
        <v>1</v>
      </c>
      <c r="P203" s="82">
        <f t="shared" ca="1" si="18"/>
        <v>0</v>
      </c>
      <c r="Q203" s="84">
        <f t="shared" ca="1" si="19"/>
        <v>1</v>
      </c>
      <c r="R203" s="82">
        <f t="shared" ca="1" si="16"/>
        <v>4</v>
      </c>
      <c r="S203" s="82">
        <f ca="1">SUM(R$22:$R203)</f>
        <v>574.4</v>
      </c>
      <c r="W203" s="60">
        <v>182</v>
      </c>
      <c r="X203" s="82">
        <f ca="1"/>
        <v>2868.0000000000077</v>
      </c>
    </row>
    <row r="204" spans="7:24" x14ac:dyDescent="0.2">
      <c r="G204" s="60">
        <v>183</v>
      </c>
      <c r="H204" s="82">
        <f ca="1"/>
        <v>1</v>
      </c>
      <c r="I204" s="82">
        <f t="shared" ca="1" si="17"/>
        <v>104</v>
      </c>
      <c r="J204" s="83">
        <f t="shared" ca="1" si="15"/>
        <v>0.56830601092896171</v>
      </c>
      <c r="N204" s="60">
        <v>183</v>
      </c>
      <c r="O204" s="82">
        <f ca="1">IF(AND(N204&lt;=U$22,RAND()&lt;=$H$7),1,0)</f>
        <v>0</v>
      </c>
      <c r="P204" s="82">
        <f t="shared" ca="1" si="18"/>
        <v>0</v>
      </c>
      <c r="Q204" s="84">
        <f t="shared" ca="1" si="19"/>
        <v>1</v>
      </c>
      <c r="R204" s="82">
        <f t="shared" ca="1" si="16"/>
        <v>0</v>
      </c>
      <c r="S204" s="82">
        <f ca="1">SUM(R$22:$R204)</f>
        <v>574.4</v>
      </c>
      <c r="W204" s="60">
        <v>183</v>
      </c>
      <c r="X204" s="82">
        <f ca="1"/>
        <v>2644.0000000000064</v>
      </c>
    </row>
    <row r="205" spans="7:24" x14ac:dyDescent="0.2">
      <c r="G205" s="60">
        <v>184</v>
      </c>
      <c r="H205" s="82">
        <f ca="1"/>
        <v>1</v>
      </c>
      <c r="I205" s="82">
        <f t="shared" ca="1" si="17"/>
        <v>105</v>
      </c>
      <c r="J205" s="83">
        <f t="shared" ca="1" si="15"/>
        <v>0.57065217391304346</v>
      </c>
      <c r="N205" s="60">
        <v>184</v>
      </c>
      <c r="O205" s="82">
        <f ca="1">IF(AND(N205&lt;=U$22,RAND()&lt;=$H$7),1,0)</f>
        <v>1</v>
      </c>
      <c r="P205" s="82">
        <f t="shared" ca="1" si="18"/>
        <v>0</v>
      </c>
      <c r="Q205" s="84">
        <f t="shared" ca="1" si="19"/>
        <v>1</v>
      </c>
      <c r="R205" s="82">
        <f t="shared" ca="1" si="16"/>
        <v>4</v>
      </c>
      <c r="S205" s="82">
        <f ca="1">SUM(R$22:$R205)</f>
        <v>578.4</v>
      </c>
      <c r="W205" s="60">
        <v>184</v>
      </c>
      <c r="X205" s="82">
        <f ca="1"/>
        <v>2710.4000000000065</v>
      </c>
    </row>
    <row r="206" spans="7:24" x14ac:dyDescent="0.2">
      <c r="G206" s="60">
        <v>185</v>
      </c>
      <c r="H206" s="82">
        <f ca="1"/>
        <v>1</v>
      </c>
      <c r="I206" s="82">
        <f t="shared" ca="1" si="17"/>
        <v>106</v>
      </c>
      <c r="J206" s="83">
        <f t="shared" ca="1" si="15"/>
        <v>0.572972972972973</v>
      </c>
      <c r="N206" s="60">
        <v>185</v>
      </c>
      <c r="O206" s="82">
        <f ca="1">IF(AND(N206&lt;=U$22,RAND()&lt;=$H$7),1,0)</f>
        <v>1</v>
      </c>
      <c r="P206" s="82">
        <f t="shared" ca="1" si="18"/>
        <v>1</v>
      </c>
      <c r="Q206" s="84">
        <f t="shared" ca="1" si="19"/>
        <v>1</v>
      </c>
      <c r="R206" s="82">
        <f t="shared" ca="1" si="16"/>
        <v>4</v>
      </c>
      <c r="S206" s="82">
        <f ca="1">SUM(R$22:$R206)</f>
        <v>582.4</v>
      </c>
      <c r="W206" s="60">
        <v>185</v>
      </c>
      <c r="X206" s="82">
        <f ca="1"/>
        <v>2729.6000000000076</v>
      </c>
    </row>
    <row r="207" spans="7:24" x14ac:dyDescent="0.2">
      <c r="G207" s="60">
        <v>186</v>
      </c>
      <c r="H207" s="82">
        <f ca="1"/>
        <v>1</v>
      </c>
      <c r="I207" s="82">
        <f t="shared" ca="1" si="17"/>
        <v>107</v>
      </c>
      <c r="J207" s="83">
        <f t="shared" ca="1" si="15"/>
        <v>0.57526881720430112</v>
      </c>
      <c r="N207" s="60">
        <v>186</v>
      </c>
      <c r="O207" s="82">
        <f ca="1">IF(AND(N207&lt;=U$22,RAND()&lt;=$H$7),1,0)</f>
        <v>0</v>
      </c>
      <c r="P207" s="82">
        <f t="shared" ca="1" si="18"/>
        <v>0</v>
      </c>
      <c r="Q207" s="84">
        <f t="shared" ca="1" si="19"/>
        <v>1</v>
      </c>
      <c r="R207" s="82">
        <f t="shared" ca="1" si="16"/>
        <v>0</v>
      </c>
      <c r="S207" s="82">
        <f ca="1">SUM(R$22:$R207)</f>
        <v>582.4</v>
      </c>
      <c r="W207" s="60">
        <v>186</v>
      </c>
      <c r="X207" s="82">
        <f ca="1"/>
        <v>2670.4000000000046</v>
      </c>
    </row>
    <row r="208" spans="7:24" x14ac:dyDescent="0.2">
      <c r="G208" s="60">
        <v>187</v>
      </c>
      <c r="H208" s="82">
        <f ca="1"/>
        <v>1</v>
      </c>
      <c r="I208" s="82">
        <f t="shared" ca="1" si="17"/>
        <v>108</v>
      </c>
      <c r="J208" s="83">
        <f t="shared" ca="1" si="15"/>
        <v>0.57754010695187163</v>
      </c>
      <c r="N208" s="60">
        <v>187</v>
      </c>
      <c r="O208" s="82">
        <f ca="1">IF(AND(N208&lt;=U$22,RAND()&lt;=$H$7),1,0)</f>
        <v>1</v>
      </c>
      <c r="P208" s="82">
        <f t="shared" ca="1" si="18"/>
        <v>0</v>
      </c>
      <c r="Q208" s="84">
        <f t="shared" ca="1" si="19"/>
        <v>1</v>
      </c>
      <c r="R208" s="82">
        <f t="shared" ca="1" si="16"/>
        <v>4</v>
      </c>
      <c r="S208" s="82">
        <f ca="1">SUM(R$22:$R208)</f>
        <v>586.4</v>
      </c>
      <c r="W208" s="60">
        <v>187</v>
      </c>
      <c r="X208" s="82">
        <f ca="1"/>
        <v>2707.6000000000067</v>
      </c>
    </row>
    <row r="209" spans="7:24" x14ac:dyDescent="0.2">
      <c r="G209" s="60">
        <v>188</v>
      </c>
      <c r="H209" s="82">
        <f ca="1"/>
        <v>0</v>
      </c>
      <c r="I209" s="82">
        <f t="shared" ca="1" si="17"/>
        <v>108</v>
      </c>
      <c r="J209" s="83">
        <f t="shared" ca="1" si="15"/>
        <v>0.57446808510638303</v>
      </c>
      <c r="N209" s="60">
        <v>188</v>
      </c>
      <c r="O209" s="82">
        <f ca="1">IF(AND(N209&lt;=U$22,RAND()&lt;=$H$7),1,0)</f>
        <v>1</v>
      </c>
      <c r="P209" s="82">
        <f t="shared" ca="1" si="18"/>
        <v>1</v>
      </c>
      <c r="Q209" s="84">
        <f t="shared" ca="1" si="19"/>
        <v>1</v>
      </c>
      <c r="R209" s="82">
        <f t="shared" ca="1" si="16"/>
        <v>4</v>
      </c>
      <c r="S209" s="82">
        <f ca="1">SUM(R$22:$R209)</f>
        <v>590.4</v>
      </c>
      <c r="W209" s="60">
        <v>188</v>
      </c>
      <c r="X209" s="82">
        <f ca="1"/>
        <v>2832.0000000000068</v>
      </c>
    </row>
    <row r="210" spans="7:24" x14ac:dyDescent="0.2">
      <c r="G210" s="60">
        <v>189</v>
      </c>
      <c r="H210" s="82">
        <f ca="1"/>
        <v>0</v>
      </c>
      <c r="I210" s="82">
        <f t="shared" ca="1" si="17"/>
        <v>108</v>
      </c>
      <c r="J210" s="83">
        <f t="shared" ca="1" si="15"/>
        <v>0.5714285714285714</v>
      </c>
      <c r="N210" s="60">
        <v>189</v>
      </c>
      <c r="O210" s="82">
        <f ca="1">IF(AND(N210&lt;=U$22,RAND()&lt;=$H$7),1,0)</f>
        <v>1</v>
      </c>
      <c r="P210" s="82">
        <f t="shared" ca="1" si="18"/>
        <v>2</v>
      </c>
      <c r="Q210" s="84">
        <f t="shared" ca="1" si="19"/>
        <v>1.1000000000000001</v>
      </c>
      <c r="R210" s="82">
        <f t="shared" ca="1" si="16"/>
        <v>4.4000000000000004</v>
      </c>
      <c r="S210" s="82">
        <f ca="1">SUM(R$22:$R210)</f>
        <v>594.79999999999995</v>
      </c>
      <c r="W210" s="60">
        <v>189</v>
      </c>
      <c r="X210" s="82">
        <f ca="1"/>
        <v>2776.4000000000083</v>
      </c>
    </row>
    <row r="211" spans="7:24" x14ac:dyDescent="0.2">
      <c r="G211" s="60">
        <v>190</v>
      </c>
      <c r="H211" s="82">
        <f ca="1"/>
        <v>1</v>
      </c>
      <c r="I211" s="82">
        <f t="shared" ca="1" si="17"/>
        <v>109</v>
      </c>
      <c r="J211" s="83">
        <f t="shared" ca="1" si="15"/>
        <v>0.5736842105263158</v>
      </c>
      <c r="N211" s="60">
        <v>190</v>
      </c>
      <c r="O211" s="82">
        <f ca="1">IF(AND(N211&lt;=U$22,RAND()&lt;=$H$7),1,0)</f>
        <v>0</v>
      </c>
      <c r="P211" s="82">
        <f t="shared" ca="1" si="18"/>
        <v>0</v>
      </c>
      <c r="Q211" s="84">
        <f t="shared" ca="1" si="19"/>
        <v>1</v>
      </c>
      <c r="R211" s="82">
        <f t="shared" ca="1" si="16"/>
        <v>0</v>
      </c>
      <c r="S211" s="82">
        <f ca="1">SUM(R$22:$R211)</f>
        <v>594.79999999999995</v>
      </c>
      <c r="W211" s="60">
        <v>190</v>
      </c>
      <c r="X211" s="82">
        <f ca="1"/>
        <v>2644.0000000000073</v>
      </c>
    </row>
    <row r="212" spans="7:24" x14ac:dyDescent="0.2">
      <c r="G212" s="60">
        <v>191</v>
      </c>
      <c r="H212" s="82">
        <f ca="1"/>
        <v>1</v>
      </c>
      <c r="I212" s="82">
        <f t="shared" ca="1" si="17"/>
        <v>110</v>
      </c>
      <c r="J212" s="83">
        <f t="shared" ca="1" si="15"/>
        <v>0.5759162303664922</v>
      </c>
      <c r="N212" s="60">
        <v>191</v>
      </c>
      <c r="O212" s="82">
        <f ca="1">IF(AND(N212&lt;=U$22,RAND()&lt;=$H$7),1,0)</f>
        <v>1</v>
      </c>
      <c r="P212" s="82">
        <f t="shared" ca="1" si="18"/>
        <v>0</v>
      </c>
      <c r="Q212" s="84">
        <f t="shared" ca="1" si="19"/>
        <v>1</v>
      </c>
      <c r="R212" s="82">
        <f t="shared" ca="1" si="16"/>
        <v>4</v>
      </c>
      <c r="S212" s="82">
        <f ca="1">SUM(R$22:$R212)</f>
        <v>598.79999999999995</v>
      </c>
      <c r="W212" s="60">
        <v>191</v>
      </c>
      <c r="X212" s="82">
        <f ca="1"/>
        <v>2800.4000000000065</v>
      </c>
    </row>
    <row r="213" spans="7:24" x14ac:dyDescent="0.2">
      <c r="G213" s="60">
        <v>192</v>
      </c>
      <c r="H213" s="82">
        <f ca="1"/>
        <v>1</v>
      </c>
      <c r="I213" s="82">
        <f t="shared" ca="1" si="17"/>
        <v>111</v>
      </c>
      <c r="J213" s="83">
        <f t="shared" ca="1" si="15"/>
        <v>0.578125</v>
      </c>
      <c r="N213" s="60">
        <v>192</v>
      </c>
      <c r="O213" s="82">
        <f ca="1">IF(AND(N213&lt;=U$22,RAND()&lt;=$H$7),1,0)</f>
        <v>0</v>
      </c>
      <c r="P213" s="82">
        <f t="shared" ca="1" si="18"/>
        <v>0</v>
      </c>
      <c r="Q213" s="84">
        <f t="shared" ca="1" si="19"/>
        <v>1</v>
      </c>
      <c r="R213" s="82">
        <f t="shared" ca="1" si="16"/>
        <v>0</v>
      </c>
      <c r="S213" s="82">
        <f ca="1">SUM(R$22:$R213)</f>
        <v>598.79999999999995</v>
      </c>
      <c r="W213" s="60">
        <v>192</v>
      </c>
      <c r="X213" s="82">
        <f ca="1"/>
        <v>2746.4000000000065</v>
      </c>
    </row>
    <row r="214" spans="7:24" x14ac:dyDescent="0.2">
      <c r="G214" s="60">
        <v>193</v>
      </c>
      <c r="H214" s="82">
        <f ca="1"/>
        <v>0</v>
      </c>
      <c r="I214" s="82">
        <f t="shared" ca="1" si="17"/>
        <v>111</v>
      </c>
      <c r="J214" s="83">
        <f t="shared" ca="1" si="15"/>
        <v>0.57512953367875652</v>
      </c>
      <c r="N214" s="60">
        <v>193</v>
      </c>
      <c r="O214" s="82">
        <f ca="1">IF(AND(N214&lt;=U$22,RAND()&lt;=$H$7),1,0)</f>
        <v>0</v>
      </c>
      <c r="P214" s="82">
        <f t="shared" ca="1" si="18"/>
        <v>0</v>
      </c>
      <c r="Q214" s="84">
        <f t="shared" ca="1" si="19"/>
        <v>1</v>
      </c>
      <c r="R214" s="82">
        <f t="shared" ca="1" si="16"/>
        <v>0</v>
      </c>
      <c r="S214" s="82">
        <f ca="1">SUM(R$22:$R214)</f>
        <v>598.79999999999995</v>
      </c>
      <c r="W214" s="60">
        <v>193</v>
      </c>
      <c r="X214" s="82">
        <f ca="1"/>
        <v>2960.0000000000073</v>
      </c>
    </row>
    <row r="215" spans="7:24" x14ac:dyDescent="0.2">
      <c r="G215" s="60">
        <v>194</v>
      </c>
      <c r="H215" s="82">
        <f ca="1"/>
        <v>1</v>
      </c>
      <c r="I215" s="82">
        <f t="shared" ca="1" si="17"/>
        <v>112</v>
      </c>
      <c r="J215" s="83">
        <f t="shared" ref="J215:J278" ca="1" si="20">I215/G215</f>
        <v>0.57731958762886593</v>
      </c>
      <c r="N215" s="60">
        <v>194</v>
      </c>
      <c r="O215" s="82">
        <f ca="1">IF(AND(N215&lt;=U$22,RAND()&lt;=$H$7),1,0)</f>
        <v>1</v>
      </c>
      <c r="P215" s="82">
        <f t="shared" ca="1" si="18"/>
        <v>0</v>
      </c>
      <c r="Q215" s="84">
        <f t="shared" ca="1" si="19"/>
        <v>1</v>
      </c>
      <c r="R215" s="82">
        <f t="shared" ref="R215:R278" ca="1" si="21">Q215*$I$7*O215</f>
        <v>4</v>
      </c>
      <c r="S215" s="82">
        <f ca="1">SUM(R$22:$R215)</f>
        <v>602.79999999999995</v>
      </c>
      <c r="W215" s="60">
        <v>194</v>
      </c>
      <c r="X215" s="82">
        <f ca="1"/>
        <v>2686.4000000000069</v>
      </c>
    </row>
    <row r="216" spans="7:24" x14ac:dyDescent="0.2">
      <c r="G216" s="60">
        <v>195</v>
      </c>
      <c r="H216" s="82">
        <f ca="1"/>
        <v>1</v>
      </c>
      <c r="I216" s="82">
        <f t="shared" ref="I216:I279" ca="1" si="22">H216+I215</f>
        <v>113</v>
      </c>
      <c r="J216" s="83">
        <f t="shared" ca="1" si="20"/>
        <v>0.57948717948717954</v>
      </c>
      <c r="N216" s="60">
        <v>195</v>
      </c>
      <c r="O216" s="82">
        <f ca="1">IF(AND(N216&lt;=U$22,RAND()&lt;=$H$7),1,0)</f>
        <v>1</v>
      </c>
      <c r="P216" s="82">
        <f t="shared" ref="P216:P279" ca="1" si="23">IF(AND(O215=1,O216=1),P215+1,0)</f>
        <v>1</v>
      </c>
      <c r="Q216" s="84">
        <f t="shared" ref="Q216:Q279" ca="1" si="24">IF(P216&gt;1,1+(P216-1)*0.1,1)</f>
        <v>1</v>
      </c>
      <c r="R216" s="82">
        <f t="shared" ca="1" si="21"/>
        <v>4</v>
      </c>
      <c r="S216" s="82">
        <f ca="1">SUM(R$22:$R216)</f>
        <v>606.79999999999995</v>
      </c>
      <c r="W216" s="60">
        <v>195</v>
      </c>
      <c r="X216" s="82">
        <f ca="1"/>
        <v>2718.000000000005</v>
      </c>
    </row>
    <row r="217" spans="7:24" x14ac:dyDescent="0.2">
      <c r="G217" s="60">
        <v>196</v>
      </c>
      <c r="H217" s="82">
        <f ca="1"/>
        <v>1</v>
      </c>
      <c r="I217" s="82">
        <f t="shared" ca="1" si="22"/>
        <v>114</v>
      </c>
      <c r="J217" s="83">
        <f t="shared" ca="1" si="20"/>
        <v>0.58163265306122447</v>
      </c>
      <c r="N217" s="60">
        <v>196</v>
      </c>
      <c r="O217" s="82">
        <f ca="1">IF(AND(N217&lt;=U$22,RAND()&lt;=$H$7),1,0)</f>
        <v>1</v>
      </c>
      <c r="P217" s="82">
        <f t="shared" ca="1" si="23"/>
        <v>2</v>
      </c>
      <c r="Q217" s="84">
        <f t="shared" ca="1" si="24"/>
        <v>1.1000000000000001</v>
      </c>
      <c r="R217" s="82">
        <f t="shared" ca="1" si="21"/>
        <v>4.4000000000000004</v>
      </c>
      <c r="S217" s="82">
        <f ca="1">SUM(R$22:$R217)</f>
        <v>611.19999999999993</v>
      </c>
      <c r="W217" s="60">
        <v>196</v>
      </c>
      <c r="X217" s="82">
        <f ca="1"/>
        <v>2732.4000000000069</v>
      </c>
    </row>
    <row r="218" spans="7:24" x14ac:dyDescent="0.2">
      <c r="G218" s="60">
        <v>197</v>
      </c>
      <c r="H218" s="82">
        <f ca="1"/>
        <v>1</v>
      </c>
      <c r="I218" s="82">
        <f t="shared" ca="1" si="22"/>
        <v>115</v>
      </c>
      <c r="J218" s="83">
        <f t="shared" ca="1" si="20"/>
        <v>0.58375634517766495</v>
      </c>
      <c r="N218" s="60">
        <v>197</v>
      </c>
      <c r="O218" s="82">
        <f ca="1">IF(AND(N218&lt;=U$22,RAND()&lt;=$H$7),1,0)</f>
        <v>0</v>
      </c>
      <c r="P218" s="82">
        <f t="shared" ca="1" si="23"/>
        <v>0</v>
      </c>
      <c r="Q218" s="84">
        <f t="shared" ca="1" si="24"/>
        <v>1</v>
      </c>
      <c r="R218" s="82">
        <f t="shared" ca="1" si="21"/>
        <v>0</v>
      </c>
      <c r="S218" s="82">
        <f ca="1">SUM(R$22:$R218)</f>
        <v>611.19999999999993</v>
      </c>
      <c r="W218" s="60">
        <v>197</v>
      </c>
      <c r="X218" s="82">
        <f ca="1"/>
        <v>2472.4000000000046</v>
      </c>
    </row>
    <row r="219" spans="7:24" x14ac:dyDescent="0.2">
      <c r="G219" s="60">
        <v>198</v>
      </c>
      <c r="H219" s="82">
        <f ca="1"/>
        <v>0</v>
      </c>
      <c r="I219" s="82">
        <f t="shared" ca="1" si="22"/>
        <v>115</v>
      </c>
      <c r="J219" s="83">
        <f t="shared" ca="1" si="20"/>
        <v>0.58080808080808077</v>
      </c>
      <c r="N219" s="60">
        <v>198</v>
      </c>
      <c r="O219" s="82">
        <f ca="1">IF(AND(N219&lt;=U$22,RAND()&lt;=$H$7),1,0)</f>
        <v>0</v>
      </c>
      <c r="P219" s="82">
        <f t="shared" ca="1" si="23"/>
        <v>0</v>
      </c>
      <c r="Q219" s="84">
        <f t="shared" ca="1" si="24"/>
        <v>1</v>
      </c>
      <c r="R219" s="82">
        <f t="shared" ca="1" si="21"/>
        <v>0</v>
      </c>
      <c r="S219" s="82">
        <f ca="1">SUM(R$22:$R219)</f>
        <v>611.19999999999993</v>
      </c>
      <c r="W219" s="60">
        <v>198</v>
      </c>
      <c r="X219" s="82">
        <f ca="1"/>
        <v>2798.8000000000084</v>
      </c>
    </row>
    <row r="220" spans="7:24" x14ac:dyDescent="0.2">
      <c r="G220" s="60">
        <v>199</v>
      </c>
      <c r="H220" s="82">
        <f ca="1"/>
        <v>1</v>
      </c>
      <c r="I220" s="82">
        <f t="shared" ca="1" si="22"/>
        <v>116</v>
      </c>
      <c r="J220" s="83">
        <f t="shared" ca="1" si="20"/>
        <v>0.58291457286432158</v>
      </c>
      <c r="N220" s="60">
        <v>199</v>
      </c>
      <c r="O220" s="82">
        <f ca="1">IF(AND(N220&lt;=U$22,RAND()&lt;=$H$7),1,0)</f>
        <v>0</v>
      </c>
      <c r="P220" s="82">
        <f t="shared" ca="1" si="23"/>
        <v>0</v>
      </c>
      <c r="Q220" s="84">
        <f t="shared" ca="1" si="24"/>
        <v>1</v>
      </c>
      <c r="R220" s="82">
        <f t="shared" ca="1" si="21"/>
        <v>0</v>
      </c>
      <c r="S220" s="82">
        <f ca="1">SUM(R$22:$R220)</f>
        <v>611.19999999999993</v>
      </c>
      <c r="W220" s="60">
        <v>199</v>
      </c>
      <c r="X220" s="82">
        <f ca="1"/>
        <v>2572.0000000000082</v>
      </c>
    </row>
    <row r="221" spans="7:24" x14ac:dyDescent="0.2">
      <c r="G221" s="60">
        <v>200</v>
      </c>
      <c r="H221" s="82">
        <f ca="1"/>
        <v>0</v>
      </c>
      <c r="I221" s="82">
        <f t="shared" ca="1" si="22"/>
        <v>116</v>
      </c>
      <c r="J221" s="83">
        <f t="shared" ca="1" si="20"/>
        <v>0.57999999999999996</v>
      </c>
      <c r="N221" s="60">
        <v>200</v>
      </c>
      <c r="O221" s="82">
        <f ca="1">IF(AND(N221&lt;=U$22,RAND()&lt;=$H$7),1,0)</f>
        <v>1</v>
      </c>
      <c r="P221" s="82">
        <f t="shared" ca="1" si="23"/>
        <v>0</v>
      </c>
      <c r="Q221" s="84">
        <f t="shared" ca="1" si="24"/>
        <v>1</v>
      </c>
      <c r="R221" s="82">
        <f t="shared" ca="1" si="21"/>
        <v>4</v>
      </c>
      <c r="S221" s="82">
        <f ca="1">SUM(R$22:$R221)</f>
        <v>615.19999999999993</v>
      </c>
      <c r="W221" s="60">
        <v>200</v>
      </c>
      <c r="X221" s="82">
        <f ca="1"/>
        <v>2817.6000000000067</v>
      </c>
    </row>
    <row r="222" spans="7:24" x14ac:dyDescent="0.2">
      <c r="G222" s="60">
        <v>201</v>
      </c>
      <c r="H222" s="82">
        <f ca="1"/>
        <v>1</v>
      </c>
      <c r="I222" s="82">
        <f t="shared" ca="1" si="22"/>
        <v>117</v>
      </c>
      <c r="J222" s="83">
        <f t="shared" ca="1" si="20"/>
        <v>0.58208955223880599</v>
      </c>
      <c r="N222" s="60">
        <v>201</v>
      </c>
      <c r="O222" s="82">
        <f ca="1">IF(AND(N222&lt;=U$22,RAND()&lt;=$H$7),1,0)</f>
        <v>1</v>
      </c>
      <c r="P222" s="82">
        <f t="shared" ca="1" si="23"/>
        <v>1</v>
      </c>
      <c r="Q222" s="84">
        <f t="shared" ca="1" si="24"/>
        <v>1</v>
      </c>
      <c r="R222" s="82">
        <f t="shared" ca="1" si="21"/>
        <v>4</v>
      </c>
      <c r="S222" s="82">
        <f ca="1">SUM(R$22:$R222)</f>
        <v>619.19999999999993</v>
      </c>
      <c r="W222" s="60">
        <v>201</v>
      </c>
      <c r="X222" s="82">
        <f ca="1"/>
        <v>2789.6000000000076</v>
      </c>
    </row>
    <row r="223" spans="7:24" x14ac:dyDescent="0.2">
      <c r="G223" s="60">
        <v>202</v>
      </c>
      <c r="H223" s="82">
        <f ca="1"/>
        <v>0</v>
      </c>
      <c r="I223" s="82">
        <f t="shared" ca="1" si="22"/>
        <v>117</v>
      </c>
      <c r="J223" s="83">
        <f t="shared" ca="1" si="20"/>
        <v>0.57920792079207917</v>
      </c>
      <c r="N223" s="60">
        <v>202</v>
      </c>
      <c r="O223" s="82">
        <f ca="1">IF(AND(N223&lt;=U$22,RAND()&lt;=$H$7),1,0)</f>
        <v>0</v>
      </c>
      <c r="P223" s="82">
        <f t="shared" ca="1" si="23"/>
        <v>0</v>
      </c>
      <c r="Q223" s="84">
        <f t="shared" ca="1" si="24"/>
        <v>1</v>
      </c>
      <c r="R223" s="82">
        <f t="shared" ca="1" si="21"/>
        <v>0</v>
      </c>
      <c r="S223" s="82">
        <f ca="1">SUM(R$22:$R223)</f>
        <v>619.19999999999993</v>
      </c>
      <c r="W223" s="60">
        <v>202</v>
      </c>
      <c r="X223" s="82">
        <f ca="1"/>
        <v>2778.0000000000059</v>
      </c>
    </row>
    <row r="224" spans="7:24" x14ac:dyDescent="0.2">
      <c r="G224" s="60">
        <v>203</v>
      </c>
      <c r="H224" s="82">
        <f ca="1"/>
        <v>1</v>
      </c>
      <c r="I224" s="82">
        <f t="shared" ca="1" si="22"/>
        <v>118</v>
      </c>
      <c r="J224" s="83">
        <f t="shared" ca="1" si="20"/>
        <v>0.58128078817733986</v>
      </c>
      <c r="N224" s="60">
        <v>203</v>
      </c>
      <c r="O224" s="82">
        <f ca="1">IF(AND(N224&lt;=U$22,RAND()&lt;=$H$7),1,0)</f>
        <v>0</v>
      </c>
      <c r="P224" s="82">
        <f t="shared" ca="1" si="23"/>
        <v>0</v>
      </c>
      <c r="Q224" s="84">
        <f t="shared" ca="1" si="24"/>
        <v>1</v>
      </c>
      <c r="R224" s="82">
        <f t="shared" ca="1" si="21"/>
        <v>0</v>
      </c>
      <c r="S224" s="82">
        <f ca="1">SUM(R$22:$R224)</f>
        <v>619.19999999999993</v>
      </c>
      <c r="W224" s="60">
        <v>203</v>
      </c>
      <c r="X224" s="82">
        <f ca="1"/>
        <v>2554.0000000000055</v>
      </c>
    </row>
    <row r="225" spans="7:24" x14ac:dyDescent="0.2">
      <c r="G225" s="60">
        <v>204</v>
      </c>
      <c r="H225" s="82">
        <f ca="1"/>
        <v>1</v>
      </c>
      <c r="I225" s="82">
        <f t="shared" ca="1" si="22"/>
        <v>119</v>
      </c>
      <c r="J225" s="83">
        <f t="shared" ca="1" si="20"/>
        <v>0.58333333333333337</v>
      </c>
      <c r="N225" s="60">
        <v>204</v>
      </c>
      <c r="O225" s="82">
        <f ca="1">IF(AND(N225&lt;=U$22,RAND()&lt;=$H$7),1,0)</f>
        <v>0</v>
      </c>
      <c r="P225" s="82">
        <f t="shared" ca="1" si="23"/>
        <v>0</v>
      </c>
      <c r="Q225" s="84">
        <f t="shared" ca="1" si="24"/>
        <v>1</v>
      </c>
      <c r="R225" s="82">
        <f t="shared" ca="1" si="21"/>
        <v>0</v>
      </c>
      <c r="S225" s="82">
        <f ca="1">SUM(R$22:$R225)</f>
        <v>619.19999999999993</v>
      </c>
      <c r="W225" s="60">
        <v>204</v>
      </c>
      <c r="X225" s="82">
        <f ca="1"/>
        <v>2696.8000000000052</v>
      </c>
    </row>
    <row r="226" spans="7:24" x14ac:dyDescent="0.2">
      <c r="G226" s="60">
        <v>205</v>
      </c>
      <c r="H226" s="82">
        <f ca="1"/>
        <v>1</v>
      </c>
      <c r="I226" s="82">
        <f t="shared" ca="1" si="22"/>
        <v>120</v>
      </c>
      <c r="J226" s="83">
        <f t="shared" ca="1" si="20"/>
        <v>0.58536585365853655</v>
      </c>
      <c r="N226" s="60">
        <v>205</v>
      </c>
      <c r="O226" s="82">
        <f ca="1">IF(AND(N226&lt;=U$22,RAND()&lt;=$H$7),1,0)</f>
        <v>0</v>
      </c>
      <c r="P226" s="82">
        <f t="shared" ca="1" si="23"/>
        <v>0</v>
      </c>
      <c r="Q226" s="84">
        <f t="shared" ca="1" si="24"/>
        <v>1</v>
      </c>
      <c r="R226" s="82">
        <f t="shared" ca="1" si="21"/>
        <v>0</v>
      </c>
      <c r="S226" s="82">
        <f ca="1">SUM(R$22:$R226)</f>
        <v>619.19999999999993</v>
      </c>
      <c r="W226" s="60">
        <v>205</v>
      </c>
      <c r="X226" s="82">
        <f ca="1"/>
        <v>2906.0000000000059</v>
      </c>
    </row>
    <row r="227" spans="7:24" x14ac:dyDescent="0.2">
      <c r="G227" s="60">
        <v>206</v>
      </c>
      <c r="H227" s="82">
        <f ca="1"/>
        <v>0</v>
      </c>
      <c r="I227" s="82">
        <f t="shared" ca="1" si="22"/>
        <v>120</v>
      </c>
      <c r="J227" s="83">
        <f t="shared" ca="1" si="20"/>
        <v>0.58252427184466016</v>
      </c>
      <c r="N227" s="60">
        <v>206</v>
      </c>
      <c r="O227" s="82">
        <f ca="1">IF(AND(N227&lt;=U$22,RAND()&lt;=$H$7),1,0)</f>
        <v>1</v>
      </c>
      <c r="P227" s="82">
        <f t="shared" ca="1" si="23"/>
        <v>0</v>
      </c>
      <c r="Q227" s="84">
        <f t="shared" ca="1" si="24"/>
        <v>1</v>
      </c>
      <c r="R227" s="82">
        <f t="shared" ca="1" si="21"/>
        <v>4</v>
      </c>
      <c r="S227" s="82">
        <f ca="1">SUM(R$22:$R227)</f>
        <v>623.19999999999993</v>
      </c>
      <c r="W227" s="60">
        <v>206</v>
      </c>
      <c r="X227" s="82">
        <f ca="1"/>
        <v>2727.2000000000066</v>
      </c>
    </row>
    <row r="228" spans="7:24" x14ac:dyDescent="0.2">
      <c r="G228" s="60">
        <v>207</v>
      </c>
      <c r="H228" s="82">
        <f ca="1"/>
        <v>0</v>
      </c>
      <c r="I228" s="82">
        <f t="shared" ca="1" si="22"/>
        <v>120</v>
      </c>
      <c r="J228" s="83">
        <f t="shared" ca="1" si="20"/>
        <v>0.57971014492753625</v>
      </c>
      <c r="N228" s="60">
        <v>207</v>
      </c>
      <c r="O228" s="82">
        <f ca="1">IF(AND(N228&lt;=U$22,RAND()&lt;=$H$7),1,0)</f>
        <v>1</v>
      </c>
      <c r="P228" s="82">
        <f t="shared" ca="1" si="23"/>
        <v>1</v>
      </c>
      <c r="Q228" s="84">
        <f t="shared" ca="1" si="24"/>
        <v>1</v>
      </c>
      <c r="R228" s="82">
        <f t="shared" ca="1" si="21"/>
        <v>4</v>
      </c>
      <c r="S228" s="82">
        <f ca="1">SUM(R$22:$R228)</f>
        <v>627.19999999999993</v>
      </c>
      <c r="W228" s="60">
        <v>207</v>
      </c>
      <c r="X228" s="82">
        <f ca="1"/>
        <v>2578.4000000000074</v>
      </c>
    </row>
    <row r="229" spans="7:24" x14ac:dyDescent="0.2">
      <c r="G229" s="60">
        <v>208</v>
      </c>
      <c r="H229" s="82">
        <f ca="1"/>
        <v>1</v>
      </c>
      <c r="I229" s="82">
        <f t="shared" ca="1" si="22"/>
        <v>121</v>
      </c>
      <c r="J229" s="83">
        <f t="shared" ca="1" si="20"/>
        <v>0.58173076923076927</v>
      </c>
      <c r="N229" s="60">
        <v>208</v>
      </c>
      <c r="O229" s="82">
        <f ca="1">IF(AND(N229&lt;=U$22,RAND()&lt;=$H$7),1,0)</f>
        <v>1</v>
      </c>
      <c r="P229" s="82">
        <f t="shared" ca="1" si="23"/>
        <v>2</v>
      </c>
      <c r="Q229" s="84">
        <f t="shared" ca="1" si="24"/>
        <v>1.1000000000000001</v>
      </c>
      <c r="R229" s="82">
        <f t="shared" ca="1" si="21"/>
        <v>4.4000000000000004</v>
      </c>
      <c r="S229" s="82">
        <f ca="1">SUM(R$22:$R229)</f>
        <v>631.59999999999991</v>
      </c>
      <c r="W229" s="60">
        <v>208</v>
      </c>
      <c r="X229" s="82">
        <f ca="1"/>
        <v>2774.0000000000064</v>
      </c>
    </row>
    <row r="230" spans="7:24" x14ac:dyDescent="0.2">
      <c r="G230" s="60">
        <v>209</v>
      </c>
      <c r="H230" s="82">
        <f ca="1"/>
        <v>1</v>
      </c>
      <c r="I230" s="82">
        <f t="shared" ca="1" si="22"/>
        <v>122</v>
      </c>
      <c r="J230" s="83">
        <f t="shared" ca="1" si="20"/>
        <v>0.58373205741626799</v>
      </c>
      <c r="N230" s="60">
        <v>209</v>
      </c>
      <c r="O230" s="82">
        <f ca="1">IF(AND(N230&lt;=U$22,RAND()&lt;=$H$7),1,0)</f>
        <v>0</v>
      </c>
      <c r="P230" s="82">
        <f t="shared" ca="1" si="23"/>
        <v>0</v>
      </c>
      <c r="Q230" s="84">
        <f t="shared" ca="1" si="24"/>
        <v>1</v>
      </c>
      <c r="R230" s="82">
        <f t="shared" ca="1" si="21"/>
        <v>0</v>
      </c>
      <c r="S230" s="82">
        <f ca="1">SUM(R$22:$R230)</f>
        <v>631.59999999999991</v>
      </c>
      <c r="W230" s="60">
        <v>209</v>
      </c>
      <c r="X230" s="82">
        <f ca="1"/>
        <v>2607.6000000000081</v>
      </c>
    </row>
    <row r="231" spans="7:24" x14ac:dyDescent="0.2">
      <c r="G231" s="60">
        <v>210</v>
      </c>
      <c r="H231" s="82">
        <f ca="1"/>
        <v>1</v>
      </c>
      <c r="I231" s="82">
        <f t="shared" ca="1" si="22"/>
        <v>123</v>
      </c>
      <c r="J231" s="83">
        <f t="shared" ca="1" si="20"/>
        <v>0.58571428571428574</v>
      </c>
      <c r="N231" s="60">
        <v>210</v>
      </c>
      <c r="O231" s="82">
        <f ca="1">IF(AND(N231&lt;=U$22,RAND()&lt;=$H$7),1,0)</f>
        <v>0</v>
      </c>
      <c r="P231" s="82">
        <f t="shared" ca="1" si="23"/>
        <v>0</v>
      </c>
      <c r="Q231" s="84">
        <f t="shared" ca="1" si="24"/>
        <v>1</v>
      </c>
      <c r="R231" s="82">
        <f t="shared" ca="1" si="21"/>
        <v>0</v>
      </c>
      <c r="S231" s="82">
        <f ca="1">SUM(R$22:$R231)</f>
        <v>631.59999999999991</v>
      </c>
      <c r="W231" s="60">
        <v>210</v>
      </c>
      <c r="X231" s="82">
        <f ca="1"/>
        <v>2612.4000000000069</v>
      </c>
    </row>
    <row r="232" spans="7:24" x14ac:dyDescent="0.2">
      <c r="G232" s="60">
        <v>211</v>
      </c>
      <c r="H232" s="82">
        <f ca="1"/>
        <v>1</v>
      </c>
      <c r="I232" s="82">
        <f t="shared" ca="1" si="22"/>
        <v>124</v>
      </c>
      <c r="J232" s="83">
        <f t="shared" ca="1" si="20"/>
        <v>0.58767772511848337</v>
      </c>
      <c r="N232" s="60">
        <v>211</v>
      </c>
      <c r="O232" s="82">
        <f ca="1">IF(AND(N232&lt;=U$22,RAND()&lt;=$H$7),1,0)</f>
        <v>0</v>
      </c>
      <c r="P232" s="82">
        <f t="shared" ca="1" si="23"/>
        <v>0</v>
      </c>
      <c r="Q232" s="84">
        <f t="shared" ca="1" si="24"/>
        <v>1</v>
      </c>
      <c r="R232" s="82">
        <f t="shared" ca="1" si="21"/>
        <v>0</v>
      </c>
      <c r="S232" s="82">
        <f ca="1">SUM(R$22:$R232)</f>
        <v>631.59999999999991</v>
      </c>
      <c r="W232" s="60">
        <v>211</v>
      </c>
      <c r="X232" s="82">
        <f ca="1"/>
        <v>2729.2000000000075</v>
      </c>
    </row>
    <row r="233" spans="7:24" x14ac:dyDescent="0.2">
      <c r="G233" s="60">
        <v>212</v>
      </c>
      <c r="H233" s="82">
        <f ca="1"/>
        <v>0</v>
      </c>
      <c r="I233" s="82">
        <f t="shared" ca="1" si="22"/>
        <v>124</v>
      </c>
      <c r="J233" s="83">
        <f t="shared" ca="1" si="20"/>
        <v>0.58490566037735847</v>
      </c>
      <c r="N233" s="60">
        <v>212</v>
      </c>
      <c r="O233" s="82">
        <f ca="1">IF(AND(N233&lt;=U$22,RAND()&lt;=$H$7),1,0)</f>
        <v>0</v>
      </c>
      <c r="P233" s="82">
        <f t="shared" ca="1" si="23"/>
        <v>0</v>
      </c>
      <c r="Q233" s="84">
        <f t="shared" ca="1" si="24"/>
        <v>1</v>
      </c>
      <c r="R233" s="82">
        <f t="shared" ca="1" si="21"/>
        <v>0</v>
      </c>
      <c r="S233" s="82">
        <f ca="1">SUM(R$22:$R233)</f>
        <v>631.59999999999991</v>
      </c>
      <c r="W233" s="60">
        <v>212</v>
      </c>
      <c r="X233" s="82">
        <f ca="1"/>
        <v>2794.4000000000074</v>
      </c>
    </row>
    <row r="234" spans="7:24" x14ac:dyDescent="0.2">
      <c r="G234" s="60">
        <v>213</v>
      </c>
      <c r="H234" s="82">
        <f ca="1"/>
        <v>1</v>
      </c>
      <c r="I234" s="82">
        <f t="shared" ca="1" si="22"/>
        <v>125</v>
      </c>
      <c r="J234" s="83">
        <f t="shared" ca="1" si="20"/>
        <v>0.58685446009389675</v>
      </c>
      <c r="N234" s="60">
        <v>213</v>
      </c>
      <c r="O234" s="82">
        <f ca="1">IF(AND(N234&lt;=U$22,RAND()&lt;=$H$7),1,0)</f>
        <v>1</v>
      </c>
      <c r="P234" s="82">
        <f t="shared" ca="1" si="23"/>
        <v>0</v>
      </c>
      <c r="Q234" s="84">
        <f t="shared" ca="1" si="24"/>
        <v>1</v>
      </c>
      <c r="R234" s="82">
        <f t="shared" ca="1" si="21"/>
        <v>4</v>
      </c>
      <c r="S234" s="82">
        <f ca="1">SUM(R$22:$R234)</f>
        <v>635.59999999999991</v>
      </c>
      <c r="W234" s="60">
        <v>213</v>
      </c>
      <c r="X234" s="82">
        <f ca="1"/>
        <v>2818.8000000000079</v>
      </c>
    </row>
    <row r="235" spans="7:24" x14ac:dyDescent="0.2">
      <c r="G235" s="60">
        <v>214</v>
      </c>
      <c r="H235" s="82">
        <f ca="1"/>
        <v>0</v>
      </c>
      <c r="I235" s="82">
        <f t="shared" ca="1" si="22"/>
        <v>125</v>
      </c>
      <c r="J235" s="83">
        <f t="shared" ca="1" si="20"/>
        <v>0.58411214953271029</v>
      </c>
      <c r="N235" s="60">
        <v>214</v>
      </c>
      <c r="O235" s="82">
        <f ca="1">IF(AND(N235&lt;=U$22,RAND()&lt;=$H$7),1,0)</f>
        <v>0</v>
      </c>
      <c r="P235" s="82">
        <f t="shared" ca="1" si="23"/>
        <v>0</v>
      </c>
      <c r="Q235" s="84">
        <f t="shared" ca="1" si="24"/>
        <v>1</v>
      </c>
      <c r="R235" s="82">
        <f t="shared" ca="1" si="21"/>
        <v>0</v>
      </c>
      <c r="S235" s="82">
        <f ca="1">SUM(R$22:$R235)</f>
        <v>635.59999999999991</v>
      </c>
      <c r="W235" s="60">
        <v>214</v>
      </c>
      <c r="X235" s="82">
        <f ca="1"/>
        <v>2794.0000000000086</v>
      </c>
    </row>
    <row r="236" spans="7:24" x14ac:dyDescent="0.2">
      <c r="G236" s="60">
        <v>215</v>
      </c>
      <c r="H236" s="82">
        <f ca="1"/>
        <v>1</v>
      </c>
      <c r="I236" s="82">
        <f t="shared" ca="1" si="22"/>
        <v>126</v>
      </c>
      <c r="J236" s="83">
        <f t="shared" ca="1" si="20"/>
        <v>0.586046511627907</v>
      </c>
      <c r="N236" s="60">
        <v>215</v>
      </c>
      <c r="O236" s="82">
        <f ca="1">IF(AND(N236&lt;=U$22,RAND()&lt;=$H$7),1,0)</f>
        <v>1</v>
      </c>
      <c r="P236" s="82">
        <f t="shared" ca="1" si="23"/>
        <v>0</v>
      </c>
      <c r="Q236" s="84">
        <f t="shared" ca="1" si="24"/>
        <v>1</v>
      </c>
      <c r="R236" s="82">
        <f t="shared" ca="1" si="21"/>
        <v>4</v>
      </c>
      <c r="S236" s="82">
        <f ca="1">SUM(R$22:$R236)</f>
        <v>639.59999999999991</v>
      </c>
      <c r="W236" s="60">
        <v>215</v>
      </c>
      <c r="X236" s="82">
        <f ca="1"/>
        <v>2773.2000000000071</v>
      </c>
    </row>
    <row r="237" spans="7:24" x14ac:dyDescent="0.2">
      <c r="G237" s="60">
        <v>216</v>
      </c>
      <c r="H237" s="82">
        <f ca="1"/>
        <v>1</v>
      </c>
      <c r="I237" s="82">
        <f t="shared" ca="1" si="22"/>
        <v>127</v>
      </c>
      <c r="J237" s="83">
        <f t="shared" ca="1" si="20"/>
        <v>0.58796296296296291</v>
      </c>
      <c r="N237" s="60">
        <v>216</v>
      </c>
      <c r="O237" s="82">
        <f ca="1">IF(AND(N237&lt;=U$22,RAND()&lt;=$H$7),1,0)</f>
        <v>1</v>
      </c>
      <c r="P237" s="82">
        <f t="shared" ca="1" si="23"/>
        <v>1</v>
      </c>
      <c r="Q237" s="84">
        <f t="shared" ca="1" si="24"/>
        <v>1</v>
      </c>
      <c r="R237" s="82">
        <f t="shared" ca="1" si="21"/>
        <v>4</v>
      </c>
      <c r="S237" s="82">
        <f ca="1">SUM(R$22:$R237)</f>
        <v>643.59999999999991</v>
      </c>
      <c r="W237" s="60">
        <v>216</v>
      </c>
      <c r="X237" s="82">
        <f ca="1"/>
        <v>2844.0000000000055</v>
      </c>
    </row>
    <row r="238" spans="7:24" x14ac:dyDescent="0.2">
      <c r="G238" s="60">
        <v>217</v>
      </c>
      <c r="H238" s="82">
        <f ca="1"/>
        <v>1</v>
      </c>
      <c r="I238" s="82">
        <f t="shared" ca="1" si="22"/>
        <v>128</v>
      </c>
      <c r="J238" s="83">
        <f t="shared" ca="1" si="20"/>
        <v>0.58986175115207373</v>
      </c>
      <c r="N238" s="60">
        <v>217</v>
      </c>
      <c r="O238" s="82">
        <f ca="1">IF(AND(N238&lt;=U$22,RAND()&lt;=$H$7),1,0)</f>
        <v>1</v>
      </c>
      <c r="P238" s="82">
        <f t="shared" ca="1" si="23"/>
        <v>2</v>
      </c>
      <c r="Q238" s="84">
        <f t="shared" ca="1" si="24"/>
        <v>1.1000000000000001</v>
      </c>
      <c r="R238" s="82">
        <f t="shared" ca="1" si="21"/>
        <v>4.4000000000000004</v>
      </c>
      <c r="S238" s="82">
        <f ca="1">SUM(R$22:$R238)</f>
        <v>647.99999999999989</v>
      </c>
      <c r="W238" s="60">
        <v>217</v>
      </c>
      <c r="X238" s="82">
        <f ca="1"/>
        <v>2708.0000000000082</v>
      </c>
    </row>
    <row r="239" spans="7:24" x14ac:dyDescent="0.2">
      <c r="G239" s="60">
        <v>218</v>
      </c>
      <c r="H239" s="82">
        <f ca="1"/>
        <v>1</v>
      </c>
      <c r="I239" s="82">
        <f t="shared" ca="1" si="22"/>
        <v>129</v>
      </c>
      <c r="J239" s="83">
        <f t="shared" ca="1" si="20"/>
        <v>0.59174311926605505</v>
      </c>
      <c r="N239" s="60">
        <v>218</v>
      </c>
      <c r="O239" s="82">
        <f ca="1">IF(AND(N239&lt;=U$22,RAND()&lt;=$H$7),1,0)</f>
        <v>1</v>
      </c>
      <c r="P239" s="82">
        <f t="shared" ca="1" si="23"/>
        <v>3</v>
      </c>
      <c r="Q239" s="84">
        <f t="shared" ca="1" si="24"/>
        <v>1.2</v>
      </c>
      <c r="R239" s="82">
        <f t="shared" ca="1" si="21"/>
        <v>4.8</v>
      </c>
      <c r="S239" s="82">
        <f ca="1">SUM(R$22:$R239)</f>
        <v>652.79999999999984</v>
      </c>
      <c r="W239" s="60">
        <v>218</v>
      </c>
      <c r="X239" s="82">
        <f ca="1"/>
        <v>2555.2000000000057</v>
      </c>
    </row>
    <row r="240" spans="7:24" x14ac:dyDescent="0.2">
      <c r="G240" s="60">
        <v>219</v>
      </c>
      <c r="H240" s="82">
        <f ca="1"/>
        <v>1</v>
      </c>
      <c r="I240" s="82">
        <f t="shared" ca="1" si="22"/>
        <v>130</v>
      </c>
      <c r="J240" s="83">
        <f t="shared" ca="1" si="20"/>
        <v>0.59360730593607303</v>
      </c>
      <c r="N240" s="60">
        <v>219</v>
      </c>
      <c r="O240" s="82">
        <f ca="1">IF(AND(N240&lt;=U$22,RAND()&lt;=$H$7),1,0)</f>
        <v>0</v>
      </c>
      <c r="P240" s="82">
        <f t="shared" ca="1" si="23"/>
        <v>0</v>
      </c>
      <c r="Q240" s="84">
        <f t="shared" ca="1" si="24"/>
        <v>1</v>
      </c>
      <c r="R240" s="82">
        <f t="shared" ca="1" si="21"/>
        <v>0</v>
      </c>
      <c r="S240" s="82">
        <f ca="1">SUM(R$22:$R240)</f>
        <v>652.79999999999984</v>
      </c>
      <c r="W240" s="60">
        <v>219</v>
      </c>
      <c r="X240" s="82">
        <f ca="1"/>
        <v>2721.2000000000057</v>
      </c>
    </row>
    <row r="241" spans="7:24" x14ac:dyDescent="0.2">
      <c r="G241" s="60">
        <v>220</v>
      </c>
      <c r="H241" s="82">
        <f ca="1"/>
        <v>1</v>
      </c>
      <c r="I241" s="82">
        <f t="shared" ca="1" si="22"/>
        <v>131</v>
      </c>
      <c r="J241" s="83">
        <f t="shared" ca="1" si="20"/>
        <v>0.59545454545454546</v>
      </c>
      <c r="N241" s="60">
        <v>220</v>
      </c>
      <c r="O241" s="82">
        <f ca="1">IF(AND(N241&lt;=U$22,RAND()&lt;=$H$7),1,0)</f>
        <v>0</v>
      </c>
      <c r="P241" s="82">
        <f t="shared" ca="1" si="23"/>
        <v>0</v>
      </c>
      <c r="Q241" s="84">
        <f t="shared" ca="1" si="24"/>
        <v>1</v>
      </c>
      <c r="R241" s="82">
        <f t="shared" ca="1" si="21"/>
        <v>0</v>
      </c>
      <c r="S241" s="82">
        <f ca="1">SUM(R$22:$R241)</f>
        <v>652.79999999999984</v>
      </c>
      <c r="W241" s="60">
        <v>220</v>
      </c>
      <c r="X241" s="82">
        <f ca="1"/>
        <v>2630.0000000000059</v>
      </c>
    </row>
    <row r="242" spans="7:24" x14ac:dyDescent="0.2">
      <c r="G242" s="60">
        <v>221</v>
      </c>
      <c r="H242" s="82">
        <f ca="1"/>
        <v>0</v>
      </c>
      <c r="I242" s="82">
        <f t="shared" ca="1" si="22"/>
        <v>131</v>
      </c>
      <c r="J242" s="83">
        <f t="shared" ca="1" si="20"/>
        <v>0.59276018099547512</v>
      </c>
      <c r="N242" s="60">
        <v>221</v>
      </c>
      <c r="O242" s="82">
        <f ca="1">IF(AND(N242&lt;=U$22,RAND()&lt;=$H$7),1,0)</f>
        <v>1</v>
      </c>
      <c r="P242" s="82">
        <f t="shared" ca="1" si="23"/>
        <v>0</v>
      </c>
      <c r="Q242" s="84">
        <f t="shared" ca="1" si="24"/>
        <v>1</v>
      </c>
      <c r="R242" s="82">
        <f t="shared" ca="1" si="21"/>
        <v>4</v>
      </c>
      <c r="S242" s="82">
        <f ca="1">SUM(R$22:$R242)</f>
        <v>656.79999999999984</v>
      </c>
      <c r="W242" s="60">
        <v>221</v>
      </c>
      <c r="X242" s="82">
        <f ca="1"/>
        <v>2695.6000000000072</v>
      </c>
    </row>
    <row r="243" spans="7:24" x14ac:dyDescent="0.2">
      <c r="G243" s="60">
        <v>222</v>
      </c>
      <c r="H243" s="82">
        <f ca="1"/>
        <v>1</v>
      </c>
      <c r="I243" s="82">
        <f t="shared" ca="1" si="22"/>
        <v>132</v>
      </c>
      <c r="J243" s="83">
        <f t="shared" ca="1" si="20"/>
        <v>0.59459459459459463</v>
      </c>
      <c r="N243" s="60">
        <v>222</v>
      </c>
      <c r="O243" s="82">
        <f ca="1">IF(AND(N243&lt;=U$22,RAND()&lt;=$H$7),1,0)</f>
        <v>0</v>
      </c>
      <c r="P243" s="82">
        <f t="shared" ca="1" si="23"/>
        <v>0</v>
      </c>
      <c r="Q243" s="84">
        <f t="shared" ca="1" si="24"/>
        <v>1</v>
      </c>
      <c r="R243" s="82">
        <f t="shared" ca="1" si="21"/>
        <v>0</v>
      </c>
      <c r="S243" s="82">
        <f ca="1">SUM(R$22:$R243)</f>
        <v>656.79999999999984</v>
      </c>
      <c r="W243" s="60">
        <v>222</v>
      </c>
      <c r="X243" s="82">
        <f ca="1"/>
        <v>2683.2000000000057</v>
      </c>
    </row>
    <row r="244" spans="7:24" x14ac:dyDescent="0.2">
      <c r="G244" s="60">
        <v>223</v>
      </c>
      <c r="H244" s="82">
        <f ca="1"/>
        <v>1</v>
      </c>
      <c r="I244" s="82">
        <f t="shared" ca="1" si="22"/>
        <v>133</v>
      </c>
      <c r="J244" s="83">
        <f t="shared" ca="1" si="20"/>
        <v>0.5964125560538116</v>
      </c>
      <c r="N244" s="60">
        <v>223</v>
      </c>
      <c r="O244" s="82">
        <f ca="1">IF(AND(N244&lt;=U$22,RAND()&lt;=$H$7),1,0)</f>
        <v>1</v>
      </c>
      <c r="P244" s="82">
        <f t="shared" ca="1" si="23"/>
        <v>0</v>
      </c>
      <c r="Q244" s="84">
        <f t="shared" ca="1" si="24"/>
        <v>1</v>
      </c>
      <c r="R244" s="82">
        <f t="shared" ca="1" si="21"/>
        <v>4</v>
      </c>
      <c r="S244" s="82">
        <f ca="1">SUM(R$22:$R244)</f>
        <v>660.79999999999984</v>
      </c>
      <c r="W244" s="60">
        <v>223</v>
      </c>
      <c r="X244" s="82">
        <f ca="1"/>
        <v>2693.2000000000075</v>
      </c>
    </row>
    <row r="245" spans="7:24" x14ac:dyDescent="0.2">
      <c r="G245" s="60">
        <v>224</v>
      </c>
      <c r="H245" s="82">
        <f ca="1"/>
        <v>0</v>
      </c>
      <c r="I245" s="82">
        <f t="shared" ca="1" si="22"/>
        <v>133</v>
      </c>
      <c r="J245" s="83">
        <f t="shared" ca="1" si="20"/>
        <v>0.59375</v>
      </c>
      <c r="N245" s="60">
        <v>224</v>
      </c>
      <c r="O245" s="82">
        <f ca="1">IF(AND(N245&lt;=U$22,RAND()&lt;=$H$7),1,0)</f>
        <v>1</v>
      </c>
      <c r="P245" s="82">
        <f t="shared" ca="1" si="23"/>
        <v>1</v>
      </c>
      <c r="Q245" s="84">
        <f t="shared" ca="1" si="24"/>
        <v>1</v>
      </c>
      <c r="R245" s="82">
        <f t="shared" ca="1" si="21"/>
        <v>4</v>
      </c>
      <c r="S245" s="82">
        <f ca="1">SUM(R$22:$R245)</f>
        <v>664.79999999999984</v>
      </c>
      <c r="W245" s="60">
        <v>224</v>
      </c>
      <c r="X245" s="82">
        <f ca="1"/>
        <v>2804.0000000000086</v>
      </c>
    </row>
    <row r="246" spans="7:24" x14ac:dyDescent="0.2">
      <c r="G246" s="60">
        <v>225</v>
      </c>
      <c r="H246" s="82">
        <f ca="1"/>
        <v>0</v>
      </c>
      <c r="I246" s="82">
        <f t="shared" ca="1" si="22"/>
        <v>133</v>
      </c>
      <c r="J246" s="83">
        <f t="shared" ca="1" si="20"/>
        <v>0.59111111111111114</v>
      </c>
      <c r="N246" s="60">
        <v>225</v>
      </c>
      <c r="O246" s="82">
        <f ca="1">IF(AND(N246&lt;=U$22,RAND()&lt;=$H$7),1,0)</f>
        <v>1</v>
      </c>
      <c r="P246" s="82">
        <f t="shared" ca="1" si="23"/>
        <v>2</v>
      </c>
      <c r="Q246" s="84">
        <f t="shared" ca="1" si="24"/>
        <v>1.1000000000000001</v>
      </c>
      <c r="R246" s="82">
        <f t="shared" ca="1" si="21"/>
        <v>4.4000000000000004</v>
      </c>
      <c r="S246" s="82">
        <f ca="1">SUM(R$22:$R246)</f>
        <v>669.19999999999982</v>
      </c>
      <c r="W246" s="60">
        <v>225</v>
      </c>
      <c r="X246" s="82">
        <f ca="1"/>
        <v>2709.6000000000072</v>
      </c>
    </row>
    <row r="247" spans="7:24" x14ac:dyDescent="0.2">
      <c r="G247" s="60">
        <v>226</v>
      </c>
      <c r="H247" s="82">
        <f ca="1"/>
        <v>0</v>
      </c>
      <c r="I247" s="82">
        <f t="shared" ca="1" si="22"/>
        <v>133</v>
      </c>
      <c r="J247" s="83">
        <f t="shared" ca="1" si="20"/>
        <v>0.58849557522123896</v>
      </c>
      <c r="N247" s="60">
        <v>226</v>
      </c>
      <c r="O247" s="82">
        <f ca="1">IF(AND(N247&lt;=U$22,RAND()&lt;=$H$7),1,0)</f>
        <v>1</v>
      </c>
      <c r="P247" s="82">
        <f t="shared" ca="1" si="23"/>
        <v>3</v>
      </c>
      <c r="Q247" s="84">
        <f t="shared" ca="1" si="24"/>
        <v>1.2</v>
      </c>
      <c r="R247" s="82">
        <f t="shared" ca="1" si="21"/>
        <v>4.8</v>
      </c>
      <c r="S247" s="82">
        <f ca="1">SUM(R$22:$R247)</f>
        <v>673.99999999999977</v>
      </c>
      <c r="W247" s="60">
        <v>226</v>
      </c>
      <c r="X247" s="82">
        <f ca="1"/>
        <v>2899.2000000000089</v>
      </c>
    </row>
    <row r="248" spans="7:24" x14ac:dyDescent="0.2">
      <c r="G248" s="60">
        <v>227</v>
      </c>
      <c r="H248" s="82">
        <f ca="1"/>
        <v>0</v>
      </c>
      <c r="I248" s="82">
        <f t="shared" ca="1" si="22"/>
        <v>133</v>
      </c>
      <c r="J248" s="83">
        <f t="shared" ca="1" si="20"/>
        <v>0.58590308370044053</v>
      </c>
      <c r="N248" s="60">
        <v>227</v>
      </c>
      <c r="O248" s="82">
        <f ca="1">IF(AND(N248&lt;=U$22,RAND()&lt;=$H$7),1,0)</f>
        <v>1</v>
      </c>
      <c r="P248" s="82">
        <f t="shared" ca="1" si="23"/>
        <v>4</v>
      </c>
      <c r="Q248" s="84">
        <f t="shared" ca="1" si="24"/>
        <v>1.3</v>
      </c>
      <c r="R248" s="82">
        <f t="shared" ca="1" si="21"/>
        <v>5.2</v>
      </c>
      <c r="S248" s="82">
        <f ca="1">SUM(R$22:$R248)</f>
        <v>679.19999999999982</v>
      </c>
      <c r="W248" s="60">
        <v>227</v>
      </c>
      <c r="X248" s="82">
        <f ca="1"/>
        <v>2725.2000000000071</v>
      </c>
    </row>
    <row r="249" spans="7:24" x14ac:dyDescent="0.2">
      <c r="G249" s="60">
        <v>228</v>
      </c>
      <c r="H249" s="82">
        <f ca="1"/>
        <v>1</v>
      </c>
      <c r="I249" s="82">
        <f t="shared" ca="1" si="22"/>
        <v>134</v>
      </c>
      <c r="J249" s="83">
        <f t="shared" ca="1" si="20"/>
        <v>0.58771929824561409</v>
      </c>
      <c r="N249" s="60">
        <v>228</v>
      </c>
      <c r="O249" s="82">
        <f ca="1">IF(AND(N249&lt;=U$22,RAND()&lt;=$H$7),1,0)</f>
        <v>1</v>
      </c>
      <c r="P249" s="82">
        <f t="shared" ca="1" si="23"/>
        <v>5</v>
      </c>
      <c r="Q249" s="84">
        <f t="shared" ca="1" si="24"/>
        <v>1.4</v>
      </c>
      <c r="R249" s="82">
        <f t="shared" ca="1" si="21"/>
        <v>5.6</v>
      </c>
      <c r="S249" s="82">
        <f ca="1">SUM(R$22:$R249)</f>
        <v>684.79999999999984</v>
      </c>
      <c r="W249" s="60">
        <v>228</v>
      </c>
      <c r="X249" s="82">
        <f ca="1"/>
        <v>2738.0000000000082</v>
      </c>
    </row>
    <row r="250" spans="7:24" x14ac:dyDescent="0.2">
      <c r="G250" s="60">
        <v>229</v>
      </c>
      <c r="H250" s="82">
        <f ca="1"/>
        <v>1</v>
      </c>
      <c r="I250" s="82">
        <f t="shared" ca="1" si="22"/>
        <v>135</v>
      </c>
      <c r="J250" s="83">
        <f t="shared" ca="1" si="20"/>
        <v>0.58951965065502188</v>
      </c>
      <c r="N250" s="60">
        <v>229</v>
      </c>
      <c r="O250" s="82">
        <f ca="1">IF(AND(N250&lt;=U$22,RAND()&lt;=$H$7),1,0)</f>
        <v>1</v>
      </c>
      <c r="P250" s="82">
        <f t="shared" ca="1" si="23"/>
        <v>6</v>
      </c>
      <c r="Q250" s="84">
        <f t="shared" ca="1" si="24"/>
        <v>1.5</v>
      </c>
      <c r="R250" s="82">
        <f t="shared" ca="1" si="21"/>
        <v>6</v>
      </c>
      <c r="S250" s="82">
        <f ca="1">SUM(R$22:$R250)</f>
        <v>690.79999999999984</v>
      </c>
      <c r="W250" s="60">
        <v>229</v>
      </c>
      <c r="X250" s="82">
        <f ca="1"/>
        <v>2631.6000000000081</v>
      </c>
    </row>
    <row r="251" spans="7:24" x14ac:dyDescent="0.2">
      <c r="G251" s="60">
        <v>230</v>
      </c>
      <c r="H251" s="82">
        <f ca="1"/>
        <v>1</v>
      </c>
      <c r="I251" s="82">
        <f t="shared" ca="1" si="22"/>
        <v>136</v>
      </c>
      <c r="J251" s="83">
        <f t="shared" ca="1" si="20"/>
        <v>0.59130434782608698</v>
      </c>
      <c r="N251" s="60">
        <v>230</v>
      </c>
      <c r="O251" s="82">
        <f ca="1">IF(AND(N251&lt;=U$22,RAND()&lt;=$H$7),1,0)</f>
        <v>0</v>
      </c>
      <c r="P251" s="82">
        <f t="shared" ca="1" si="23"/>
        <v>0</v>
      </c>
      <c r="Q251" s="84">
        <f t="shared" ca="1" si="24"/>
        <v>1</v>
      </c>
      <c r="R251" s="82">
        <f t="shared" ca="1" si="21"/>
        <v>0</v>
      </c>
      <c r="S251" s="82">
        <f ca="1">SUM(R$22:$R251)</f>
        <v>690.79999999999984</v>
      </c>
      <c r="W251" s="60">
        <v>230</v>
      </c>
      <c r="X251" s="82">
        <f ca="1"/>
        <v>2840.0000000000086</v>
      </c>
    </row>
    <row r="252" spans="7:24" x14ac:dyDescent="0.2">
      <c r="G252" s="60">
        <v>231</v>
      </c>
      <c r="H252" s="82">
        <f ca="1"/>
        <v>1</v>
      </c>
      <c r="I252" s="82">
        <f t="shared" ca="1" si="22"/>
        <v>137</v>
      </c>
      <c r="J252" s="83">
        <f t="shared" ca="1" si="20"/>
        <v>0.59307359307359309</v>
      </c>
      <c r="N252" s="60">
        <v>231</v>
      </c>
      <c r="O252" s="82">
        <f ca="1">IF(AND(N252&lt;=U$22,RAND()&lt;=$H$7),1,0)</f>
        <v>1</v>
      </c>
      <c r="P252" s="82">
        <f t="shared" ca="1" si="23"/>
        <v>0</v>
      </c>
      <c r="Q252" s="84">
        <f t="shared" ca="1" si="24"/>
        <v>1</v>
      </c>
      <c r="R252" s="82">
        <f t="shared" ca="1" si="21"/>
        <v>4</v>
      </c>
      <c r="S252" s="82">
        <f ca="1">SUM(R$22:$R252)</f>
        <v>694.79999999999984</v>
      </c>
      <c r="W252" s="60">
        <v>231</v>
      </c>
      <c r="X252" s="82">
        <f ca="1"/>
        <v>2686.0000000000059</v>
      </c>
    </row>
    <row r="253" spans="7:24" x14ac:dyDescent="0.2">
      <c r="G253" s="60">
        <v>232</v>
      </c>
      <c r="H253" s="82">
        <f ca="1"/>
        <v>1</v>
      </c>
      <c r="I253" s="82">
        <f t="shared" ca="1" si="22"/>
        <v>138</v>
      </c>
      <c r="J253" s="83">
        <f t="shared" ca="1" si="20"/>
        <v>0.59482758620689657</v>
      </c>
      <c r="N253" s="60">
        <v>232</v>
      </c>
      <c r="O253" s="82">
        <f ca="1">IF(AND(N253&lt;=U$22,RAND()&lt;=$H$7),1,0)</f>
        <v>1</v>
      </c>
      <c r="P253" s="82">
        <f t="shared" ca="1" si="23"/>
        <v>1</v>
      </c>
      <c r="Q253" s="84">
        <f t="shared" ca="1" si="24"/>
        <v>1</v>
      </c>
      <c r="R253" s="82">
        <f t="shared" ca="1" si="21"/>
        <v>4</v>
      </c>
      <c r="S253" s="82">
        <f ca="1">SUM(R$22:$R253)</f>
        <v>698.79999999999984</v>
      </c>
      <c r="W253" s="60">
        <v>232</v>
      </c>
      <c r="X253" s="82">
        <f ca="1"/>
        <v>2867.2000000000075</v>
      </c>
    </row>
    <row r="254" spans="7:24" x14ac:dyDescent="0.2">
      <c r="G254" s="60">
        <v>233</v>
      </c>
      <c r="H254" s="82">
        <f ca="1"/>
        <v>0</v>
      </c>
      <c r="I254" s="82">
        <f t="shared" ca="1" si="22"/>
        <v>138</v>
      </c>
      <c r="J254" s="83">
        <f t="shared" ca="1" si="20"/>
        <v>0.59227467811158796</v>
      </c>
      <c r="N254" s="60">
        <v>233</v>
      </c>
      <c r="O254" s="82">
        <f ca="1">IF(AND(N254&lt;=U$22,RAND()&lt;=$H$7),1,0)</f>
        <v>1</v>
      </c>
      <c r="P254" s="82">
        <f t="shared" ca="1" si="23"/>
        <v>2</v>
      </c>
      <c r="Q254" s="84">
        <f t="shared" ca="1" si="24"/>
        <v>1.1000000000000001</v>
      </c>
      <c r="R254" s="82">
        <f t="shared" ca="1" si="21"/>
        <v>4.4000000000000004</v>
      </c>
      <c r="S254" s="82">
        <f ca="1">SUM(R$22:$R254)</f>
        <v>703.19999999999982</v>
      </c>
      <c r="W254" s="60">
        <v>233</v>
      </c>
      <c r="X254" s="82">
        <f ca="1"/>
        <v>2539.2000000000057</v>
      </c>
    </row>
    <row r="255" spans="7:24" x14ac:dyDescent="0.2">
      <c r="G255" s="60">
        <v>234</v>
      </c>
      <c r="H255" s="82">
        <f ca="1"/>
        <v>1</v>
      </c>
      <c r="I255" s="82">
        <f t="shared" ca="1" si="22"/>
        <v>139</v>
      </c>
      <c r="J255" s="83">
        <f t="shared" ca="1" si="20"/>
        <v>0.59401709401709402</v>
      </c>
      <c r="N255" s="60">
        <v>234</v>
      </c>
      <c r="O255" s="82">
        <f ca="1">IF(AND(N255&lt;=U$22,RAND()&lt;=$H$7),1,0)</f>
        <v>1</v>
      </c>
      <c r="P255" s="82">
        <f t="shared" ca="1" si="23"/>
        <v>3</v>
      </c>
      <c r="Q255" s="84">
        <f t="shared" ca="1" si="24"/>
        <v>1.2</v>
      </c>
      <c r="R255" s="82">
        <f t="shared" ca="1" si="21"/>
        <v>4.8</v>
      </c>
      <c r="S255" s="82">
        <f ca="1">SUM(R$22:$R255)</f>
        <v>707.99999999999977</v>
      </c>
      <c r="W255" s="60">
        <v>234</v>
      </c>
      <c r="X255" s="82">
        <f ca="1"/>
        <v>2667.2000000000071</v>
      </c>
    </row>
    <row r="256" spans="7:24" x14ac:dyDescent="0.2">
      <c r="G256" s="60">
        <v>235</v>
      </c>
      <c r="H256" s="82">
        <f ca="1"/>
        <v>1</v>
      </c>
      <c r="I256" s="82">
        <f t="shared" ca="1" si="22"/>
        <v>140</v>
      </c>
      <c r="J256" s="83">
        <f t="shared" ca="1" si="20"/>
        <v>0.5957446808510638</v>
      </c>
      <c r="N256" s="60">
        <v>235</v>
      </c>
      <c r="O256" s="82">
        <f ca="1">IF(AND(N256&lt;=U$22,RAND()&lt;=$H$7),1,0)</f>
        <v>0</v>
      </c>
      <c r="P256" s="82">
        <f t="shared" ca="1" si="23"/>
        <v>0</v>
      </c>
      <c r="Q256" s="84">
        <f t="shared" ca="1" si="24"/>
        <v>1</v>
      </c>
      <c r="R256" s="82">
        <f t="shared" ca="1" si="21"/>
        <v>0</v>
      </c>
      <c r="S256" s="82">
        <f ca="1">SUM(R$22:$R256)</f>
        <v>707.99999999999977</v>
      </c>
      <c r="W256" s="60">
        <v>235</v>
      </c>
      <c r="X256" s="82">
        <f ca="1"/>
        <v>2765.6000000000076</v>
      </c>
    </row>
    <row r="257" spans="7:24" x14ac:dyDescent="0.2">
      <c r="G257" s="60">
        <v>236</v>
      </c>
      <c r="H257" s="82">
        <f ca="1"/>
        <v>1</v>
      </c>
      <c r="I257" s="82">
        <f t="shared" ca="1" si="22"/>
        <v>141</v>
      </c>
      <c r="J257" s="83">
        <f t="shared" ca="1" si="20"/>
        <v>0.59745762711864403</v>
      </c>
      <c r="N257" s="60">
        <v>236</v>
      </c>
      <c r="O257" s="82">
        <f ca="1">IF(AND(N257&lt;=U$22,RAND()&lt;=$H$7),1,0)</f>
        <v>1</v>
      </c>
      <c r="P257" s="82">
        <f t="shared" ca="1" si="23"/>
        <v>0</v>
      </c>
      <c r="Q257" s="84">
        <f t="shared" ca="1" si="24"/>
        <v>1</v>
      </c>
      <c r="R257" s="82">
        <f t="shared" ca="1" si="21"/>
        <v>4</v>
      </c>
      <c r="S257" s="82">
        <f ca="1">SUM(R$22:$R257)</f>
        <v>711.99999999999977</v>
      </c>
      <c r="W257" s="60">
        <v>236</v>
      </c>
      <c r="X257" s="82">
        <f ca="1"/>
        <v>2868.4000000000083</v>
      </c>
    </row>
    <row r="258" spans="7:24" x14ac:dyDescent="0.2">
      <c r="G258" s="60">
        <v>237</v>
      </c>
      <c r="H258" s="82">
        <f ca="1"/>
        <v>1</v>
      </c>
      <c r="I258" s="82">
        <f t="shared" ca="1" si="22"/>
        <v>142</v>
      </c>
      <c r="J258" s="83">
        <f t="shared" ca="1" si="20"/>
        <v>0.59915611814345993</v>
      </c>
      <c r="N258" s="60">
        <v>237</v>
      </c>
      <c r="O258" s="82">
        <f ca="1">IF(AND(N258&lt;=U$22,RAND()&lt;=$H$7),1,0)</f>
        <v>0</v>
      </c>
      <c r="P258" s="82">
        <f t="shared" ca="1" si="23"/>
        <v>0</v>
      </c>
      <c r="Q258" s="84">
        <f t="shared" ca="1" si="24"/>
        <v>1</v>
      </c>
      <c r="R258" s="82">
        <f t="shared" ca="1" si="21"/>
        <v>0</v>
      </c>
      <c r="S258" s="82">
        <f ca="1">SUM(R$22:$R258)</f>
        <v>711.99999999999977</v>
      </c>
      <c r="W258" s="60">
        <v>237</v>
      </c>
      <c r="X258" s="82">
        <f ca="1"/>
        <v>2754.0000000000082</v>
      </c>
    </row>
    <row r="259" spans="7:24" x14ac:dyDescent="0.2">
      <c r="G259" s="60">
        <v>238</v>
      </c>
      <c r="H259" s="82">
        <f ca="1"/>
        <v>0</v>
      </c>
      <c r="I259" s="82">
        <f t="shared" ca="1" si="22"/>
        <v>142</v>
      </c>
      <c r="J259" s="83">
        <f t="shared" ca="1" si="20"/>
        <v>0.59663865546218486</v>
      </c>
      <c r="N259" s="60">
        <v>238</v>
      </c>
      <c r="O259" s="82">
        <f ca="1">IF(AND(N259&lt;=U$22,RAND()&lt;=$H$7),1,0)</f>
        <v>0</v>
      </c>
      <c r="P259" s="82">
        <f t="shared" ca="1" si="23"/>
        <v>0</v>
      </c>
      <c r="Q259" s="84">
        <f t="shared" ca="1" si="24"/>
        <v>1</v>
      </c>
      <c r="R259" s="82">
        <f t="shared" ca="1" si="21"/>
        <v>0</v>
      </c>
      <c r="S259" s="82">
        <f ca="1">SUM(R$22:$R259)</f>
        <v>711.99999999999977</v>
      </c>
      <c r="W259" s="60">
        <v>238</v>
      </c>
      <c r="X259" s="82">
        <f ca="1"/>
        <v>2635.200000000008</v>
      </c>
    </row>
    <row r="260" spans="7:24" x14ac:dyDescent="0.2">
      <c r="G260" s="60">
        <v>239</v>
      </c>
      <c r="H260" s="82">
        <f ca="1"/>
        <v>1</v>
      </c>
      <c r="I260" s="82">
        <f t="shared" ca="1" si="22"/>
        <v>143</v>
      </c>
      <c r="J260" s="83">
        <f t="shared" ca="1" si="20"/>
        <v>0.59832635983263593</v>
      </c>
      <c r="N260" s="60">
        <v>239</v>
      </c>
      <c r="O260" s="82">
        <f ca="1">IF(AND(N260&lt;=U$22,RAND()&lt;=$H$7),1,0)</f>
        <v>1</v>
      </c>
      <c r="P260" s="82">
        <f t="shared" ca="1" si="23"/>
        <v>0</v>
      </c>
      <c r="Q260" s="84">
        <f t="shared" ca="1" si="24"/>
        <v>1</v>
      </c>
      <c r="R260" s="82">
        <f t="shared" ca="1" si="21"/>
        <v>4</v>
      </c>
      <c r="S260" s="82">
        <f ca="1">SUM(R$22:$R260)</f>
        <v>715.99999999999977</v>
      </c>
      <c r="W260" s="60">
        <v>239</v>
      </c>
      <c r="X260" s="82">
        <f ca="1"/>
        <v>2993.2000000000089</v>
      </c>
    </row>
    <row r="261" spans="7:24" x14ac:dyDescent="0.2">
      <c r="G261" s="60">
        <v>240</v>
      </c>
      <c r="H261" s="82">
        <f ca="1"/>
        <v>0</v>
      </c>
      <c r="I261" s="82">
        <f t="shared" ca="1" si="22"/>
        <v>143</v>
      </c>
      <c r="J261" s="83">
        <f t="shared" ca="1" si="20"/>
        <v>0.59583333333333333</v>
      </c>
      <c r="N261" s="60">
        <v>240</v>
      </c>
      <c r="O261" s="82">
        <f ca="1">IF(AND(N261&lt;=U$22,RAND()&lt;=$H$7),1,0)</f>
        <v>1</v>
      </c>
      <c r="P261" s="82">
        <f t="shared" ca="1" si="23"/>
        <v>1</v>
      </c>
      <c r="Q261" s="84">
        <f t="shared" ca="1" si="24"/>
        <v>1</v>
      </c>
      <c r="R261" s="82">
        <f t="shared" ca="1" si="21"/>
        <v>4</v>
      </c>
      <c r="S261" s="82">
        <f ca="1">SUM(R$22:$R261)</f>
        <v>719.99999999999977</v>
      </c>
      <c r="W261" s="60">
        <v>240</v>
      </c>
      <c r="X261" s="82">
        <f ca="1"/>
        <v>2697.6000000000072</v>
      </c>
    </row>
    <row r="262" spans="7:24" x14ac:dyDescent="0.2">
      <c r="G262" s="60">
        <v>241</v>
      </c>
      <c r="H262" s="82">
        <f ca="1"/>
        <v>0</v>
      </c>
      <c r="I262" s="82">
        <f t="shared" ca="1" si="22"/>
        <v>143</v>
      </c>
      <c r="J262" s="83">
        <f t="shared" ca="1" si="20"/>
        <v>0.59336099585062241</v>
      </c>
      <c r="N262" s="60">
        <v>241</v>
      </c>
      <c r="O262" s="82">
        <f ca="1">IF(AND(N262&lt;=U$22,RAND()&lt;=$H$7),1,0)</f>
        <v>1</v>
      </c>
      <c r="P262" s="82">
        <f t="shared" ca="1" si="23"/>
        <v>2</v>
      </c>
      <c r="Q262" s="84">
        <f t="shared" ca="1" si="24"/>
        <v>1.1000000000000001</v>
      </c>
      <c r="R262" s="82">
        <f t="shared" ca="1" si="21"/>
        <v>4.4000000000000004</v>
      </c>
      <c r="S262" s="82">
        <f ca="1">SUM(R$22:$R262)</f>
        <v>724.39999999999975</v>
      </c>
      <c r="W262" s="60">
        <v>241</v>
      </c>
      <c r="X262" s="82">
        <f ca="1"/>
        <v>2681.2000000000066</v>
      </c>
    </row>
    <row r="263" spans="7:24" x14ac:dyDescent="0.2">
      <c r="G263" s="60">
        <v>242</v>
      </c>
      <c r="H263" s="82">
        <f ca="1"/>
        <v>0</v>
      </c>
      <c r="I263" s="82">
        <f t="shared" ca="1" si="22"/>
        <v>143</v>
      </c>
      <c r="J263" s="83">
        <f t="shared" ca="1" si="20"/>
        <v>0.59090909090909094</v>
      </c>
      <c r="N263" s="60">
        <v>242</v>
      </c>
      <c r="O263" s="82">
        <f ca="1">IF(AND(N263&lt;=U$22,RAND()&lt;=$H$7),1,0)</f>
        <v>1</v>
      </c>
      <c r="P263" s="82">
        <f t="shared" ca="1" si="23"/>
        <v>3</v>
      </c>
      <c r="Q263" s="84">
        <f t="shared" ca="1" si="24"/>
        <v>1.2</v>
      </c>
      <c r="R263" s="82">
        <f t="shared" ca="1" si="21"/>
        <v>4.8</v>
      </c>
      <c r="S263" s="82">
        <f ca="1">SUM(R$22:$R263)</f>
        <v>729.1999999999997</v>
      </c>
      <c r="W263" s="60">
        <v>242</v>
      </c>
      <c r="X263" s="82">
        <f ca="1"/>
        <v>2621.6000000000054</v>
      </c>
    </row>
    <row r="264" spans="7:24" x14ac:dyDescent="0.2">
      <c r="G264" s="60">
        <v>243</v>
      </c>
      <c r="H264" s="82">
        <f ca="1"/>
        <v>1</v>
      </c>
      <c r="I264" s="82">
        <f t="shared" ca="1" si="22"/>
        <v>144</v>
      </c>
      <c r="J264" s="83">
        <f t="shared" ca="1" si="20"/>
        <v>0.59259259259259256</v>
      </c>
      <c r="N264" s="60">
        <v>243</v>
      </c>
      <c r="O264" s="82">
        <f ca="1">IF(AND(N264&lt;=U$22,RAND()&lt;=$H$7),1,0)</f>
        <v>1</v>
      </c>
      <c r="P264" s="82">
        <f t="shared" ca="1" si="23"/>
        <v>4</v>
      </c>
      <c r="Q264" s="84">
        <f t="shared" ca="1" si="24"/>
        <v>1.3</v>
      </c>
      <c r="R264" s="82">
        <f t="shared" ca="1" si="21"/>
        <v>5.2</v>
      </c>
      <c r="S264" s="82">
        <f ca="1">SUM(R$22:$R264)</f>
        <v>734.39999999999975</v>
      </c>
      <c r="W264" s="60">
        <v>243</v>
      </c>
      <c r="X264" s="82">
        <f ca="1"/>
        <v>2772.0000000000073</v>
      </c>
    </row>
    <row r="265" spans="7:24" x14ac:dyDescent="0.2">
      <c r="G265" s="60">
        <v>244</v>
      </c>
      <c r="H265" s="82">
        <f ca="1"/>
        <v>1</v>
      </c>
      <c r="I265" s="82">
        <f t="shared" ca="1" si="22"/>
        <v>145</v>
      </c>
      <c r="J265" s="83">
        <f t="shared" ca="1" si="20"/>
        <v>0.59426229508196726</v>
      </c>
      <c r="N265" s="60">
        <v>244</v>
      </c>
      <c r="O265" s="82">
        <f ca="1">IF(AND(N265&lt;=U$22,RAND()&lt;=$H$7),1,0)</f>
        <v>1</v>
      </c>
      <c r="P265" s="82">
        <f t="shared" ca="1" si="23"/>
        <v>5</v>
      </c>
      <c r="Q265" s="84">
        <f t="shared" ca="1" si="24"/>
        <v>1.4</v>
      </c>
      <c r="R265" s="82">
        <f t="shared" ca="1" si="21"/>
        <v>5.6</v>
      </c>
      <c r="S265" s="82">
        <f ca="1">SUM(R$22:$R265)</f>
        <v>739.99999999999977</v>
      </c>
      <c r="W265" s="60">
        <v>244</v>
      </c>
      <c r="X265" s="82">
        <f ca="1"/>
        <v>2706.4000000000069</v>
      </c>
    </row>
    <row r="266" spans="7:24" x14ac:dyDescent="0.2">
      <c r="G266" s="60">
        <v>245</v>
      </c>
      <c r="H266" s="82">
        <f ca="1"/>
        <v>1</v>
      </c>
      <c r="I266" s="82">
        <f t="shared" ca="1" si="22"/>
        <v>146</v>
      </c>
      <c r="J266" s="83">
        <f t="shared" ca="1" si="20"/>
        <v>0.59591836734693882</v>
      </c>
      <c r="N266" s="60">
        <v>245</v>
      </c>
      <c r="O266" s="82">
        <f ca="1">IF(AND(N266&lt;=U$22,RAND()&lt;=$H$7),1,0)</f>
        <v>1</v>
      </c>
      <c r="P266" s="82">
        <f t="shared" ca="1" si="23"/>
        <v>6</v>
      </c>
      <c r="Q266" s="84">
        <f t="shared" ca="1" si="24"/>
        <v>1.5</v>
      </c>
      <c r="R266" s="82">
        <f t="shared" ca="1" si="21"/>
        <v>6</v>
      </c>
      <c r="S266" s="82">
        <f ca="1">SUM(R$22:$R266)</f>
        <v>745.99999999999977</v>
      </c>
      <c r="W266" s="60">
        <v>245</v>
      </c>
      <c r="X266" s="82">
        <f ca="1"/>
        <v>2676.0000000000059</v>
      </c>
    </row>
    <row r="267" spans="7:24" x14ac:dyDescent="0.2">
      <c r="G267" s="60">
        <v>246</v>
      </c>
      <c r="H267" s="82">
        <f ca="1"/>
        <v>1</v>
      </c>
      <c r="I267" s="82">
        <f t="shared" ca="1" si="22"/>
        <v>147</v>
      </c>
      <c r="J267" s="83">
        <f t="shared" ca="1" si="20"/>
        <v>0.59756097560975607</v>
      </c>
      <c r="N267" s="60">
        <v>246</v>
      </c>
      <c r="O267" s="82">
        <f ca="1">IF(AND(N267&lt;=U$22,RAND()&lt;=$H$7),1,0)</f>
        <v>1</v>
      </c>
      <c r="P267" s="82">
        <f t="shared" ca="1" si="23"/>
        <v>7</v>
      </c>
      <c r="Q267" s="84">
        <f t="shared" ca="1" si="24"/>
        <v>1.6</v>
      </c>
      <c r="R267" s="82">
        <f t="shared" ca="1" si="21"/>
        <v>6.4</v>
      </c>
      <c r="S267" s="82">
        <f ca="1">SUM(R$22:$R267)</f>
        <v>752.39999999999975</v>
      </c>
      <c r="W267" s="60">
        <v>246</v>
      </c>
      <c r="X267" s="82">
        <f ca="1"/>
        <v>2802.0000000000095</v>
      </c>
    </row>
    <row r="268" spans="7:24" x14ac:dyDescent="0.2">
      <c r="G268" s="60">
        <v>247</v>
      </c>
      <c r="H268" s="82">
        <f ca="1"/>
        <v>1</v>
      </c>
      <c r="I268" s="82">
        <f t="shared" ca="1" si="22"/>
        <v>148</v>
      </c>
      <c r="J268" s="83">
        <f t="shared" ca="1" si="20"/>
        <v>0.59919028340080971</v>
      </c>
      <c r="N268" s="60">
        <v>247</v>
      </c>
      <c r="O268" s="82">
        <f ca="1">IF(AND(N268&lt;=U$22,RAND()&lt;=$H$7),1,0)</f>
        <v>1</v>
      </c>
      <c r="P268" s="82">
        <f t="shared" ca="1" si="23"/>
        <v>8</v>
      </c>
      <c r="Q268" s="84">
        <f t="shared" ca="1" si="24"/>
        <v>1.7000000000000002</v>
      </c>
      <c r="R268" s="82">
        <f t="shared" ca="1" si="21"/>
        <v>6.8000000000000007</v>
      </c>
      <c r="S268" s="82">
        <f ca="1">SUM(R$22:$R268)</f>
        <v>759.1999999999997</v>
      </c>
      <c r="W268" s="60">
        <v>247</v>
      </c>
      <c r="X268" s="82">
        <f ca="1"/>
        <v>2791.2000000000057</v>
      </c>
    </row>
    <row r="269" spans="7:24" x14ac:dyDescent="0.2">
      <c r="G269" s="60">
        <v>248</v>
      </c>
      <c r="H269" s="82">
        <f ca="1"/>
        <v>0</v>
      </c>
      <c r="I269" s="82">
        <f t="shared" ca="1" si="22"/>
        <v>148</v>
      </c>
      <c r="J269" s="83">
        <f t="shared" ca="1" si="20"/>
        <v>0.59677419354838712</v>
      </c>
      <c r="N269" s="60">
        <v>248</v>
      </c>
      <c r="O269" s="82">
        <f ca="1">IF(AND(N269&lt;=U$22,RAND()&lt;=$H$7),1,0)</f>
        <v>1</v>
      </c>
      <c r="P269" s="82">
        <f t="shared" ca="1" si="23"/>
        <v>9</v>
      </c>
      <c r="Q269" s="84">
        <f t="shared" ca="1" si="24"/>
        <v>1.8</v>
      </c>
      <c r="R269" s="82">
        <f t="shared" ca="1" si="21"/>
        <v>7.2</v>
      </c>
      <c r="S269" s="82">
        <f ca="1">SUM(R$22:$R269)</f>
        <v>766.39999999999975</v>
      </c>
      <c r="W269" s="60">
        <v>248</v>
      </c>
      <c r="X269" s="82">
        <f ca="1"/>
        <v>2673.2000000000075</v>
      </c>
    </row>
    <row r="270" spans="7:24" x14ac:dyDescent="0.2">
      <c r="G270" s="60">
        <v>249</v>
      </c>
      <c r="H270" s="82">
        <f ca="1"/>
        <v>1</v>
      </c>
      <c r="I270" s="82">
        <f t="shared" ca="1" si="22"/>
        <v>149</v>
      </c>
      <c r="J270" s="83">
        <f t="shared" ca="1" si="20"/>
        <v>0.59839357429718876</v>
      </c>
      <c r="N270" s="60">
        <v>249</v>
      </c>
      <c r="O270" s="82">
        <f ca="1">IF(AND(N270&lt;=U$22,RAND()&lt;=$H$7),1,0)</f>
        <v>0</v>
      </c>
      <c r="P270" s="82">
        <f t="shared" ca="1" si="23"/>
        <v>0</v>
      </c>
      <c r="Q270" s="84">
        <f t="shared" ca="1" si="24"/>
        <v>1</v>
      </c>
      <c r="R270" s="82">
        <f t="shared" ca="1" si="21"/>
        <v>0</v>
      </c>
      <c r="S270" s="82">
        <f ca="1">SUM(R$22:$R270)</f>
        <v>766.39999999999975</v>
      </c>
      <c r="W270" s="60">
        <v>249</v>
      </c>
      <c r="X270" s="82">
        <f ca="1"/>
        <v>2691.2000000000075</v>
      </c>
    </row>
    <row r="271" spans="7:24" x14ac:dyDescent="0.2">
      <c r="G271" s="60">
        <v>250</v>
      </c>
      <c r="H271" s="82">
        <f ca="1"/>
        <v>0</v>
      </c>
      <c r="I271" s="82">
        <f t="shared" ca="1" si="22"/>
        <v>149</v>
      </c>
      <c r="J271" s="83">
        <f t="shared" ca="1" si="20"/>
        <v>0.59599999999999997</v>
      </c>
      <c r="N271" s="60">
        <v>250</v>
      </c>
      <c r="O271" s="82">
        <f ca="1">IF(AND(N271&lt;=U$22,RAND()&lt;=$H$7),1,0)</f>
        <v>0</v>
      </c>
      <c r="P271" s="82">
        <f t="shared" ca="1" si="23"/>
        <v>0</v>
      </c>
      <c r="Q271" s="84">
        <f t="shared" ca="1" si="24"/>
        <v>1</v>
      </c>
      <c r="R271" s="82">
        <f t="shared" ca="1" si="21"/>
        <v>0</v>
      </c>
      <c r="S271" s="82">
        <f ca="1">SUM(R$22:$R271)</f>
        <v>766.39999999999975</v>
      </c>
      <c r="W271" s="60">
        <v>250</v>
      </c>
      <c r="X271" s="82">
        <f ca="1"/>
        <v>2666.0000000000068</v>
      </c>
    </row>
    <row r="272" spans="7:24" x14ac:dyDescent="0.2">
      <c r="G272" s="60">
        <v>251</v>
      </c>
      <c r="H272" s="82">
        <f ca="1"/>
        <v>1</v>
      </c>
      <c r="I272" s="82">
        <f t="shared" ca="1" si="22"/>
        <v>150</v>
      </c>
      <c r="J272" s="83">
        <f t="shared" ca="1" si="20"/>
        <v>0.59760956175298807</v>
      </c>
      <c r="N272" s="60">
        <v>251</v>
      </c>
      <c r="O272" s="82">
        <f ca="1">IF(AND(N272&lt;=U$22,RAND()&lt;=$H$7),1,0)</f>
        <v>1</v>
      </c>
      <c r="P272" s="82">
        <f t="shared" ca="1" si="23"/>
        <v>0</v>
      </c>
      <c r="Q272" s="84">
        <f t="shared" ca="1" si="24"/>
        <v>1</v>
      </c>
      <c r="R272" s="82">
        <f t="shared" ca="1" si="21"/>
        <v>4</v>
      </c>
      <c r="S272" s="82">
        <f ca="1">SUM(R$22:$R272)</f>
        <v>770.39999999999975</v>
      </c>
      <c r="W272" s="60">
        <v>251</v>
      </c>
      <c r="X272" s="82">
        <f ca="1"/>
        <v>2752.8000000000061</v>
      </c>
    </row>
    <row r="273" spans="7:24" x14ac:dyDescent="0.2">
      <c r="G273" s="60">
        <v>252</v>
      </c>
      <c r="H273" s="82">
        <f ca="1"/>
        <v>0</v>
      </c>
      <c r="I273" s="82">
        <f t="shared" ca="1" si="22"/>
        <v>150</v>
      </c>
      <c r="J273" s="83">
        <f t="shared" ca="1" si="20"/>
        <v>0.59523809523809523</v>
      </c>
      <c r="N273" s="60">
        <v>252</v>
      </c>
      <c r="O273" s="82">
        <f ca="1">IF(AND(N273&lt;=U$22,RAND()&lt;=$H$7),1,0)</f>
        <v>0</v>
      </c>
      <c r="P273" s="82">
        <f t="shared" ca="1" si="23"/>
        <v>0</v>
      </c>
      <c r="Q273" s="84">
        <f t="shared" ca="1" si="24"/>
        <v>1</v>
      </c>
      <c r="R273" s="82">
        <f t="shared" ca="1" si="21"/>
        <v>0</v>
      </c>
      <c r="S273" s="82">
        <f ca="1">SUM(R$22:$R273)</f>
        <v>770.39999999999975</v>
      </c>
      <c r="W273" s="60">
        <v>252</v>
      </c>
      <c r="X273" s="82">
        <f ca="1"/>
        <v>2972.0000000000091</v>
      </c>
    </row>
    <row r="274" spans="7:24" x14ac:dyDescent="0.2">
      <c r="G274" s="60">
        <v>253</v>
      </c>
      <c r="H274" s="82">
        <f ca="1"/>
        <v>1</v>
      </c>
      <c r="I274" s="82">
        <f t="shared" ca="1" si="22"/>
        <v>151</v>
      </c>
      <c r="J274" s="83">
        <f t="shared" ca="1" si="20"/>
        <v>0.59683794466403162</v>
      </c>
      <c r="N274" s="60">
        <v>253</v>
      </c>
      <c r="O274" s="82">
        <f ca="1">IF(AND(N274&lt;=U$22,RAND()&lt;=$H$7),1,0)</f>
        <v>1</v>
      </c>
      <c r="P274" s="82">
        <f t="shared" ca="1" si="23"/>
        <v>0</v>
      </c>
      <c r="Q274" s="84">
        <f t="shared" ca="1" si="24"/>
        <v>1</v>
      </c>
      <c r="R274" s="82">
        <f t="shared" ca="1" si="21"/>
        <v>4</v>
      </c>
      <c r="S274" s="82">
        <f ca="1">SUM(R$22:$R274)</f>
        <v>774.39999999999975</v>
      </c>
      <c r="W274" s="60">
        <v>253</v>
      </c>
      <c r="X274" s="82">
        <f ca="1"/>
        <v>2865.6000000000081</v>
      </c>
    </row>
    <row r="275" spans="7:24" x14ac:dyDescent="0.2">
      <c r="G275" s="60">
        <v>254</v>
      </c>
      <c r="H275" s="82">
        <f ca="1"/>
        <v>0</v>
      </c>
      <c r="I275" s="82">
        <f t="shared" ca="1" si="22"/>
        <v>151</v>
      </c>
      <c r="J275" s="83">
        <f t="shared" ca="1" si="20"/>
        <v>0.59448818897637801</v>
      </c>
      <c r="N275" s="60">
        <v>254</v>
      </c>
      <c r="O275" s="82">
        <f ca="1">IF(AND(N275&lt;=U$22,RAND()&lt;=$H$7),1,0)</f>
        <v>0</v>
      </c>
      <c r="P275" s="82">
        <f t="shared" ca="1" si="23"/>
        <v>0</v>
      </c>
      <c r="Q275" s="84">
        <f t="shared" ca="1" si="24"/>
        <v>1</v>
      </c>
      <c r="R275" s="82">
        <f t="shared" ca="1" si="21"/>
        <v>0</v>
      </c>
      <c r="S275" s="82">
        <f ca="1">SUM(R$22:$R275)</f>
        <v>774.39999999999975</v>
      </c>
      <c r="W275" s="60">
        <v>254</v>
      </c>
      <c r="X275" s="82">
        <f ca="1"/>
        <v>2867.6000000000076</v>
      </c>
    </row>
    <row r="276" spans="7:24" x14ac:dyDescent="0.2">
      <c r="G276" s="60">
        <v>255</v>
      </c>
      <c r="H276" s="82">
        <f ca="1"/>
        <v>0</v>
      </c>
      <c r="I276" s="82">
        <f t="shared" ca="1" si="22"/>
        <v>151</v>
      </c>
      <c r="J276" s="83">
        <f t="shared" ca="1" si="20"/>
        <v>0.59215686274509804</v>
      </c>
      <c r="N276" s="60">
        <v>255</v>
      </c>
      <c r="O276" s="82">
        <f ca="1">IF(AND(N276&lt;=U$22,RAND()&lt;=$H$7),1,0)</f>
        <v>0</v>
      </c>
      <c r="P276" s="82">
        <f t="shared" ca="1" si="23"/>
        <v>0</v>
      </c>
      <c r="Q276" s="84">
        <f t="shared" ca="1" si="24"/>
        <v>1</v>
      </c>
      <c r="R276" s="82">
        <f t="shared" ca="1" si="21"/>
        <v>0</v>
      </c>
      <c r="S276" s="82">
        <f ca="1">SUM(R$22:$R276)</f>
        <v>774.39999999999975</v>
      </c>
      <c r="W276" s="60">
        <v>255</v>
      </c>
      <c r="X276" s="82">
        <f ca="1"/>
        <v>2718.0000000000059</v>
      </c>
    </row>
    <row r="277" spans="7:24" x14ac:dyDescent="0.2">
      <c r="G277" s="60">
        <v>256</v>
      </c>
      <c r="H277" s="82">
        <f ca="1"/>
        <v>1</v>
      </c>
      <c r="I277" s="82">
        <f t="shared" ca="1" si="22"/>
        <v>152</v>
      </c>
      <c r="J277" s="83">
        <f t="shared" ca="1" si="20"/>
        <v>0.59375</v>
      </c>
      <c r="N277" s="60">
        <v>256</v>
      </c>
      <c r="O277" s="82">
        <f ca="1">IF(AND(N277&lt;=U$22,RAND()&lt;=$H$7),1,0)</f>
        <v>1</v>
      </c>
      <c r="P277" s="82">
        <f t="shared" ca="1" si="23"/>
        <v>0</v>
      </c>
      <c r="Q277" s="84">
        <f t="shared" ca="1" si="24"/>
        <v>1</v>
      </c>
      <c r="R277" s="82">
        <f t="shared" ca="1" si="21"/>
        <v>4</v>
      </c>
      <c r="S277" s="82">
        <f ca="1">SUM(R$22:$R277)</f>
        <v>778.39999999999975</v>
      </c>
      <c r="W277" s="60">
        <v>256</v>
      </c>
      <c r="X277" s="82">
        <f ca="1"/>
        <v>2854.4000000000083</v>
      </c>
    </row>
    <row r="278" spans="7:24" x14ac:dyDescent="0.2">
      <c r="G278" s="60">
        <v>257</v>
      </c>
      <c r="H278" s="82">
        <f ca="1"/>
        <v>0</v>
      </c>
      <c r="I278" s="82">
        <f t="shared" ca="1" si="22"/>
        <v>152</v>
      </c>
      <c r="J278" s="83">
        <f t="shared" ca="1" si="20"/>
        <v>0.59143968871595332</v>
      </c>
      <c r="N278" s="60">
        <v>257</v>
      </c>
      <c r="O278" s="82">
        <f ca="1">IF(AND(N278&lt;=U$22,RAND()&lt;=$H$7),1,0)</f>
        <v>0</v>
      </c>
      <c r="P278" s="82">
        <f t="shared" ca="1" si="23"/>
        <v>0</v>
      </c>
      <c r="Q278" s="84">
        <f t="shared" ca="1" si="24"/>
        <v>1</v>
      </c>
      <c r="R278" s="82">
        <f t="shared" ca="1" si="21"/>
        <v>0</v>
      </c>
      <c r="S278" s="82">
        <f ca="1">SUM(R$22:$R278)</f>
        <v>778.39999999999975</v>
      </c>
      <c r="W278" s="60">
        <v>257</v>
      </c>
      <c r="X278" s="82">
        <f ca="1"/>
        <v>2446.0000000000055</v>
      </c>
    </row>
    <row r="279" spans="7:24" x14ac:dyDescent="0.2">
      <c r="G279" s="60">
        <v>258</v>
      </c>
      <c r="H279" s="82">
        <f ca="1"/>
        <v>0</v>
      </c>
      <c r="I279" s="82">
        <f t="shared" ca="1" si="22"/>
        <v>152</v>
      </c>
      <c r="J279" s="83">
        <f t="shared" ref="J279:J342" ca="1" si="25">I279/G279</f>
        <v>0.58914728682170547</v>
      </c>
      <c r="N279" s="60">
        <v>258</v>
      </c>
      <c r="O279" s="82">
        <f ca="1">IF(AND(N279&lt;=U$22,RAND()&lt;=$H$7),1,0)</f>
        <v>1</v>
      </c>
      <c r="P279" s="82">
        <f t="shared" ca="1" si="23"/>
        <v>0</v>
      </c>
      <c r="Q279" s="84">
        <f t="shared" ca="1" si="24"/>
        <v>1</v>
      </c>
      <c r="R279" s="82">
        <f t="shared" ref="R279:R342" ca="1" si="26">Q279*$I$7*O279</f>
        <v>4</v>
      </c>
      <c r="S279" s="82">
        <f ca="1">SUM(R$22:$R279)</f>
        <v>782.39999999999975</v>
      </c>
      <c r="W279" s="60">
        <v>258</v>
      </c>
      <c r="X279" s="82">
        <f ca="1"/>
        <v>2828.0000000000082</v>
      </c>
    </row>
    <row r="280" spans="7:24" x14ac:dyDescent="0.2">
      <c r="G280" s="60">
        <v>259</v>
      </c>
      <c r="H280" s="82">
        <f ca="1"/>
        <v>0</v>
      </c>
      <c r="I280" s="82">
        <f t="shared" ref="I280:I343" ca="1" si="27">H280+I279</f>
        <v>152</v>
      </c>
      <c r="J280" s="83">
        <f t="shared" ca="1" si="25"/>
        <v>0.58687258687258692</v>
      </c>
      <c r="N280" s="60">
        <v>259</v>
      </c>
      <c r="O280" s="82">
        <f ca="1">IF(AND(N280&lt;=U$22,RAND()&lt;=$H$7),1,0)</f>
        <v>1</v>
      </c>
      <c r="P280" s="82">
        <f t="shared" ref="P280:P343" ca="1" si="28">IF(AND(O279=1,O280=1),P279+1,0)</f>
        <v>1</v>
      </c>
      <c r="Q280" s="84">
        <f t="shared" ref="Q280:Q343" ca="1" si="29">IF(P280&gt;1,1+(P280-1)*0.1,1)</f>
        <v>1</v>
      </c>
      <c r="R280" s="82">
        <f t="shared" ca="1" si="26"/>
        <v>4</v>
      </c>
      <c r="S280" s="82">
        <f ca="1">SUM(R$22:$R280)</f>
        <v>786.39999999999975</v>
      </c>
      <c r="W280" s="60">
        <v>259</v>
      </c>
      <c r="X280" s="82">
        <f ca="1"/>
        <v>2688.400000000006</v>
      </c>
    </row>
    <row r="281" spans="7:24" x14ac:dyDescent="0.2">
      <c r="G281" s="60">
        <v>260</v>
      </c>
      <c r="H281" s="82">
        <f ca="1"/>
        <v>0</v>
      </c>
      <c r="I281" s="82">
        <f t="shared" ca="1" si="27"/>
        <v>152</v>
      </c>
      <c r="J281" s="83">
        <f t="shared" ca="1" si="25"/>
        <v>0.58461538461538465</v>
      </c>
      <c r="N281" s="60">
        <v>260</v>
      </c>
      <c r="O281" s="82">
        <f ca="1">IF(AND(N281&lt;=U$22,RAND()&lt;=$H$7),1,0)</f>
        <v>0</v>
      </c>
      <c r="P281" s="82">
        <f t="shared" ca="1" si="28"/>
        <v>0</v>
      </c>
      <c r="Q281" s="84">
        <f t="shared" ca="1" si="29"/>
        <v>1</v>
      </c>
      <c r="R281" s="82">
        <f t="shared" ca="1" si="26"/>
        <v>0</v>
      </c>
      <c r="S281" s="82">
        <f ca="1">SUM(R$22:$R281)</f>
        <v>786.39999999999975</v>
      </c>
      <c r="W281" s="60">
        <v>260</v>
      </c>
      <c r="X281" s="82">
        <f ca="1"/>
        <v>2768.8000000000088</v>
      </c>
    </row>
    <row r="282" spans="7:24" x14ac:dyDescent="0.2">
      <c r="G282" s="60">
        <v>261</v>
      </c>
      <c r="H282" s="82">
        <f ca="1"/>
        <v>1</v>
      </c>
      <c r="I282" s="82">
        <f t="shared" ca="1" si="27"/>
        <v>153</v>
      </c>
      <c r="J282" s="83">
        <f t="shared" ca="1" si="25"/>
        <v>0.58620689655172409</v>
      </c>
      <c r="N282" s="60">
        <v>261</v>
      </c>
      <c r="O282" s="82">
        <f ca="1">IF(AND(N282&lt;=U$22,RAND()&lt;=$H$7),1,0)</f>
        <v>1</v>
      </c>
      <c r="P282" s="82">
        <f t="shared" ca="1" si="28"/>
        <v>0</v>
      </c>
      <c r="Q282" s="84">
        <f t="shared" ca="1" si="29"/>
        <v>1</v>
      </c>
      <c r="R282" s="82">
        <f t="shared" ca="1" si="26"/>
        <v>4</v>
      </c>
      <c r="S282" s="82">
        <f ca="1">SUM(R$22:$R282)</f>
        <v>790.39999999999975</v>
      </c>
      <c r="W282" s="60">
        <v>261</v>
      </c>
      <c r="X282" s="82">
        <f ca="1"/>
        <v>2722.0000000000064</v>
      </c>
    </row>
    <row r="283" spans="7:24" x14ac:dyDescent="0.2">
      <c r="G283" s="60">
        <v>262</v>
      </c>
      <c r="H283" s="82">
        <f ca="1"/>
        <v>1</v>
      </c>
      <c r="I283" s="82">
        <f t="shared" ca="1" si="27"/>
        <v>154</v>
      </c>
      <c r="J283" s="83">
        <f t="shared" ca="1" si="25"/>
        <v>0.58778625954198471</v>
      </c>
      <c r="N283" s="60">
        <v>262</v>
      </c>
      <c r="O283" s="82">
        <f ca="1">IF(AND(N283&lt;=U$22,RAND()&lt;=$H$7),1,0)</f>
        <v>1</v>
      </c>
      <c r="P283" s="82">
        <f t="shared" ca="1" si="28"/>
        <v>1</v>
      </c>
      <c r="Q283" s="84">
        <f t="shared" ca="1" si="29"/>
        <v>1</v>
      </c>
      <c r="R283" s="82">
        <f t="shared" ca="1" si="26"/>
        <v>4</v>
      </c>
      <c r="S283" s="82">
        <f ca="1">SUM(R$22:$R283)</f>
        <v>794.39999999999975</v>
      </c>
      <c r="W283" s="60">
        <v>262</v>
      </c>
      <c r="X283" s="82">
        <f ca="1"/>
        <v>2757.6000000000076</v>
      </c>
    </row>
    <row r="284" spans="7:24" x14ac:dyDescent="0.2">
      <c r="G284" s="60">
        <v>263</v>
      </c>
      <c r="H284" s="82">
        <f ca="1"/>
        <v>0</v>
      </c>
      <c r="I284" s="82">
        <f t="shared" ca="1" si="27"/>
        <v>154</v>
      </c>
      <c r="J284" s="83">
        <f t="shared" ca="1" si="25"/>
        <v>0.5855513307984791</v>
      </c>
      <c r="N284" s="60">
        <v>263</v>
      </c>
      <c r="O284" s="82">
        <f ca="1">IF(AND(N284&lt;=U$22,RAND()&lt;=$H$7),1,0)</f>
        <v>0</v>
      </c>
      <c r="P284" s="82">
        <f t="shared" ca="1" si="28"/>
        <v>0</v>
      </c>
      <c r="Q284" s="84">
        <f t="shared" ca="1" si="29"/>
        <v>1</v>
      </c>
      <c r="R284" s="82">
        <f t="shared" ca="1" si="26"/>
        <v>0</v>
      </c>
      <c r="S284" s="82">
        <f ca="1">SUM(R$22:$R284)</f>
        <v>794.39999999999975</v>
      </c>
      <c r="W284" s="60">
        <v>263</v>
      </c>
      <c r="X284" s="82">
        <f ca="1"/>
        <v>2758.0000000000073</v>
      </c>
    </row>
    <row r="285" spans="7:24" x14ac:dyDescent="0.2">
      <c r="G285" s="60">
        <v>264</v>
      </c>
      <c r="H285" s="82">
        <f ca="1"/>
        <v>0</v>
      </c>
      <c r="I285" s="82">
        <f t="shared" ca="1" si="27"/>
        <v>154</v>
      </c>
      <c r="J285" s="83">
        <f t="shared" ca="1" si="25"/>
        <v>0.58333333333333337</v>
      </c>
      <c r="N285" s="60">
        <v>264</v>
      </c>
      <c r="O285" s="82">
        <f ca="1">IF(AND(N285&lt;=U$22,RAND()&lt;=$H$7),1,0)</f>
        <v>1</v>
      </c>
      <c r="P285" s="82">
        <f t="shared" ca="1" si="28"/>
        <v>0</v>
      </c>
      <c r="Q285" s="84">
        <f t="shared" ca="1" si="29"/>
        <v>1</v>
      </c>
      <c r="R285" s="82">
        <f t="shared" ca="1" si="26"/>
        <v>4</v>
      </c>
      <c r="S285" s="82">
        <f ca="1">SUM(R$22:$R285)</f>
        <v>798.39999999999975</v>
      </c>
      <c r="W285" s="60">
        <v>264</v>
      </c>
      <c r="X285" s="82">
        <f ca="1"/>
        <v>2762.4000000000065</v>
      </c>
    </row>
    <row r="286" spans="7:24" x14ac:dyDescent="0.2">
      <c r="G286" s="60">
        <v>265</v>
      </c>
      <c r="H286" s="82">
        <f ca="1"/>
        <v>0</v>
      </c>
      <c r="I286" s="82">
        <f t="shared" ca="1" si="27"/>
        <v>154</v>
      </c>
      <c r="J286" s="83">
        <f t="shared" ca="1" si="25"/>
        <v>0.5811320754716981</v>
      </c>
      <c r="N286" s="60">
        <v>265</v>
      </c>
      <c r="O286" s="82">
        <f ca="1">IF(AND(N286&lt;=U$22,RAND()&lt;=$H$7),1,0)</f>
        <v>0</v>
      </c>
      <c r="P286" s="82">
        <f t="shared" ca="1" si="28"/>
        <v>0</v>
      </c>
      <c r="Q286" s="84">
        <f t="shared" ca="1" si="29"/>
        <v>1</v>
      </c>
      <c r="R286" s="82">
        <f t="shared" ca="1" si="26"/>
        <v>0</v>
      </c>
      <c r="S286" s="82">
        <f ca="1">SUM(R$22:$R286)</f>
        <v>798.39999999999975</v>
      </c>
      <c r="W286" s="60">
        <v>265</v>
      </c>
      <c r="X286" s="82">
        <f ca="1"/>
        <v>2908.8000000000088</v>
      </c>
    </row>
    <row r="287" spans="7:24" x14ac:dyDescent="0.2">
      <c r="G287" s="60">
        <v>266</v>
      </c>
      <c r="H287" s="82">
        <f ca="1"/>
        <v>1</v>
      </c>
      <c r="I287" s="82">
        <f t="shared" ca="1" si="27"/>
        <v>155</v>
      </c>
      <c r="J287" s="83">
        <f t="shared" ca="1" si="25"/>
        <v>0.58270676691729328</v>
      </c>
      <c r="N287" s="60">
        <v>266</v>
      </c>
      <c r="O287" s="82">
        <f ca="1">IF(AND(N287&lt;=U$22,RAND()&lt;=$H$7),1,0)</f>
        <v>0</v>
      </c>
      <c r="P287" s="82">
        <f t="shared" ca="1" si="28"/>
        <v>0</v>
      </c>
      <c r="Q287" s="84">
        <f t="shared" ca="1" si="29"/>
        <v>1</v>
      </c>
      <c r="R287" s="82">
        <f t="shared" ca="1" si="26"/>
        <v>0</v>
      </c>
      <c r="S287" s="82">
        <f ca="1">SUM(R$22:$R287)</f>
        <v>798.39999999999975</v>
      </c>
      <c r="W287" s="60">
        <v>266</v>
      </c>
      <c r="X287" s="82">
        <f ca="1"/>
        <v>2724.800000000007</v>
      </c>
    </row>
    <row r="288" spans="7:24" x14ac:dyDescent="0.2">
      <c r="G288" s="60">
        <v>267</v>
      </c>
      <c r="H288" s="82">
        <f ca="1"/>
        <v>0</v>
      </c>
      <c r="I288" s="82">
        <f t="shared" ca="1" si="27"/>
        <v>155</v>
      </c>
      <c r="J288" s="83">
        <f t="shared" ca="1" si="25"/>
        <v>0.58052434456928836</v>
      </c>
      <c r="N288" s="60">
        <v>267</v>
      </c>
      <c r="O288" s="82">
        <f ca="1">IF(AND(N288&lt;=U$22,RAND()&lt;=$H$7),1,0)</f>
        <v>0</v>
      </c>
      <c r="P288" s="82">
        <f t="shared" ca="1" si="28"/>
        <v>0</v>
      </c>
      <c r="Q288" s="84">
        <f t="shared" ca="1" si="29"/>
        <v>1</v>
      </c>
      <c r="R288" s="82">
        <f t="shared" ca="1" si="26"/>
        <v>0</v>
      </c>
      <c r="S288" s="82">
        <f ca="1">SUM(R$22:$R288)</f>
        <v>798.39999999999975</v>
      </c>
      <c r="W288" s="60">
        <v>267</v>
      </c>
      <c r="X288" s="82">
        <f ca="1"/>
        <v>2677.2000000000071</v>
      </c>
    </row>
    <row r="289" spans="7:24" x14ac:dyDescent="0.2">
      <c r="G289" s="60">
        <v>268</v>
      </c>
      <c r="H289" s="82">
        <f ca="1"/>
        <v>0</v>
      </c>
      <c r="I289" s="82">
        <f t="shared" ca="1" si="27"/>
        <v>155</v>
      </c>
      <c r="J289" s="83">
        <f t="shared" ca="1" si="25"/>
        <v>0.57835820895522383</v>
      </c>
      <c r="N289" s="60">
        <v>268</v>
      </c>
      <c r="O289" s="82">
        <f ca="1">IF(AND(N289&lt;=U$22,RAND()&lt;=$H$7),1,0)</f>
        <v>1</v>
      </c>
      <c r="P289" s="82">
        <f t="shared" ca="1" si="28"/>
        <v>0</v>
      </c>
      <c r="Q289" s="84">
        <f t="shared" ca="1" si="29"/>
        <v>1</v>
      </c>
      <c r="R289" s="82">
        <f t="shared" ca="1" si="26"/>
        <v>4</v>
      </c>
      <c r="S289" s="82">
        <f ca="1">SUM(R$22:$R289)</f>
        <v>802.39999999999975</v>
      </c>
      <c r="W289" s="60">
        <v>268</v>
      </c>
      <c r="X289" s="82">
        <f ca="1"/>
        <v>2756.0000000000073</v>
      </c>
    </row>
    <row r="290" spans="7:24" x14ac:dyDescent="0.2">
      <c r="G290" s="60">
        <v>269</v>
      </c>
      <c r="H290" s="82">
        <f ca="1"/>
        <v>0</v>
      </c>
      <c r="I290" s="82">
        <f t="shared" ca="1" si="27"/>
        <v>155</v>
      </c>
      <c r="J290" s="83">
        <f t="shared" ca="1" si="25"/>
        <v>0.57620817843866168</v>
      </c>
      <c r="N290" s="60">
        <v>269</v>
      </c>
      <c r="O290" s="82">
        <f ca="1">IF(AND(N290&lt;=U$22,RAND()&lt;=$H$7),1,0)</f>
        <v>1</v>
      </c>
      <c r="P290" s="82">
        <f t="shared" ca="1" si="28"/>
        <v>1</v>
      </c>
      <c r="Q290" s="84">
        <f t="shared" ca="1" si="29"/>
        <v>1</v>
      </c>
      <c r="R290" s="82">
        <f t="shared" ca="1" si="26"/>
        <v>4</v>
      </c>
      <c r="S290" s="82">
        <f ca="1">SUM(R$22:$R290)</f>
        <v>806.39999999999975</v>
      </c>
      <c r="W290" s="60">
        <v>269</v>
      </c>
      <c r="X290" s="82">
        <f ca="1"/>
        <v>2690.8000000000065</v>
      </c>
    </row>
    <row r="291" spans="7:24" x14ac:dyDescent="0.2">
      <c r="G291" s="60">
        <v>270</v>
      </c>
      <c r="H291" s="82">
        <f ca="1"/>
        <v>0</v>
      </c>
      <c r="I291" s="82">
        <f t="shared" ca="1" si="27"/>
        <v>155</v>
      </c>
      <c r="J291" s="83">
        <f t="shared" ca="1" si="25"/>
        <v>0.57407407407407407</v>
      </c>
      <c r="N291" s="60">
        <v>270</v>
      </c>
      <c r="O291" s="82">
        <f ca="1">IF(AND(N291&lt;=U$22,RAND()&lt;=$H$7),1,0)</f>
        <v>1</v>
      </c>
      <c r="P291" s="82">
        <f t="shared" ca="1" si="28"/>
        <v>2</v>
      </c>
      <c r="Q291" s="84">
        <f t="shared" ca="1" si="29"/>
        <v>1.1000000000000001</v>
      </c>
      <c r="R291" s="82">
        <f t="shared" ca="1" si="26"/>
        <v>4.4000000000000004</v>
      </c>
      <c r="S291" s="82">
        <f ca="1">SUM(R$22:$R291)</f>
        <v>810.79999999999973</v>
      </c>
      <c r="W291" s="60">
        <v>270</v>
      </c>
      <c r="X291" s="82">
        <f ca="1"/>
        <v>2774.8000000000056</v>
      </c>
    </row>
    <row r="292" spans="7:24" x14ac:dyDescent="0.2">
      <c r="G292" s="60">
        <v>271</v>
      </c>
      <c r="H292" s="82">
        <f ca="1"/>
        <v>1</v>
      </c>
      <c r="I292" s="82">
        <f t="shared" ca="1" si="27"/>
        <v>156</v>
      </c>
      <c r="J292" s="83">
        <f t="shared" ca="1" si="25"/>
        <v>0.57564575645756455</v>
      </c>
      <c r="N292" s="60">
        <v>271</v>
      </c>
      <c r="O292" s="82">
        <f ca="1">IF(AND(N292&lt;=U$22,RAND()&lt;=$H$7),1,0)</f>
        <v>1</v>
      </c>
      <c r="P292" s="82">
        <f t="shared" ca="1" si="28"/>
        <v>3</v>
      </c>
      <c r="Q292" s="84">
        <f t="shared" ca="1" si="29"/>
        <v>1.2</v>
      </c>
      <c r="R292" s="82">
        <f t="shared" ca="1" si="26"/>
        <v>4.8</v>
      </c>
      <c r="S292" s="82">
        <f ca="1">SUM(R$22:$R292)</f>
        <v>815.59999999999968</v>
      </c>
      <c r="W292" s="60">
        <v>271</v>
      </c>
      <c r="X292" s="82">
        <f ca="1"/>
        <v>2795.2000000000075</v>
      </c>
    </row>
    <row r="293" spans="7:24" x14ac:dyDescent="0.2">
      <c r="G293" s="60">
        <v>272</v>
      </c>
      <c r="H293" s="82">
        <f ca="1"/>
        <v>1</v>
      </c>
      <c r="I293" s="82">
        <f t="shared" ca="1" si="27"/>
        <v>157</v>
      </c>
      <c r="J293" s="83">
        <f t="shared" ca="1" si="25"/>
        <v>0.57720588235294112</v>
      </c>
      <c r="N293" s="60">
        <v>272</v>
      </c>
      <c r="O293" s="82">
        <f ca="1">IF(AND(N293&lt;=U$22,RAND()&lt;=$H$7),1,0)</f>
        <v>0</v>
      </c>
      <c r="P293" s="82">
        <f t="shared" ca="1" si="28"/>
        <v>0</v>
      </c>
      <c r="Q293" s="84">
        <f t="shared" ca="1" si="29"/>
        <v>1</v>
      </c>
      <c r="R293" s="82">
        <f t="shared" ca="1" si="26"/>
        <v>0</v>
      </c>
      <c r="S293" s="82">
        <f ca="1">SUM(R$22:$R293)</f>
        <v>815.59999999999968</v>
      </c>
      <c r="W293" s="60">
        <v>272</v>
      </c>
      <c r="X293" s="82">
        <f ca="1"/>
        <v>2613.6000000000067</v>
      </c>
    </row>
    <row r="294" spans="7:24" x14ac:dyDescent="0.2">
      <c r="G294" s="60">
        <v>273</v>
      </c>
      <c r="H294" s="82">
        <f ca="1"/>
        <v>1</v>
      </c>
      <c r="I294" s="82">
        <f t="shared" ca="1" si="27"/>
        <v>158</v>
      </c>
      <c r="J294" s="83">
        <f t="shared" ca="1" si="25"/>
        <v>0.57875457875457881</v>
      </c>
      <c r="N294" s="60">
        <v>273</v>
      </c>
      <c r="O294" s="82">
        <f ca="1">IF(AND(N294&lt;=U$22,RAND()&lt;=$H$7),1,0)</f>
        <v>1</v>
      </c>
      <c r="P294" s="82">
        <f t="shared" ca="1" si="28"/>
        <v>0</v>
      </c>
      <c r="Q294" s="84">
        <f t="shared" ca="1" si="29"/>
        <v>1</v>
      </c>
      <c r="R294" s="82">
        <f t="shared" ca="1" si="26"/>
        <v>4</v>
      </c>
      <c r="S294" s="82">
        <f ca="1">SUM(R$22:$R294)</f>
        <v>819.59999999999968</v>
      </c>
      <c r="W294" s="60">
        <v>273</v>
      </c>
      <c r="X294" s="82">
        <f ca="1"/>
        <v>2816.4000000000078</v>
      </c>
    </row>
    <row r="295" spans="7:24" x14ac:dyDescent="0.2">
      <c r="G295" s="60">
        <v>274</v>
      </c>
      <c r="H295" s="82">
        <f ca="1"/>
        <v>1</v>
      </c>
      <c r="I295" s="82">
        <f t="shared" ca="1" si="27"/>
        <v>159</v>
      </c>
      <c r="J295" s="83">
        <f t="shared" ca="1" si="25"/>
        <v>0.58029197080291972</v>
      </c>
      <c r="N295" s="60">
        <v>274</v>
      </c>
      <c r="O295" s="82">
        <f ca="1">IF(AND(N295&lt;=U$22,RAND()&lt;=$H$7),1,0)</f>
        <v>0</v>
      </c>
      <c r="P295" s="82">
        <f t="shared" ca="1" si="28"/>
        <v>0</v>
      </c>
      <c r="Q295" s="84">
        <f t="shared" ca="1" si="29"/>
        <v>1</v>
      </c>
      <c r="R295" s="82">
        <f t="shared" ca="1" si="26"/>
        <v>0</v>
      </c>
      <c r="S295" s="82">
        <f ca="1">SUM(R$22:$R295)</f>
        <v>819.59999999999968</v>
      </c>
      <c r="W295" s="60">
        <v>274</v>
      </c>
      <c r="X295" s="82">
        <f ca="1"/>
        <v>2690.0000000000073</v>
      </c>
    </row>
    <row r="296" spans="7:24" x14ac:dyDescent="0.2">
      <c r="G296" s="60">
        <v>275</v>
      </c>
      <c r="H296" s="82">
        <f ca="1"/>
        <v>0</v>
      </c>
      <c r="I296" s="82">
        <f t="shared" ca="1" si="27"/>
        <v>159</v>
      </c>
      <c r="J296" s="83">
        <f t="shared" ca="1" si="25"/>
        <v>0.57818181818181813</v>
      </c>
      <c r="N296" s="60">
        <v>275</v>
      </c>
      <c r="O296" s="82">
        <f ca="1">IF(AND(N296&lt;=U$22,RAND()&lt;=$H$7),1,0)</f>
        <v>0</v>
      </c>
      <c r="P296" s="82">
        <f t="shared" ca="1" si="28"/>
        <v>0</v>
      </c>
      <c r="Q296" s="84">
        <f t="shared" ca="1" si="29"/>
        <v>1</v>
      </c>
      <c r="R296" s="82">
        <f t="shared" ca="1" si="26"/>
        <v>0</v>
      </c>
      <c r="S296" s="82">
        <f ca="1">SUM(R$22:$R296)</f>
        <v>819.59999999999968</v>
      </c>
      <c r="W296" s="60">
        <v>275</v>
      </c>
      <c r="X296" s="82">
        <f ca="1"/>
        <v>2864.4000000000069</v>
      </c>
    </row>
    <row r="297" spans="7:24" x14ac:dyDescent="0.2">
      <c r="G297" s="60">
        <v>276</v>
      </c>
      <c r="H297" s="82">
        <f ca="1"/>
        <v>1</v>
      </c>
      <c r="I297" s="82">
        <f t="shared" ca="1" si="27"/>
        <v>160</v>
      </c>
      <c r="J297" s="83">
        <f t="shared" ca="1" si="25"/>
        <v>0.57971014492753625</v>
      </c>
      <c r="N297" s="60">
        <v>276</v>
      </c>
      <c r="O297" s="82">
        <f ca="1">IF(AND(N297&lt;=U$22,RAND()&lt;=$H$7),1,0)</f>
        <v>1</v>
      </c>
      <c r="P297" s="82">
        <f t="shared" ca="1" si="28"/>
        <v>0</v>
      </c>
      <c r="Q297" s="84">
        <f t="shared" ca="1" si="29"/>
        <v>1</v>
      </c>
      <c r="R297" s="82">
        <f t="shared" ca="1" si="26"/>
        <v>4</v>
      </c>
      <c r="S297" s="82">
        <f ca="1">SUM(R$22:$R297)</f>
        <v>823.59999999999968</v>
      </c>
      <c r="W297" s="60">
        <v>276</v>
      </c>
      <c r="X297" s="82">
        <f ca="1"/>
        <v>2655.2000000000066</v>
      </c>
    </row>
    <row r="298" spans="7:24" x14ac:dyDescent="0.2">
      <c r="G298" s="60">
        <v>277</v>
      </c>
      <c r="H298" s="82">
        <f ca="1"/>
        <v>1</v>
      </c>
      <c r="I298" s="82">
        <f t="shared" ca="1" si="27"/>
        <v>161</v>
      </c>
      <c r="J298" s="83">
        <f t="shared" ca="1" si="25"/>
        <v>0.58122743682310474</v>
      </c>
      <c r="N298" s="60">
        <v>277</v>
      </c>
      <c r="O298" s="82">
        <f ca="1">IF(AND(N298&lt;=U$22,RAND()&lt;=$H$7),1,0)</f>
        <v>0</v>
      </c>
      <c r="P298" s="82">
        <f t="shared" ca="1" si="28"/>
        <v>0</v>
      </c>
      <c r="Q298" s="84">
        <f t="shared" ca="1" si="29"/>
        <v>1</v>
      </c>
      <c r="R298" s="82">
        <f t="shared" ca="1" si="26"/>
        <v>0</v>
      </c>
      <c r="S298" s="82">
        <f ca="1">SUM(R$22:$R298)</f>
        <v>823.59999999999968</v>
      </c>
      <c r="W298" s="60">
        <v>277</v>
      </c>
      <c r="X298" s="82">
        <f ca="1"/>
        <v>2882.8000000000075</v>
      </c>
    </row>
    <row r="299" spans="7:24" x14ac:dyDescent="0.2">
      <c r="G299" s="60">
        <v>278</v>
      </c>
      <c r="H299" s="82">
        <f ca="1"/>
        <v>1</v>
      </c>
      <c r="I299" s="82">
        <f t="shared" ca="1" si="27"/>
        <v>162</v>
      </c>
      <c r="J299" s="83">
        <f t="shared" ca="1" si="25"/>
        <v>0.58273381294964033</v>
      </c>
      <c r="N299" s="60">
        <v>278</v>
      </c>
      <c r="O299" s="82">
        <f ca="1">IF(AND(N299&lt;=U$22,RAND()&lt;=$H$7),1,0)</f>
        <v>1</v>
      </c>
      <c r="P299" s="82">
        <f t="shared" ca="1" si="28"/>
        <v>0</v>
      </c>
      <c r="Q299" s="84">
        <f t="shared" ca="1" si="29"/>
        <v>1</v>
      </c>
      <c r="R299" s="82">
        <f t="shared" ca="1" si="26"/>
        <v>4</v>
      </c>
      <c r="S299" s="82">
        <f ca="1">SUM(R$22:$R299)</f>
        <v>827.59999999999968</v>
      </c>
      <c r="W299" s="60">
        <v>278</v>
      </c>
      <c r="X299" s="82">
        <f ca="1"/>
        <v>2722.8000000000079</v>
      </c>
    </row>
    <row r="300" spans="7:24" x14ac:dyDescent="0.2">
      <c r="G300" s="60">
        <v>279</v>
      </c>
      <c r="H300" s="82">
        <f ca="1"/>
        <v>0</v>
      </c>
      <c r="I300" s="82">
        <f t="shared" ca="1" si="27"/>
        <v>162</v>
      </c>
      <c r="J300" s="83">
        <f t="shared" ca="1" si="25"/>
        <v>0.58064516129032262</v>
      </c>
      <c r="N300" s="60">
        <v>279</v>
      </c>
      <c r="O300" s="82">
        <f ca="1">IF(AND(N300&lt;=U$22,RAND()&lt;=$H$7),1,0)</f>
        <v>1</v>
      </c>
      <c r="P300" s="82">
        <f t="shared" ca="1" si="28"/>
        <v>1</v>
      </c>
      <c r="Q300" s="84">
        <f t="shared" ca="1" si="29"/>
        <v>1</v>
      </c>
      <c r="R300" s="82">
        <f t="shared" ca="1" si="26"/>
        <v>4</v>
      </c>
      <c r="S300" s="82">
        <f ca="1">SUM(R$22:$R300)</f>
        <v>831.59999999999968</v>
      </c>
      <c r="W300" s="60">
        <v>279</v>
      </c>
      <c r="X300" s="82">
        <f ca="1"/>
        <v>2728.8000000000084</v>
      </c>
    </row>
    <row r="301" spans="7:24" x14ac:dyDescent="0.2">
      <c r="G301" s="60">
        <v>280</v>
      </c>
      <c r="H301" s="82">
        <f ca="1"/>
        <v>1</v>
      </c>
      <c r="I301" s="82">
        <f t="shared" ca="1" si="27"/>
        <v>163</v>
      </c>
      <c r="J301" s="83">
        <f t="shared" ca="1" si="25"/>
        <v>0.58214285714285718</v>
      </c>
      <c r="N301" s="60">
        <v>280</v>
      </c>
      <c r="O301" s="82">
        <f ca="1">IF(AND(N301&lt;=U$22,RAND()&lt;=$H$7),1,0)</f>
        <v>1</v>
      </c>
      <c r="P301" s="82">
        <f t="shared" ca="1" si="28"/>
        <v>2</v>
      </c>
      <c r="Q301" s="84">
        <f t="shared" ca="1" si="29"/>
        <v>1.1000000000000001</v>
      </c>
      <c r="R301" s="82">
        <f t="shared" ca="1" si="26"/>
        <v>4.4000000000000004</v>
      </c>
      <c r="S301" s="82">
        <f ca="1">SUM(R$22:$R301)</f>
        <v>835.99999999999966</v>
      </c>
      <c r="W301" s="60">
        <v>280</v>
      </c>
      <c r="X301" s="82">
        <f ca="1"/>
        <v>2577.2000000000071</v>
      </c>
    </row>
    <row r="302" spans="7:24" x14ac:dyDescent="0.2">
      <c r="G302" s="60">
        <v>281</v>
      </c>
      <c r="H302" s="82">
        <f ca="1"/>
        <v>0</v>
      </c>
      <c r="I302" s="82">
        <f t="shared" ca="1" si="27"/>
        <v>163</v>
      </c>
      <c r="J302" s="83">
        <f t="shared" ca="1" si="25"/>
        <v>0.58007117437722422</v>
      </c>
      <c r="N302" s="60">
        <v>281</v>
      </c>
      <c r="O302" s="82">
        <f ca="1">IF(AND(N302&lt;=U$22,RAND()&lt;=$H$7),1,0)</f>
        <v>1</v>
      </c>
      <c r="P302" s="82">
        <f t="shared" ca="1" si="28"/>
        <v>3</v>
      </c>
      <c r="Q302" s="84">
        <f t="shared" ca="1" si="29"/>
        <v>1.2</v>
      </c>
      <c r="R302" s="82">
        <f t="shared" ca="1" si="26"/>
        <v>4.8</v>
      </c>
      <c r="S302" s="82">
        <f ca="1">SUM(R$22:$R302)</f>
        <v>840.79999999999961</v>
      </c>
      <c r="W302" s="60">
        <v>281</v>
      </c>
      <c r="X302" s="82">
        <f ca="1"/>
        <v>2643.2000000000071</v>
      </c>
    </row>
    <row r="303" spans="7:24" x14ac:dyDescent="0.2">
      <c r="G303" s="60">
        <v>282</v>
      </c>
      <c r="H303" s="82">
        <f ca="1"/>
        <v>0</v>
      </c>
      <c r="I303" s="82">
        <f t="shared" ca="1" si="27"/>
        <v>163</v>
      </c>
      <c r="J303" s="83">
        <f t="shared" ca="1" si="25"/>
        <v>0.57801418439716312</v>
      </c>
      <c r="N303" s="60">
        <v>282</v>
      </c>
      <c r="O303" s="82">
        <f ca="1">IF(AND(N303&lt;=U$22,RAND()&lt;=$H$7),1,0)</f>
        <v>0</v>
      </c>
      <c r="P303" s="82">
        <f t="shared" ca="1" si="28"/>
        <v>0</v>
      </c>
      <c r="Q303" s="84">
        <f t="shared" ca="1" si="29"/>
        <v>1</v>
      </c>
      <c r="R303" s="82">
        <f t="shared" ca="1" si="26"/>
        <v>0</v>
      </c>
      <c r="S303" s="82">
        <f ca="1">SUM(R$22:$R303)</f>
        <v>840.79999999999961</v>
      </c>
      <c r="W303" s="60">
        <v>282</v>
      </c>
      <c r="X303" s="82">
        <f ca="1"/>
        <v>2653.6000000000067</v>
      </c>
    </row>
    <row r="304" spans="7:24" x14ac:dyDescent="0.2">
      <c r="G304" s="60">
        <v>283</v>
      </c>
      <c r="H304" s="82">
        <f ca="1"/>
        <v>0</v>
      </c>
      <c r="I304" s="82">
        <f t="shared" ca="1" si="27"/>
        <v>163</v>
      </c>
      <c r="J304" s="83">
        <f t="shared" ca="1" si="25"/>
        <v>0.57597173144876324</v>
      </c>
      <c r="N304" s="60">
        <v>283</v>
      </c>
      <c r="O304" s="82">
        <f ca="1">IF(AND(N304&lt;=U$22,RAND()&lt;=$H$7),1,0)</f>
        <v>1</v>
      </c>
      <c r="P304" s="82">
        <f t="shared" ca="1" si="28"/>
        <v>0</v>
      </c>
      <c r="Q304" s="84">
        <f t="shared" ca="1" si="29"/>
        <v>1</v>
      </c>
      <c r="R304" s="82">
        <f t="shared" ca="1" si="26"/>
        <v>4</v>
      </c>
      <c r="S304" s="82">
        <f ca="1">SUM(R$22:$R304)</f>
        <v>844.79999999999961</v>
      </c>
      <c r="W304" s="60">
        <v>283</v>
      </c>
      <c r="X304" s="82">
        <f ca="1"/>
        <v>2843.200000000008</v>
      </c>
    </row>
    <row r="305" spans="7:24" x14ac:dyDescent="0.2">
      <c r="G305" s="60">
        <v>284</v>
      </c>
      <c r="H305" s="82">
        <f ca="1"/>
        <v>1</v>
      </c>
      <c r="I305" s="82">
        <f t="shared" ca="1" si="27"/>
        <v>164</v>
      </c>
      <c r="J305" s="83">
        <f t="shared" ca="1" si="25"/>
        <v>0.57746478873239437</v>
      </c>
      <c r="N305" s="60">
        <v>284</v>
      </c>
      <c r="O305" s="82">
        <f ca="1">IF(AND(N305&lt;=U$22,RAND()&lt;=$H$7),1,0)</f>
        <v>0</v>
      </c>
      <c r="P305" s="82">
        <f t="shared" ca="1" si="28"/>
        <v>0</v>
      </c>
      <c r="Q305" s="84">
        <f t="shared" ca="1" si="29"/>
        <v>1</v>
      </c>
      <c r="R305" s="82">
        <f t="shared" ca="1" si="26"/>
        <v>0</v>
      </c>
      <c r="S305" s="82">
        <f ca="1">SUM(R$22:$R305)</f>
        <v>844.79999999999961</v>
      </c>
      <c r="W305" s="60">
        <v>284</v>
      </c>
      <c r="X305" s="82">
        <f ca="1"/>
        <v>2737.200000000008</v>
      </c>
    </row>
    <row r="306" spans="7:24" x14ac:dyDescent="0.2">
      <c r="G306" s="60">
        <v>285</v>
      </c>
      <c r="H306" s="82">
        <f ca="1"/>
        <v>1</v>
      </c>
      <c r="I306" s="82">
        <f t="shared" ca="1" si="27"/>
        <v>165</v>
      </c>
      <c r="J306" s="83">
        <f t="shared" ca="1" si="25"/>
        <v>0.57894736842105265</v>
      </c>
      <c r="N306" s="60">
        <v>285</v>
      </c>
      <c r="O306" s="82">
        <f ca="1">IF(AND(N306&lt;=U$22,RAND()&lt;=$H$7),1,0)</f>
        <v>1</v>
      </c>
      <c r="P306" s="82">
        <f t="shared" ca="1" si="28"/>
        <v>0</v>
      </c>
      <c r="Q306" s="84">
        <f t="shared" ca="1" si="29"/>
        <v>1</v>
      </c>
      <c r="R306" s="82">
        <f t="shared" ca="1" si="26"/>
        <v>4</v>
      </c>
      <c r="S306" s="82">
        <f ca="1">SUM(R$22:$R306)</f>
        <v>848.79999999999961</v>
      </c>
      <c r="W306" s="60">
        <v>285</v>
      </c>
      <c r="X306" s="82">
        <f ca="1"/>
        <v>2718.400000000006</v>
      </c>
    </row>
    <row r="307" spans="7:24" x14ac:dyDescent="0.2">
      <c r="G307" s="60">
        <v>286</v>
      </c>
      <c r="H307" s="82">
        <f ca="1"/>
        <v>1</v>
      </c>
      <c r="I307" s="82">
        <f t="shared" ca="1" si="27"/>
        <v>166</v>
      </c>
      <c r="J307" s="83">
        <f t="shared" ca="1" si="25"/>
        <v>0.58041958041958042</v>
      </c>
      <c r="N307" s="60">
        <v>286</v>
      </c>
      <c r="O307" s="82">
        <f ca="1">IF(AND(N307&lt;=U$22,RAND()&lt;=$H$7),1,0)</f>
        <v>0</v>
      </c>
      <c r="P307" s="82">
        <f t="shared" ca="1" si="28"/>
        <v>0</v>
      </c>
      <c r="Q307" s="84">
        <f t="shared" ca="1" si="29"/>
        <v>1</v>
      </c>
      <c r="R307" s="82">
        <f t="shared" ca="1" si="26"/>
        <v>0</v>
      </c>
      <c r="S307" s="82">
        <f ca="1">SUM(R$22:$R307)</f>
        <v>848.79999999999961</v>
      </c>
      <c r="W307" s="60">
        <v>286</v>
      </c>
      <c r="X307" s="82">
        <f ca="1"/>
        <v>2701.2000000000053</v>
      </c>
    </row>
    <row r="308" spans="7:24" x14ac:dyDescent="0.2">
      <c r="G308" s="60">
        <v>287</v>
      </c>
      <c r="H308" s="82">
        <f ca="1"/>
        <v>0</v>
      </c>
      <c r="I308" s="82">
        <f t="shared" ca="1" si="27"/>
        <v>166</v>
      </c>
      <c r="J308" s="83">
        <f t="shared" ca="1" si="25"/>
        <v>0.57839721254355403</v>
      </c>
      <c r="N308" s="60">
        <v>287</v>
      </c>
      <c r="O308" s="82">
        <f ca="1">IF(AND(N308&lt;=U$22,RAND()&lt;=$H$7),1,0)</f>
        <v>0</v>
      </c>
      <c r="P308" s="82">
        <f t="shared" ca="1" si="28"/>
        <v>0</v>
      </c>
      <c r="Q308" s="84">
        <f t="shared" ca="1" si="29"/>
        <v>1</v>
      </c>
      <c r="R308" s="82">
        <f t="shared" ca="1" si="26"/>
        <v>0</v>
      </c>
      <c r="S308" s="82">
        <f ca="1">SUM(R$22:$R308)</f>
        <v>848.79999999999961</v>
      </c>
      <c r="W308" s="60">
        <v>287</v>
      </c>
      <c r="X308" s="82">
        <f ca="1"/>
        <v>2841.2000000000075</v>
      </c>
    </row>
    <row r="309" spans="7:24" x14ac:dyDescent="0.2">
      <c r="G309" s="60">
        <v>288</v>
      </c>
      <c r="H309" s="82">
        <f ca="1"/>
        <v>1</v>
      </c>
      <c r="I309" s="82">
        <f t="shared" ca="1" si="27"/>
        <v>167</v>
      </c>
      <c r="J309" s="83">
        <f t="shared" ca="1" si="25"/>
        <v>0.57986111111111116</v>
      </c>
      <c r="N309" s="60">
        <v>288</v>
      </c>
      <c r="O309" s="82">
        <f ca="1">IF(AND(N309&lt;=U$22,RAND()&lt;=$H$7),1,0)</f>
        <v>0</v>
      </c>
      <c r="P309" s="82">
        <f t="shared" ca="1" si="28"/>
        <v>0</v>
      </c>
      <c r="Q309" s="84">
        <f t="shared" ca="1" si="29"/>
        <v>1</v>
      </c>
      <c r="R309" s="82">
        <f t="shared" ca="1" si="26"/>
        <v>0</v>
      </c>
      <c r="S309" s="82">
        <f ca="1">SUM(R$22:$R309)</f>
        <v>848.79999999999961</v>
      </c>
      <c r="W309" s="60">
        <v>288</v>
      </c>
      <c r="X309" s="82">
        <f ca="1"/>
        <v>2613.2000000000057</v>
      </c>
    </row>
    <row r="310" spans="7:24" x14ac:dyDescent="0.2">
      <c r="G310" s="60">
        <v>289</v>
      </c>
      <c r="H310" s="82">
        <f ca="1"/>
        <v>0</v>
      </c>
      <c r="I310" s="82">
        <f t="shared" ca="1" si="27"/>
        <v>167</v>
      </c>
      <c r="J310" s="83">
        <f t="shared" ca="1" si="25"/>
        <v>0.57785467128027679</v>
      </c>
      <c r="N310" s="60">
        <v>289</v>
      </c>
      <c r="O310" s="82">
        <f ca="1">IF(AND(N310&lt;=U$22,RAND()&lt;=$H$7),1,0)</f>
        <v>0</v>
      </c>
      <c r="P310" s="82">
        <f t="shared" ca="1" si="28"/>
        <v>0</v>
      </c>
      <c r="Q310" s="84">
        <f t="shared" ca="1" si="29"/>
        <v>1</v>
      </c>
      <c r="R310" s="82">
        <f t="shared" ca="1" si="26"/>
        <v>0</v>
      </c>
      <c r="S310" s="82">
        <f ca="1">SUM(R$22:$R310)</f>
        <v>848.79999999999961</v>
      </c>
      <c r="W310" s="60">
        <v>289</v>
      </c>
      <c r="X310" s="82">
        <f ca="1"/>
        <v>2758.400000000006</v>
      </c>
    </row>
    <row r="311" spans="7:24" x14ac:dyDescent="0.2">
      <c r="G311" s="60">
        <v>290</v>
      </c>
      <c r="H311" s="82">
        <f ca="1"/>
        <v>1</v>
      </c>
      <c r="I311" s="82">
        <f t="shared" ca="1" si="27"/>
        <v>168</v>
      </c>
      <c r="J311" s="83">
        <f t="shared" ca="1" si="25"/>
        <v>0.57931034482758625</v>
      </c>
      <c r="N311" s="60">
        <v>290</v>
      </c>
      <c r="O311" s="82">
        <f ca="1">IF(AND(N311&lt;=U$22,RAND()&lt;=$H$7),1,0)</f>
        <v>1</v>
      </c>
      <c r="P311" s="82">
        <f t="shared" ca="1" si="28"/>
        <v>0</v>
      </c>
      <c r="Q311" s="84">
        <f t="shared" ca="1" si="29"/>
        <v>1</v>
      </c>
      <c r="R311" s="82">
        <f t="shared" ca="1" si="26"/>
        <v>4</v>
      </c>
      <c r="S311" s="82">
        <f ca="1">SUM(R$22:$R311)</f>
        <v>852.79999999999961</v>
      </c>
      <c r="W311" s="60">
        <v>290</v>
      </c>
      <c r="X311" s="82">
        <f ca="1"/>
        <v>2694.8000000000075</v>
      </c>
    </row>
    <row r="312" spans="7:24" x14ac:dyDescent="0.2">
      <c r="G312" s="60">
        <v>291</v>
      </c>
      <c r="H312" s="82">
        <f ca="1"/>
        <v>1</v>
      </c>
      <c r="I312" s="82">
        <f t="shared" ca="1" si="27"/>
        <v>169</v>
      </c>
      <c r="J312" s="83">
        <f t="shared" ca="1" si="25"/>
        <v>0.58075601374570451</v>
      </c>
      <c r="N312" s="60">
        <v>291</v>
      </c>
      <c r="O312" s="82">
        <f ca="1">IF(AND(N312&lt;=U$22,RAND()&lt;=$H$7),1,0)</f>
        <v>0</v>
      </c>
      <c r="P312" s="82">
        <f t="shared" ca="1" si="28"/>
        <v>0</v>
      </c>
      <c r="Q312" s="84">
        <f t="shared" ca="1" si="29"/>
        <v>1</v>
      </c>
      <c r="R312" s="82">
        <f t="shared" ca="1" si="26"/>
        <v>0</v>
      </c>
      <c r="S312" s="82">
        <f ca="1">SUM(R$22:$R312)</f>
        <v>852.79999999999961</v>
      </c>
      <c r="W312" s="60">
        <v>291</v>
      </c>
      <c r="X312" s="82">
        <f ca="1"/>
        <v>2853.2000000000085</v>
      </c>
    </row>
    <row r="313" spans="7:24" x14ac:dyDescent="0.2">
      <c r="G313" s="60">
        <v>292</v>
      </c>
      <c r="H313" s="82">
        <f ca="1"/>
        <v>1</v>
      </c>
      <c r="I313" s="82">
        <f t="shared" ca="1" si="27"/>
        <v>170</v>
      </c>
      <c r="J313" s="83">
        <f t="shared" ca="1" si="25"/>
        <v>0.5821917808219178</v>
      </c>
      <c r="N313" s="60">
        <v>292</v>
      </c>
      <c r="O313" s="82">
        <f ca="1">IF(AND(N313&lt;=U$22,RAND()&lt;=$H$7),1,0)</f>
        <v>1</v>
      </c>
      <c r="P313" s="82">
        <f t="shared" ca="1" si="28"/>
        <v>0</v>
      </c>
      <c r="Q313" s="84">
        <f t="shared" ca="1" si="29"/>
        <v>1</v>
      </c>
      <c r="R313" s="82">
        <f t="shared" ca="1" si="26"/>
        <v>4</v>
      </c>
      <c r="S313" s="82">
        <f ca="1">SUM(R$22:$R313)</f>
        <v>856.79999999999961</v>
      </c>
      <c r="W313" s="60">
        <v>292</v>
      </c>
      <c r="X313" s="82">
        <f ca="1"/>
        <v>2947.2000000000062</v>
      </c>
    </row>
    <row r="314" spans="7:24" x14ac:dyDescent="0.2">
      <c r="G314" s="60">
        <v>293</v>
      </c>
      <c r="H314" s="82">
        <f ca="1"/>
        <v>0</v>
      </c>
      <c r="I314" s="82">
        <f t="shared" ca="1" si="27"/>
        <v>170</v>
      </c>
      <c r="J314" s="83">
        <f t="shared" ca="1" si="25"/>
        <v>0.58020477815699656</v>
      </c>
      <c r="N314" s="60">
        <v>293</v>
      </c>
      <c r="O314" s="82">
        <f ca="1">IF(AND(N314&lt;=U$22,RAND()&lt;=$H$7),1,0)</f>
        <v>1</v>
      </c>
      <c r="P314" s="82">
        <f t="shared" ca="1" si="28"/>
        <v>1</v>
      </c>
      <c r="Q314" s="84">
        <f t="shared" ca="1" si="29"/>
        <v>1</v>
      </c>
      <c r="R314" s="82">
        <f t="shared" ca="1" si="26"/>
        <v>4</v>
      </c>
      <c r="S314" s="82">
        <f ca="1">SUM(R$22:$R314)</f>
        <v>860.79999999999961</v>
      </c>
      <c r="W314" s="60">
        <v>293</v>
      </c>
      <c r="X314" s="82">
        <f ca="1"/>
        <v>2761.2000000000075</v>
      </c>
    </row>
    <row r="315" spans="7:24" x14ac:dyDescent="0.2">
      <c r="G315" s="60">
        <v>294</v>
      </c>
      <c r="H315" s="82">
        <f ca="1"/>
        <v>1</v>
      </c>
      <c r="I315" s="82">
        <f t="shared" ca="1" si="27"/>
        <v>171</v>
      </c>
      <c r="J315" s="83">
        <f t="shared" ca="1" si="25"/>
        <v>0.58163265306122447</v>
      </c>
      <c r="N315" s="60">
        <v>294</v>
      </c>
      <c r="O315" s="82">
        <f ca="1">IF(AND(N315&lt;=U$22,RAND()&lt;=$H$7),1,0)</f>
        <v>1</v>
      </c>
      <c r="P315" s="82">
        <f t="shared" ca="1" si="28"/>
        <v>2</v>
      </c>
      <c r="Q315" s="84">
        <f t="shared" ca="1" si="29"/>
        <v>1.1000000000000001</v>
      </c>
      <c r="R315" s="82">
        <f t="shared" ca="1" si="26"/>
        <v>4.4000000000000004</v>
      </c>
      <c r="S315" s="82">
        <f ca="1">SUM(R$22:$R315)</f>
        <v>865.19999999999959</v>
      </c>
      <c r="W315" s="60">
        <v>294</v>
      </c>
      <c r="X315" s="82">
        <f ca="1"/>
        <v>2870.8000000000065</v>
      </c>
    </row>
    <row r="316" spans="7:24" x14ac:dyDescent="0.2">
      <c r="G316" s="60">
        <v>295</v>
      </c>
      <c r="H316" s="82">
        <f ca="1"/>
        <v>0</v>
      </c>
      <c r="I316" s="82">
        <f t="shared" ca="1" si="27"/>
        <v>171</v>
      </c>
      <c r="J316" s="83">
        <f t="shared" ca="1" si="25"/>
        <v>0.57966101694915251</v>
      </c>
      <c r="N316" s="60">
        <v>295</v>
      </c>
      <c r="O316" s="82">
        <f ca="1">IF(AND(N316&lt;=U$22,RAND()&lt;=$H$7),1,0)</f>
        <v>0</v>
      </c>
      <c r="P316" s="82">
        <f t="shared" ca="1" si="28"/>
        <v>0</v>
      </c>
      <c r="Q316" s="84">
        <f t="shared" ca="1" si="29"/>
        <v>1</v>
      </c>
      <c r="R316" s="82">
        <f t="shared" ca="1" si="26"/>
        <v>0</v>
      </c>
      <c r="S316" s="82">
        <f ca="1">SUM(R$22:$R316)</f>
        <v>865.19999999999959</v>
      </c>
      <c r="W316" s="60">
        <v>295</v>
      </c>
      <c r="X316" s="82">
        <f ca="1"/>
        <v>2698.800000000007</v>
      </c>
    </row>
    <row r="317" spans="7:24" x14ac:dyDescent="0.2">
      <c r="G317" s="60">
        <v>296</v>
      </c>
      <c r="H317" s="82">
        <f ca="1"/>
        <v>0</v>
      </c>
      <c r="I317" s="82">
        <f t="shared" ca="1" si="27"/>
        <v>171</v>
      </c>
      <c r="J317" s="83">
        <f t="shared" ca="1" si="25"/>
        <v>0.57770270270270274</v>
      </c>
      <c r="N317" s="60">
        <v>296</v>
      </c>
      <c r="O317" s="82">
        <f ca="1">IF(AND(N317&lt;=U$22,RAND()&lt;=$H$7),1,0)</f>
        <v>1</v>
      </c>
      <c r="P317" s="82">
        <f t="shared" ca="1" si="28"/>
        <v>0</v>
      </c>
      <c r="Q317" s="84">
        <f t="shared" ca="1" si="29"/>
        <v>1</v>
      </c>
      <c r="R317" s="82">
        <f t="shared" ca="1" si="26"/>
        <v>4</v>
      </c>
      <c r="S317" s="82">
        <f ca="1">SUM(R$22:$R317)</f>
        <v>869.19999999999959</v>
      </c>
      <c r="W317" s="60">
        <v>296</v>
      </c>
      <c r="X317" s="82">
        <f ca="1"/>
        <v>2663.2000000000062</v>
      </c>
    </row>
    <row r="318" spans="7:24" x14ac:dyDescent="0.2">
      <c r="G318" s="60">
        <v>297</v>
      </c>
      <c r="H318" s="82">
        <f ca="1"/>
        <v>1</v>
      </c>
      <c r="I318" s="82">
        <f t="shared" ca="1" si="27"/>
        <v>172</v>
      </c>
      <c r="J318" s="83">
        <f t="shared" ca="1" si="25"/>
        <v>0.57912457912457915</v>
      </c>
      <c r="N318" s="60">
        <v>297</v>
      </c>
      <c r="O318" s="82">
        <f ca="1">IF(AND(N318&lt;=U$22,RAND()&lt;=$H$7),1,0)</f>
        <v>1</v>
      </c>
      <c r="P318" s="82">
        <f t="shared" ca="1" si="28"/>
        <v>1</v>
      </c>
      <c r="Q318" s="84">
        <f t="shared" ca="1" si="29"/>
        <v>1</v>
      </c>
      <c r="R318" s="82">
        <f t="shared" ca="1" si="26"/>
        <v>4</v>
      </c>
      <c r="S318" s="82">
        <f ca="1">SUM(R$22:$R318)</f>
        <v>873.19999999999959</v>
      </c>
      <c r="W318" s="60">
        <v>297</v>
      </c>
      <c r="X318" s="82">
        <f ca="1"/>
        <v>2764.0000000000073</v>
      </c>
    </row>
    <row r="319" spans="7:24" x14ac:dyDescent="0.2">
      <c r="G319" s="60">
        <v>298</v>
      </c>
      <c r="H319" s="82">
        <f ca="1"/>
        <v>1</v>
      </c>
      <c r="I319" s="82">
        <f t="shared" ca="1" si="27"/>
        <v>173</v>
      </c>
      <c r="J319" s="83">
        <f t="shared" ca="1" si="25"/>
        <v>0.58053691275167785</v>
      </c>
      <c r="N319" s="60">
        <v>298</v>
      </c>
      <c r="O319" s="82">
        <f ca="1">IF(AND(N319&lt;=U$22,RAND()&lt;=$H$7),1,0)</f>
        <v>1</v>
      </c>
      <c r="P319" s="82">
        <f t="shared" ca="1" si="28"/>
        <v>2</v>
      </c>
      <c r="Q319" s="84">
        <f t="shared" ca="1" si="29"/>
        <v>1.1000000000000001</v>
      </c>
      <c r="R319" s="82">
        <f t="shared" ca="1" si="26"/>
        <v>4.4000000000000004</v>
      </c>
      <c r="S319" s="82">
        <f ca="1">SUM(R$22:$R319)</f>
        <v>877.59999999999957</v>
      </c>
      <c r="W319" s="60">
        <v>298</v>
      </c>
      <c r="X319" s="82">
        <f ca="1"/>
        <v>2693.6000000000067</v>
      </c>
    </row>
    <row r="320" spans="7:24" x14ac:dyDescent="0.2">
      <c r="G320" s="60">
        <v>299</v>
      </c>
      <c r="H320" s="82">
        <f ca="1"/>
        <v>1</v>
      </c>
      <c r="I320" s="82">
        <f t="shared" ca="1" si="27"/>
        <v>174</v>
      </c>
      <c r="J320" s="83">
        <f t="shared" ca="1" si="25"/>
        <v>0.58193979933110362</v>
      </c>
      <c r="N320" s="60">
        <v>299</v>
      </c>
      <c r="O320" s="82">
        <f ca="1">IF(AND(N320&lt;=U$22,RAND()&lt;=$H$7),1,0)</f>
        <v>1</v>
      </c>
      <c r="P320" s="82">
        <f t="shared" ca="1" si="28"/>
        <v>3</v>
      </c>
      <c r="Q320" s="84">
        <f t="shared" ca="1" si="29"/>
        <v>1.2</v>
      </c>
      <c r="R320" s="82">
        <f t="shared" ca="1" si="26"/>
        <v>4.8</v>
      </c>
      <c r="S320" s="82">
        <f ca="1">SUM(R$22:$R320)</f>
        <v>882.39999999999952</v>
      </c>
      <c r="W320" s="60">
        <v>299</v>
      </c>
      <c r="X320" s="82">
        <f ca="1"/>
        <v>2617.6000000000054</v>
      </c>
    </row>
    <row r="321" spans="7:24" x14ac:dyDescent="0.2">
      <c r="G321" s="60">
        <v>300</v>
      </c>
      <c r="H321" s="82">
        <f ca="1"/>
        <v>0</v>
      </c>
      <c r="I321" s="82">
        <f t="shared" ca="1" si="27"/>
        <v>174</v>
      </c>
      <c r="J321" s="83">
        <f t="shared" ca="1" si="25"/>
        <v>0.57999999999999996</v>
      </c>
      <c r="N321" s="60">
        <v>300</v>
      </c>
      <c r="O321" s="82">
        <f ca="1">IF(AND(N321&lt;=U$22,RAND()&lt;=$H$7),1,0)</f>
        <v>0</v>
      </c>
      <c r="P321" s="82">
        <f t="shared" ca="1" si="28"/>
        <v>0</v>
      </c>
      <c r="Q321" s="84">
        <f t="shared" ca="1" si="29"/>
        <v>1</v>
      </c>
      <c r="R321" s="82">
        <f t="shared" ca="1" si="26"/>
        <v>0</v>
      </c>
      <c r="S321" s="82">
        <f ca="1">SUM(R$22:$R321)</f>
        <v>882.39999999999952</v>
      </c>
      <c r="W321" s="60">
        <v>300</v>
      </c>
      <c r="X321" s="82">
        <f ca="1"/>
        <v>2836.8000000000084</v>
      </c>
    </row>
    <row r="322" spans="7:24" x14ac:dyDescent="0.2">
      <c r="G322" s="60">
        <v>301</v>
      </c>
      <c r="H322" s="82">
        <f ca="1"/>
        <v>0</v>
      </c>
      <c r="I322" s="82">
        <f t="shared" ca="1" si="27"/>
        <v>174</v>
      </c>
      <c r="J322" s="83">
        <f t="shared" ca="1" si="25"/>
        <v>0.57807308970099669</v>
      </c>
      <c r="N322" s="60">
        <v>301</v>
      </c>
      <c r="O322" s="82">
        <f ca="1">IF(AND(N322&lt;=U$22,RAND()&lt;=$H$7),1,0)</f>
        <v>0</v>
      </c>
      <c r="P322" s="82">
        <f t="shared" ca="1" si="28"/>
        <v>0</v>
      </c>
      <c r="Q322" s="84">
        <f t="shared" ca="1" si="29"/>
        <v>1</v>
      </c>
      <c r="R322" s="82">
        <f t="shared" ca="1" si="26"/>
        <v>0</v>
      </c>
      <c r="S322" s="82">
        <f ca="1">SUM(R$22:$R322)</f>
        <v>882.39999999999952</v>
      </c>
      <c r="W322" s="60">
        <v>301</v>
      </c>
      <c r="X322" s="82">
        <f ca="1"/>
        <v>2694.8000000000079</v>
      </c>
    </row>
    <row r="323" spans="7:24" x14ac:dyDescent="0.2">
      <c r="G323" s="60">
        <v>302</v>
      </c>
      <c r="H323" s="82">
        <f ca="1"/>
        <v>0</v>
      </c>
      <c r="I323" s="82">
        <f t="shared" ca="1" si="27"/>
        <v>174</v>
      </c>
      <c r="J323" s="83">
        <f t="shared" ca="1" si="25"/>
        <v>0.57615894039735094</v>
      </c>
      <c r="N323" s="60">
        <v>302</v>
      </c>
      <c r="O323" s="82">
        <f ca="1">IF(AND(N323&lt;=U$22,RAND()&lt;=$H$7),1,0)</f>
        <v>0</v>
      </c>
      <c r="P323" s="82">
        <f t="shared" ca="1" si="28"/>
        <v>0</v>
      </c>
      <c r="Q323" s="84">
        <f t="shared" ca="1" si="29"/>
        <v>1</v>
      </c>
      <c r="R323" s="82">
        <f t="shared" ca="1" si="26"/>
        <v>0</v>
      </c>
      <c r="S323" s="82">
        <f ca="1">SUM(R$22:$R323)</f>
        <v>882.39999999999952</v>
      </c>
      <c r="W323" s="60">
        <v>302</v>
      </c>
      <c r="X323" s="82">
        <f ca="1"/>
        <v>2840.4000000000078</v>
      </c>
    </row>
    <row r="324" spans="7:24" x14ac:dyDescent="0.2">
      <c r="G324" s="60">
        <v>303</v>
      </c>
      <c r="H324" s="82">
        <f ca="1"/>
        <v>1</v>
      </c>
      <c r="I324" s="82">
        <f t="shared" ca="1" si="27"/>
        <v>175</v>
      </c>
      <c r="J324" s="83">
        <f t="shared" ca="1" si="25"/>
        <v>0.57755775577557755</v>
      </c>
      <c r="N324" s="60">
        <v>303</v>
      </c>
      <c r="O324" s="82">
        <f ca="1">IF(AND(N324&lt;=U$22,RAND()&lt;=$H$7),1,0)</f>
        <v>0</v>
      </c>
      <c r="P324" s="82">
        <f t="shared" ca="1" si="28"/>
        <v>0</v>
      </c>
      <c r="Q324" s="84">
        <f t="shared" ca="1" si="29"/>
        <v>1</v>
      </c>
      <c r="R324" s="82">
        <f t="shared" ca="1" si="26"/>
        <v>0</v>
      </c>
      <c r="S324" s="82">
        <f ca="1">SUM(R$22:$R324)</f>
        <v>882.39999999999952</v>
      </c>
      <c r="W324" s="60">
        <v>303</v>
      </c>
      <c r="X324" s="82">
        <f ca="1"/>
        <v>2743.6000000000067</v>
      </c>
    </row>
    <row r="325" spans="7:24" x14ac:dyDescent="0.2">
      <c r="G325" s="60">
        <v>304</v>
      </c>
      <c r="H325" s="82">
        <f ca="1"/>
        <v>1</v>
      </c>
      <c r="I325" s="82">
        <f t="shared" ca="1" si="27"/>
        <v>176</v>
      </c>
      <c r="J325" s="83">
        <f t="shared" ca="1" si="25"/>
        <v>0.57894736842105265</v>
      </c>
      <c r="N325" s="60">
        <v>304</v>
      </c>
      <c r="O325" s="82">
        <f ca="1">IF(AND(N325&lt;=U$22,RAND()&lt;=$H$7),1,0)</f>
        <v>0</v>
      </c>
      <c r="P325" s="82">
        <f t="shared" ca="1" si="28"/>
        <v>0</v>
      </c>
      <c r="Q325" s="84">
        <f t="shared" ca="1" si="29"/>
        <v>1</v>
      </c>
      <c r="R325" s="82">
        <f t="shared" ca="1" si="26"/>
        <v>0</v>
      </c>
      <c r="S325" s="82">
        <f ca="1">SUM(R$22:$R325)</f>
        <v>882.39999999999952</v>
      </c>
      <c r="W325" s="60">
        <v>304</v>
      </c>
      <c r="X325" s="82">
        <f ca="1"/>
        <v>2795.2000000000062</v>
      </c>
    </row>
    <row r="326" spans="7:24" x14ac:dyDescent="0.2">
      <c r="G326" s="60">
        <v>305</v>
      </c>
      <c r="H326" s="82">
        <f ca="1"/>
        <v>0</v>
      </c>
      <c r="I326" s="82">
        <f t="shared" ca="1" si="27"/>
        <v>176</v>
      </c>
      <c r="J326" s="83">
        <f t="shared" ca="1" si="25"/>
        <v>0.57704918032786889</v>
      </c>
      <c r="N326" s="60">
        <v>305</v>
      </c>
      <c r="O326" s="82">
        <f ca="1">IF(AND(N326&lt;=U$22,RAND()&lt;=$H$7),1,0)</f>
        <v>1</v>
      </c>
      <c r="P326" s="82">
        <f t="shared" ca="1" si="28"/>
        <v>0</v>
      </c>
      <c r="Q326" s="84">
        <f t="shared" ca="1" si="29"/>
        <v>1</v>
      </c>
      <c r="R326" s="82">
        <f t="shared" ca="1" si="26"/>
        <v>4</v>
      </c>
      <c r="S326" s="82">
        <f ca="1">SUM(R$22:$R326)</f>
        <v>886.39999999999952</v>
      </c>
      <c r="W326" s="60">
        <v>305</v>
      </c>
      <c r="X326" s="82">
        <f ca="1"/>
        <v>2821.6000000000072</v>
      </c>
    </row>
    <row r="327" spans="7:24" x14ac:dyDescent="0.2">
      <c r="G327" s="60">
        <v>306</v>
      </c>
      <c r="H327" s="82">
        <f ca="1"/>
        <v>1</v>
      </c>
      <c r="I327" s="82">
        <f t="shared" ca="1" si="27"/>
        <v>177</v>
      </c>
      <c r="J327" s="83">
        <f t="shared" ca="1" si="25"/>
        <v>0.57843137254901966</v>
      </c>
      <c r="N327" s="60">
        <v>306</v>
      </c>
      <c r="O327" s="82">
        <f ca="1">IF(AND(N327&lt;=U$22,RAND()&lt;=$H$7),1,0)</f>
        <v>0</v>
      </c>
      <c r="P327" s="82">
        <f t="shared" ca="1" si="28"/>
        <v>0</v>
      </c>
      <c r="Q327" s="84">
        <f t="shared" ca="1" si="29"/>
        <v>1</v>
      </c>
      <c r="R327" s="82">
        <f t="shared" ca="1" si="26"/>
        <v>0</v>
      </c>
      <c r="S327" s="82">
        <f ca="1">SUM(R$22:$R327)</f>
        <v>886.39999999999952</v>
      </c>
      <c r="W327" s="60">
        <v>306</v>
      </c>
      <c r="X327" s="82">
        <f ca="1"/>
        <v>2839.200000000008</v>
      </c>
    </row>
    <row r="328" spans="7:24" x14ac:dyDescent="0.2">
      <c r="G328" s="60">
        <v>307</v>
      </c>
      <c r="H328" s="82">
        <f ca="1"/>
        <v>1</v>
      </c>
      <c r="I328" s="82">
        <f t="shared" ca="1" si="27"/>
        <v>178</v>
      </c>
      <c r="J328" s="83">
        <f t="shared" ca="1" si="25"/>
        <v>0.57980456026058635</v>
      </c>
      <c r="N328" s="60">
        <v>307</v>
      </c>
      <c r="O328" s="82">
        <f ca="1">IF(AND(N328&lt;=U$22,RAND()&lt;=$H$7),1,0)</f>
        <v>0</v>
      </c>
      <c r="P328" s="82">
        <f t="shared" ca="1" si="28"/>
        <v>0</v>
      </c>
      <c r="Q328" s="84">
        <f t="shared" ca="1" si="29"/>
        <v>1</v>
      </c>
      <c r="R328" s="82">
        <f t="shared" ca="1" si="26"/>
        <v>0</v>
      </c>
      <c r="S328" s="82">
        <f ca="1">SUM(R$22:$R328)</f>
        <v>886.39999999999952</v>
      </c>
      <c r="W328" s="60">
        <v>307</v>
      </c>
      <c r="X328" s="82">
        <f ca="1"/>
        <v>2776.400000000006</v>
      </c>
    </row>
    <row r="329" spans="7:24" x14ac:dyDescent="0.2">
      <c r="G329" s="60">
        <v>308</v>
      </c>
      <c r="H329" s="82">
        <f ca="1"/>
        <v>0</v>
      </c>
      <c r="I329" s="82">
        <f t="shared" ca="1" si="27"/>
        <v>178</v>
      </c>
      <c r="J329" s="83">
        <f t="shared" ca="1" si="25"/>
        <v>0.57792207792207795</v>
      </c>
      <c r="N329" s="60">
        <v>308</v>
      </c>
      <c r="O329" s="82">
        <f ca="1">IF(AND(N329&lt;=U$22,RAND()&lt;=$H$7),1,0)</f>
        <v>0</v>
      </c>
      <c r="P329" s="82">
        <f t="shared" ca="1" si="28"/>
        <v>0</v>
      </c>
      <c r="Q329" s="84">
        <f t="shared" ca="1" si="29"/>
        <v>1</v>
      </c>
      <c r="R329" s="82">
        <f t="shared" ca="1" si="26"/>
        <v>0</v>
      </c>
      <c r="S329" s="82">
        <f ca="1">SUM(R$22:$R329)</f>
        <v>886.39999999999952</v>
      </c>
      <c r="W329" s="60">
        <v>308</v>
      </c>
      <c r="X329" s="82">
        <f ca="1"/>
        <v>2698.4000000000078</v>
      </c>
    </row>
    <row r="330" spans="7:24" x14ac:dyDescent="0.2">
      <c r="G330" s="60">
        <v>309</v>
      </c>
      <c r="H330" s="82">
        <f ca="1"/>
        <v>1</v>
      </c>
      <c r="I330" s="82">
        <f t="shared" ca="1" si="27"/>
        <v>179</v>
      </c>
      <c r="J330" s="83">
        <f t="shared" ca="1" si="25"/>
        <v>0.57928802588996764</v>
      </c>
      <c r="N330" s="60">
        <v>309</v>
      </c>
      <c r="O330" s="82">
        <f ca="1">IF(AND(N330&lt;=U$22,RAND()&lt;=$H$7),1,0)</f>
        <v>0</v>
      </c>
      <c r="P330" s="82">
        <f t="shared" ca="1" si="28"/>
        <v>0</v>
      </c>
      <c r="Q330" s="84">
        <f t="shared" ca="1" si="29"/>
        <v>1</v>
      </c>
      <c r="R330" s="82">
        <f t="shared" ca="1" si="26"/>
        <v>0</v>
      </c>
      <c r="S330" s="82">
        <f ca="1">SUM(R$22:$R330)</f>
        <v>886.39999999999952</v>
      </c>
      <c r="W330" s="60">
        <v>309</v>
      </c>
      <c r="X330" s="82">
        <f ca="1"/>
        <v>2757.2000000000071</v>
      </c>
    </row>
    <row r="331" spans="7:24" x14ac:dyDescent="0.2">
      <c r="G331" s="60">
        <v>310</v>
      </c>
      <c r="H331" s="82">
        <f ca="1"/>
        <v>1</v>
      </c>
      <c r="I331" s="82">
        <f t="shared" ca="1" si="27"/>
        <v>180</v>
      </c>
      <c r="J331" s="83">
        <f t="shared" ca="1" si="25"/>
        <v>0.58064516129032262</v>
      </c>
      <c r="N331" s="60">
        <v>310</v>
      </c>
      <c r="O331" s="82">
        <f ca="1">IF(AND(N331&lt;=U$22,RAND()&lt;=$H$7),1,0)</f>
        <v>1</v>
      </c>
      <c r="P331" s="82">
        <f t="shared" ca="1" si="28"/>
        <v>0</v>
      </c>
      <c r="Q331" s="84">
        <f t="shared" ca="1" si="29"/>
        <v>1</v>
      </c>
      <c r="R331" s="82">
        <f t="shared" ca="1" si="26"/>
        <v>4</v>
      </c>
      <c r="S331" s="82">
        <f ca="1">SUM(R$22:$R331)</f>
        <v>890.39999999999952</v>
      </c>
      <c r="W331" s="60">
        <v>310</v>
      </c>
      <c r="X331" s="82">
        <f ca="1"/>
        <v>2995.200000000008</v>
      </c>
    </row>
    <row r="332" spans="7:24" x14ac:dyDescent="0.2">
      <c r="G332" s="60">
        <v>311</v>
      </c>
      <c r="H332" s="82">
        <f ca="1"/>
        <v>0</v>
      </c>
      <c r="I332" s="82">
        <f t="shared" ca="1" si="27"/>
        <v>180</v>
      </c>
      <c r="J332" s="83">
        <f t="shared" ca="1" si="25"/>
        <v>0.5787781350482315</v>
      </c>
      <c r="N332" s="60">
        <v>311</v>
      </c>
      <c r="O332" s="82">
        <f ca="1">IF(AND(N332&lt;=U$22,RAND()&lt;=$H$7),1,0)</f>
        <v>1</v>
      </c>
      <c r="P332" s="82">
        <f t="shared" ca="1" si="28"/>
        <v>1</v>
      </c>
      <c r="Q332" s="84">
        <f t="shared" ca="1" si="29"/>
        <v>1</v>
      </c>
      <c r="R332" s="82">
        <f t="shared" ca="1" si="26"/>
        <v>4</v>
      </c>
      <c r="S332" s="82">
        <f ca="1">SUM(R$22:$R332)</f>
        <v>894.39999999999952</v>
      </c>
      <c r="W332" s="60">
        <v>311</v>
      </c>
      <c r="X332" s="82">
        <f ca="1"/>
        <v>2772.8000000000061</v>
      </c>
    </row>
    <row r="333" spans="7:24" x14ac:dyDescent="0.2">
      <c r="G333" s="60">
        <v>312</v>
      </c>
      <c r="H333" s="82">
        <f ca="1"/>
        <v>0</v>
      </c>
      <c r="I333" s="82">
        <f t="shared" ca="1" si="27"/>
        <v>180</v>
      </c>
      <c r="J333" s="83">
        <f t="shared" ca="1" si="25"/>
        <v>0.57692307692307687</v>
      </c>
      <c r="N333" s="60">
        <v>312</v>
      </c>
      <c r="O333" s="82">
        <f ca="1">IF(AND(N333&lt;=U$22,RAND()&lt;=$H$7),1,0)</f>
        <v>0</v>
      </c>
      <c r="P333" s="82">
        <f t="shared" ca="1" si="28"/>
        <v>0</v>
      </c>
      <c r="Q333" s="84">
        <f t="shared" ca="1" si="29"/>
        <v>1</v>
      </c>
      <c r="R333" s="82">
        <f t="shared" ca="1" si="26"/>
        <v>0</v>
      </c>
      <c r="S333" s="82">
        <f ca="1">SUM(R$22:$R333)</f>
        <v>894.39999999999952</v>
      </c>
      <c r="W333" s="60">
        <v>312</v>
      </c>
      <c r="X333" s="82">
        <f ca="1"/>
        <v>2784.8000000000052</v>
      </c>
    </row>
    <row r="334" spans="7:24" x14ac:dyDescent="0.2">
      <c r="G334" s="60">
        <v>313</v>
      </c>
      <c r="H334" s="82">
        <f ca="1"/>
        <v>1</v>
      </c>
      <c r="I334" s="82">
        <f t="shared" ca="1" si="27"/>
        <v>181</v>
      </c>
      <c r="J334" s="83">
        <f t="shared" ca="1" si="25"/>
        <v>0.57827476038338654</v>
      </c>
      <c r="N334" s="60">
        <v>313</v>
      </c>
      <c r="O334" s="82">
        <f ca="1">IF(AND(N334&lt;=U$22,RAND()&lt;=$H$7),1,0)</f>
        <v>1</v>
      </c>
      <c r="P334" s="82">
        <f t="shared" ca="1" si="28"/>
        <v>0</v>
      </c>
      <c r="Q334" s="84">
        <f t="shared" ca="1" si="29"/>
        <v>1</v>
      </c>
      <c r="R334" s="82">
        <f t="shared" ca="1" si="26"/>
        <v>4</v>
      </c>
      <c r="S334" s="82">
        <f ca="1">SUM(R$22:$R334)</f>
        <v>898.39999999999952</v>
      </c>
      <c r="W334" s="60">
        <v>313</v>
      </c>
      <c r="X334" s="82">
        <f ca="1"/>
        <v>2648.800000000007</v>
      </c>
    </row>
    <row r="335" spans="7:24" x14ac:dyDescent="0.2">
      <c r="G335" s="60">
        <v>314</v>
      </c>
      <c r="H335" s="82">
        <f ca="1"/>
        <v>0</v>
      </c>
      <c r="I335" s="82">
        <f t="shared" ca="1" si="27"/>
        <v>181</v>
      </c>
      <c r="J335" s="83">
        <f t="shared" ca="1" si="25"/>
        <v>0.57643312101910826</v>
      </c>
      <c r="N335" s="60">
        <v>314</v>
      </c>
      <c r="O335" s="82">
        <f ca="1">IF(AND(N335&lt;=U$22,RAND()&lt;=$H$7),1,0)</f>
        <v>0</v>
      </c>
      <c r="P335" s="82">
        <f t="shared" ca="1" si="28"/>
        <v>0</v>
      </c>
      <c r="Q335" s="84">
        <f t="shared" ca="1" si="29"/>
        <v>1</v>
      </c>
      <c r="R335" s="82">
        <f t="shared" ca="1" si="26"/>
        <v>0</v>
      </c>
      <c r="S335" s="82">
        <f ca="1">SUM(R$22:$R335)</f>
        <v>898.39999999999952</v>
      </c>
      <c r="W335" s="60">
        <v>314</v>
      </c>
      <c r="X335" s="82">
        <f ca="1"/>
        <v>2690.8000000000075</v>
      </c>
    </row>
    <row r="336" spans="7:24" x14ac:dyDescent="0.2">
      <c r="G336" s="60">
        <v>315</v>
      </c>
      <c r="H336" s="82">
        <f ca="1"/>
        <v>1</v>
      </c>
      <c r="I336" s="82">
        <f t="shared" ca="1" si="27"/>
        <v>182</v>
      </c>
      <c r="J336" s="83">
        <f t="shared" ca="1" si="25"/>
        <v>0.57777777777777772</v>
      </c>
      <c r="N336" s="60">
        <v>315</v>
      </c>
      <c r="O336" s="82">
        <f ca="1">IF(AND(N336&lt;=U$22,RAND()&lt;=$H$7),1,0)</f>
        <v>0</v>
      </c>
      <c r="P336" s="82">
        <f t="shared" ca="1" si="28"/>
        <v>0</v>
      </c>
      <c r="Q336" s="84">
        <f t="shared" ca="1" si="29"/>
        <v>1</v>
      </c>
      <c r="R336" s="82">
        <f t="shared" ca="1" si="26"/>
        <v>0</v>
      </c>
      <c r="S336" s="82">
        <f ca="1">SUM(R$22:$R336)</f>
        <v>898.39999999999952</v>
      </c>
      <c r="W336" s="60">
        <v>315</v>
      </c>
      <c r="X336" s="82">
        <f ca="1"/>
        <v>2726.8000000000065</v>
      </c>
    </row>
    <row r="337" spans="7:24" x14ac:dyDescent="0.2">
      <c r="G337" s="60">
        <v>316</v>
      </c>
      <c r="H337" s="82">
        <f ca="1"/>
        <v>0</v>
      </c>
      <c r="I337" s="82">
        <f t="shared" ca="1" si="27"/>
        <v>182</v>
      </c>
      <c r="J337" s="83">
        <f t="shared" ca="1" si="25"/>
        <v>0.57594936708860756</v>
      </c>
      <c r="N337" s="60">
        <v>316</v>
      </c>
      <c r="O337" s="82">
        <f ca="1">IF(AND(N337&lt;=U$22,RAND()&lt;=$H$7),1,0)</f>
        <v>1</v>
      </c>
      <c r="P337" s="82">
        <f t="shared" ca="1" si="28"/>
        <v>0</v>
      </c>
      <c r="Q337" s="84">
        <f t="shared" ca="1" si="29"/>
        <v>1</v>
      </c>
      <c r="R337" s="82">
        <f t="shared" ca="1" si="26"/>
        <v>4</v>
      </c>
      <c r="S337" s="82">
        <f ca="1">SUM(R$22:$R337)</f>
        <v>902.39999999999952</v>
      </c>
      <c r="W337" s="60">
        <v>316</v>
      </c>
      <c r="X337" s="82">
        <f ca="1"/>
        <v>2603.6000000000085</v>
      </c>
    </row>
    <row r="338" spans="7:24" x14ac:dyDescent="0.2">
      <c r="G338" s="60">
        <v>317</v>
      </c>
      <c r="H338" s="82">
        <f ca="1"/>
        <v>1</v>
      </c>
      <c r="I338" s="82">
        <f t="shared" ca="1" si="27"/>
        <v>183</v>
      </c>
      <c r="J338" s="83">
        <f t="shared" ca="1" si="25"/>
        <v>0.57728706624605675</v>
      </c>
      <c r="N338" s="60">
        <v>317</v>
      </c>
      <c r="O338" s="82">
        <f ca="1">IF(AND(N338&lt;=U$22,RAND()&lt;=$H$7),1,0)</f>
        <v>1</v>
      </c>
      <c r="P338" s="82">
        <f t="shared" ca="1" si="28"/>
        <v>1</v>
      </c>
      <c r="Q338" s="84">
        <f t="shared" ca="1" si="29"/>
        <v>1</v>
      </c>
      <c r="R338" s="82">
        <f t="shared" ca="1" si="26"/>
        <v>4</v>
      </c>
      <c r="S338" s="82">
        <f ca="1">SUM(R$22:$R338)</f>
        <v>906.39999999999952</v>
      </c>
      <c r="W338" s="60">
        <v>317</v>
      </c>
      <c r="X338" s="82">
        <f ca="1"/>
        <v>2793.6000000000072</v>
      </c>
    </row>
    <row r="339" spans="7:24" x14ac:dyDescent="0.2">
      <c r="G339" s="60">
        <v>318</v>
      </c>
      <c r="H339" s="82">
        <f ca="1"/>
        <v>0</v>
      </c>
      <c r="I339" s="82">
        <f t="shared" ca="1" si="27"/>
        <v>183</v>
      </c>
      <c r="J339" s="83">
        <f t="shared" ca="1" si="25"/>
        <v>0.57547169811320753</v>
      </c>
      <c r="N339" s="60">
        <v>318</v>
      </c>
      <c r="O339" s="82">
        <f ca="1">IF(AND(N339&lt;=U$22,RAND()&lt;=$H$7),1,0)</f>
        <v>1</v>
      </c>
      <c r="P339" s="82">
        <f t="shared" ca="1" si="28"/>
        <v>2</v>
      </c>
      <c r="Q339" s="84">
        <f t="shared" ca="1" si="29"/>
        <v>1.1000000000000001</v>
      </c>
      <c r="R339" s="82">
        <f t="shared" ca="1" si="26"/>
        <v>4.4000000000000004</v>
      </c>
      <c r="S339" s="82">
        <f ca="1">SUM(R$22:$R339)</f>
        <v>910.7999999999995</v>
      </c>
      <c r="W339" s="60">
        <v>318</v>
      </c>
      <c r="X339" s="82">
        <f ca="1"/>
        <v>2759.2000000000085</v>
      </c>
    </row>
    <row r="340" spans="7:24" x14ac:dyDescent="0.2">
      <c r="G340" s="60">
        <v>319</v>
      </c>
      <c r="H340" s="82">
        <f ca="1"/>
        <v>1</v>
      </c>
      <c r="I340" s="82">
        <f t="shared" ca="1" si="27"/>
        <v>184</v>
      </c>
      <c r="J340" s="83">
        <f t="shared" ca="1" si="25"/>
        <v>0.57680250783699061</v>
      </c>
      <c r="N340" s="60">
        <v>319</v>
      </c>
      <c r="O340" s="82">
        <f ca="1">IF(AND(N340&lt;=U$22,RAND()&lt;=$H$7),1,0)</f>
        <v>1</v>
      </c>
      <c r="P340" s="82">
        <f t="shared" ca="1" si="28"/>
        <v>3</v>
      </c>
      <c r="Q340" s="84">
        <f t="shared" ca="1" si="29"/>
        <v>1.2</v>
      </c>
      <c r="R340" s="82">
        <f t="shared" ca="1" si="26"/>
        <v>4.8</v>
      </c>
      <c r="S340" s="82">
        <f ca="1">SUM(R$22:$R340)</f>
        <v>915.59999999999945</v>
      </c>
      <c r="W340" s="60">
        <v>319</v>
      </c>
      <c r="X340" s="82">
        <f ca="1"/>
        <v>2762.4000000000065</v>
      </c>
    </row>
    <row r="341" spans="7:24" x14ac:dyDescent="0.2">
      <c r="G341" s="60">
        <v>320</v>
      </c>
      <c r="H341" s="82">
        <f ca="1"/>
        <v>0</v>
      </c>
      <c r="I341" s="82">
        <f t="shared" ca="1" si="27"/>
        <v>184</v>
      </c>
      <c r="J341" s="83">
        <f t="shared" ca="1" si="25"/>
        <v>0.57499999999999996</v>
      </c>
      <c r="N341" s="60">
        <v>320</v>
      </c>
      <c r="O341" s="82">
        <f ca="1">IF(AND(N341&lt;=U$22,RAND()&lt;=$H$7),1,0)</f>
        <v>0</v>
      </c>
      <c r="P341" s="82">
        <f t="shared" ca="1" si="28"/>
        <v>0</v>
      </c>
      <c r="Q341" s="84">
        <f t="shared" ca="1" si="29"/>
        <v>1</v>
      </c>
      <c r="R341" s="82">
        <f t="shared" ca="1" si="26"/>
        <v>0</v>
      </c>
      <c r="S341" s="82">
        <f ca="1">SUM(R$22:$R341)</f>
        <v>915.59999999999945</v>
      </c>
      <c r="W341" s="60">
        <v>320</v>
      </c>
      <c r="X341" s="82">
        <f ca="1"/>
        <v>2780.8000000000079</v>
      </c>
    </row>
    <row r="342" spans="7:24" x14ac:dyDescent="0.2">
      <c r="G342" s="60">
        <v>321</v>
      </c>
      <c r="H342" s="82">
        <f ca="1"/>
        <v>0</v>
      </c>
      <c r="I342" s="82">
        <f t="shared" ca="1" si="27"/>
        <v>184</v>
      </c>
      <c r="J342" s="83">
        <f t="shared" ca="1" si="25"/>
        <v>0.57320872274143297</v>
      </c>
      <c r="N342" s="60">
        <v>321</v>
      </c>
      <c r="O342" s="82">
        <f ca="1">IF(AND(N342&lt;=U$22,RAND()&lt;=$H$7),1,0)</f>
        <v>0</v>
      </c>
      <c r="P342" s="82">
        <f t="shared" ca="1" si="28"/>
        <v>0</v>
      </c>
      <c r="Q342" s="84">
        <f t="shared" ca="1" si="29"/>
        <v>1</v>
      </c>
      <c r="R342" s="82">
        <f t="shared" ca="1" si="26"/>
        <v>0</v>
      </c>
      <c r="S342" s="82">
        <f ca="1">SUM(R$22:$R342)</f>
        <v>915.59999999999945</v>
      </c>
      <c r="W342" s="60">
        <v>321</v>
      </c>
      <c r="X342" s="82">
        <f ca="1"/>
        <v>2741.2000000000057</v>
      </c>
    </row>
    <row r="343" spans="7:24" x14ac:dyDescent="0.2">
      <c r="G343" s="60">
        <v>322</v>
      </c>
      <c r="H343" s="82">
        <f ca="1"/>
        <v>1</v>
      </c>
      <c r="I343" s="82">
        <f t="shared" ca="1" si="27"/>
        <v>185</v>
      </c>
      <c r="J343" s="83">
        <f t="shared" ref="J343:J406" ca="1" si="30">I343/G343</f>
        <v>0.57453416149068326</v>
      </c>
      <c r="N343" s="60">
        <v>322</v>
      </c>
      <c r="O343" s="82">
        <f ca="1">IF(AND(N343&lt;=U$22,RAND()&lt;=$H$7),1,0)</f>
        <v>1</v>
      </c>
      <c r="P343" s="82">
        <f t="shared" ca="1" si="28"/>
        <v>0</v>
      </c>
      <c r="Q343" s="84">
        <f t="shared" ca="1" si="29"/>
        <v>1</v>
      </c>
      <c r="R343" s="82">
        <f t="shared" ref="R343:R406" ca="1" si="31">Q343*$I$7*O343</f>
        <v>4</v>
      </c>
      <c r="S343" s="82">
        <f ca="1">SUM(R$22:$R343)</f>
        <v>919.59999999999945</v>
      </c>
      <c r="W343" s="60">
        <v>322</v>
      </c>
      <c r="X343" s="82">
        <f ca="1"/>
        <v>2692.0000000000064</v>
      </c>
    </row>
    <row r="344" spans="7:24" x14ac:dyDescent="0.2">
      <c r="G344" s="60">
        <v>323</v>
      </c>
      <c r="H344" s="82">
        <f ca="1"/>
        <v>1</v>
      </c>
      <c r="I344" s="82">
        <f t="shared" ref="I344:I407" ca="1" si="32">H344+I343</f>
        <v>186</v>
      </c>
      <c r="J344" s="83">
        <f t="shared" ca="1" si="30"/>
        <v>0.57585139318885448</v>
      </c>
      <c r="N344" s="60">
        <v>323</v>
      </c>
      <c r="O344" s="82">
        <f ca="1">IF(AND(N344&lt;=U$22,RAND()&lt;=$H$7),1,0)</f>
        <v>0</v>
      </c>
      <c r="P344" s="82">
        <f t="shared" ref="P344:P407" ca="1" si="33">IF(AND(O343=1,O344=1),P343+1,0)</f>
        <v>0</v>
      </c>
      <c r="Q344" s="84">
        <f t="shared" ref="Q344:Q407" ca="1" si="34">IF(P344&gt;1,1+(P344-1)*0.1,1)</f>
        <v>1</v>
      </c>
      <c r="R344" s="82">
        <f t="shared" ca="1" si="31"/>
        <v>0</v>
      </c>
      <c r="S344" s="82">
        <f ca="1">SUM(R$22:$R344)</f>
        <v>919.59999999999945</v>
      </c>
      <c r="W344" s="60">
        <v>323</v>
      </c>
      <c r="X344" s="82">
        <f ca="1"/>
        <v>2796.4000000000065</v>
      </c>
    </row>
    <row r="345" spans="7:24" x14ac:dyDescent="0.2">
      <c r="G345" s="60">
        <v>324</v>
      </c>
      <c r="H345" s="82">
        <f ca="1"/>
        <v>0</v>
      </c>
      <c r="I345" s="82">
        <f t="shared" ca="1" si="32"/>
        <v>186</v>
      </c>
      <c r="J345" s="83">
        <f t="shared" ca="1" si="30"/>
        <v>0.57407407407407407</v>
      </c>
      <c r="N345" s="60">
        <v>324</v>
      </c>
      <c r="O345" s="82">
        <f ca="1">IF(AND(N345&lt;=U$22,RAND()&lt;=$H$7),1,0)</f>
        <v>0</v>
      </c>
      <c r="P345" s="82">
        <f t="shared" ca="1" si="33"/>
        <v>0</v>
      </c>
      <c r="Q345" s="84">
        <f t="shared" ca="1" si="34"/>
        <v>1</v>
      </c>
      <c r="R345" s="82">
        <f t="shared" ca="1" si="31"/>
        <v>0</v>
      </c>
      <c r="S345" s="82">
        <f ca="1">SUM(R$22:$R345)</f>
        <v>919.59999999999945</v>
      </c>
      <c r="W345" s="60">
        <v>324</v>
      </c>
      <c r="X345" s="82">
        <f ca="1"/>
        <v>2775.6000000000067</v>
      </c>
    </row>
    <row r="346" spans="7:24" x14ac:dyDescent="0.2">
      <c r="G346" s="60">
        <v>325</v>
      </c>
      <c r="H346" s="82">
        <f ca="1"/>
        <v>0</v>
      </c>
      <c r="I346" s="82">
        <f t="shared" ca="1" si="32"/>
        <v>186</v>
      </c>
      <c r="J346" s="83">
        <f t="shared" ca="1" si="30"/>
        <v>0.5723076923076923</v>
      </c>
      <c r="N346" s="60">
        <v>325</v>
      </c>
      <c r="O346" s="82">
        <f ca="1">IF(AND(N346&lt;=U$22,RAND()&lt;=$H$7),1,0)</f>
        <v>1</v>
      </c>
      <c r="P346" s="82">
        <f t="shared" ca="1" si="33"/>
        <v>0</v>
      </c>
      <c r="Q346" s="84">
        <f t="shared" ca="1" si="34"/>
        <v>1</v>
      </c>
      <c r="R346" s="82">
        <f t="shared" ca="1" si="31"/>
        <v>4</v>
      </c>
      <c r="S346" s="82">
        <f ca="1">SUM(R$22:$R346)</f>
        <v>923.59999999999945</v>
      </c>
      <c r="W346" s="60">
        <v>325</v>
      </c>
      <c r="X346" s="82">
        <f ca="1"/>
        <v>2651.6000000000072</v>
      </c>
    </row>
    <row r="347" spans="7:24" x14ac:dyDescent="0.2">
      <c r="G347" s="60">
        <v>326</v>
      </c>
      <c r="H347" s="82">
        <f ca="1"/>
        <v>1</v>
      </c>
      <c r="I347" s="82">
        <f t="shared" ca="1" si="32"/>
        <v>187</v>
      </c>
      <c r="J347" s="83">
        <f t="shared" ca="1" si="30"/>
        <v>0.57361963190184051</v>
      </c>
      <c r="N347" s="60">
        <v>326</v>
      </c>
      <c r="O347" s="82">
        <f ca="1">IF(AND(N347&lt;=U$22,RAND()&lt;=$H$7),1,0)</f>
        <v>0</v>
      </c>
      <c r="P347" s="82">
        <f t="shared" ca="1" si="33"/>
        <v>0</v>
      </c>
      <c r="Q347" s="84">
        <f t="shared" ca="1" si="34"/>
        <v>1</v>
      </c>
      <c r="R347" s="82">
        <f t="shared" ca="1" si="31"/>
        <v>0</v>
      </c>
      <c r="S347" s="82">
        <f ca="1">SUM(R$22:$R347)</f>
        <v>923.59999999999945</v>
      </c>
      <c r="W347" s="60">
        <v>326</v>
      </c>
      <c r="X347" s="82">
        <f ca="1"/>
        <v>2636.8000000000088</v>
      </c>
    </row>
    <row r="348" spans="7:24" x14ac:dyDescent="0.2">
      <c r="G348" s="60">
        <v>327</v>
      </c>
      <c r="H348" s="82">
        <f ca="1"/>
        <v>0</v>
      </c>
      <c r="I348" s="82">
        <f t="shared" ca="1" si="32"/>
        <v>187</v>
      </c>
      <c r="J348" s="83">
        <f t="shared" ca="1" si="30"/>
        <v>0.5718654434250765</v>
      </c>
      <c r="N348" s="60">
        <v>327</v>
      </c>
      <c r="O348" s="82">
        <f ca="1">IF(AND(N348&lt;=U$22,RAND()&lt;=$H$7),1,0)</f>
        <v>1</v>
      </c>
      <c r="P348" s="82">
        <f t="shared" ca="1" si="33"/>
        <v>0</v>
      </c>
      <c r="Q348" s="84">
        <f t="shared" ca="1" si="34"/>
        <v>1</v>
      </c>
      <c r="R348" s="82">
        <f t="shared" ca="1" si="31"/>
        <v>4</v>
      </c>
      <c r="S348" s="82">
        <f ca="1">SUM(R$22:$R348)</f>
        <v>927.59999999999945</v>
      </c>
      <c r="W348" s="60">
        <v>327</v>
      </c>
      <c r="X348" s="82">
        <f ca="1"/>
        <v>2907.6000000000085</v>
      </c>
    </row>
    <row r="349" spans="7:24" x14ac:dyDescent="0.2">
      <c r="G349" s="60">
        <v>328</v>
      </c>
      <c r="H349" s="82">
        <f ca="1"/>
        <v>1</v>
      </c>
      <c r="I349" s="82">
        <f t="shared" ca="1" si="32"/>
        <v>188</v>
      </c>
      <c r="J349" s="83">
        <f t="shared" ca="1" si="30"/>
        <v>0.57317073170731703</v>
      </c>
      <c r="N349" s="60">
        <v>328</v>
      </c>
      <c r="O349" s="82">
        <f ca="1">IF(AND(N349&lt;=U$22,RAND()&lt;=$H$7),1,0)</f>
        <v>0</v>
      </c>
      <c r="P349" s="82">
        <f t="shared" ca="1" si="33"/>
        <v>0</v>
      </c>
      <c r="Q349" s="84">
        <f t="shared" ca="1" si="34"/>
        <v>1</v>
      </c>
      <c r="R349" s="82">
        <f t="shared" ca="1" si="31"/>
        <v>0</v>
      </c>
      <c r="S349" s="82">
        <f ca="1">SUM(R$22:$R349)</f>
        <v>927.59999999999945</v>
      </c>
      <c r="W349" s="60">
        <v>328</v>
      </c>
      <c r="X349" s="82">
        <f ca="1"/>
        <v>2804.4000000000065</v>
      </c>
    </row>
    <row r="350" spans="7:24" x14ac:dyDescent="0.2">
      <c r="G350" s="60">
        <v>329</v>
      </c>
      <c r="H350" s="82">
        <f ca="1"/>
        <v>1</v>
      </c>
      <c r="I350" s="82">
        <f t="shared" ca="1" si="32"/>
        <v>189</v>
      </c>
      <c r="J350" s="83">
        <f t="shared" ca="1" si="30"/>
        <v>0.57446808510638303</v>
      </c>
      <c r="N350" s="60">
        <v>329</v>
      </c>
      <c r="O350" s="82">
        <f ca="1">IF(AND(N350&lt;=U$22,RAND()&lt;=$H$7),1,0)</f>
        <v>1</v>
      </c>
      <c r="P350" s="82">
        <f t="shared" ca="1" si="33"/>
        <v>0</v>
      </c>
      <c r="Q350" s="84">
        <f t="shared" ca="1" si="34"/>
        <v>1</v>
      </c>
      <c r="R350" s="82">
        <f t="shared" ca="1" si="31"/>
        <v>4</v>
      </c>
      <c r="S350" s="82">
        <f ca="1">SUM(R$22:$R350)</f>
        <v>931.59999999999945</v>
      </c>
      <c r="W350" s="60">
        <v>329</v>
      </c>
      <c r="X350" s="82">
        <f ca="1"/>
        <v>2772.0000000000073</v>
      </c>
    </row>
    <row r="351" spans="7:24" x14ac:dyDescent="0.2">
      <c r="G351" s="60">
        <v>330</v>
      </c>
      <c r="H351" s="82">
        <f ca="1"/>
        <v>0</v>
      </c>
      <c r="I351" s="82">
        <f t="shared" ca="1" si="32"/>
        <v>189</v>
      </c>
      <c r="J351" s="83">
        <f t="shared" ca="1" si="30"/>
        <v>0.57272727272727275</v>
      </c>
      <c r="N351" s="60">
        <v>330</v>
      </c>
      <c r="O351" s="82">
        <f ca="1">IF(AND(N351&lt;=U$22,RAND()&lt;=$H$7),1,0)</f>
        <v>1</v>
      </c>
      <c r="P351" s="82">
        <f t="shared" ca="1" si="33"/>
        <v>1</v>
      </c>
      <c r="Q351" s="84">
        <f t="shared" ca="1" si="34"/>
        <v>1</v>
      </c>
      <c r="R351" s="82">
        <f t="shared" ca="1" si="31"/>
        <v>4</v>
      </c>
      <c r="S351" s="82">
        <f ca="1">SUM(R$22:$R351)</f>
        <v>935.59999999999945</v>
      </c>
      <c r="W351" s="60">
        <v>330</v>
      </c>
      <c r="X351" s="82">
        <f ca="1"/>
        <v>2626.8000000000065</v>
      </c>
    </row>
    <row r="352" spans="7:24" x14ac:dyDescent="0.2">
      <c r="G352" s="60">
        <v>331</v>
      </c>
      <c r="H352" s="82">
        <f ca="1"/>
        <v>1</v>
      </c>
      <c r="I352" s="82">
        <f t="shared" ca="1" si="32"/>
        <v>190</v>
      </c>
      <c r="J352" s="83">
        <f t="shared" ca="1" si="30"/>
        <v>0.57401812688821752</v>
      </c>
      <c r="N352" s="60">
        <v>331</v>
      </c>
      <c r="O352" s="82">
        <f ca="1">IF(AND(N352&lt;=U$22,RAND()&lt;=$H$7),1,0)</f>
        <v>0</v>
      </c>
      <c r="P352" s="82">
        <f t="shared" ca="1" si="33"/>
        <v>0</v>
      </c>
      <c r="Q352" s="84">
        <f t="shared" ca="1" si="34"/>
        <v>1</v>
      </c>
      <c r="R352" s="82">
        <f t="shared" ca="1" si="31"/>
        <v>0</v>
      </c>
      <c r="S352" s="82">
        <f ca="1">SUM(R$22:$R352)</f>
        <v>935.59999999999945</v>
      </c>
      <c r="W352" s="60">
        <v>331</v>
      </c>
      <c r="X352" s="82">
        <f ca="1"/>
        <v>2688.4000000000069</v>
      </c>
    </row>
    <row r="353" spans="7:24" x14ac:dyDescent="0.2">
      <c r="G353" s="60">
        <v>332</v>
      </c>
      <c r="H353" s="82">
        <f ca="1"/>
        <v>0</v>
      </c>
      <c r="I353" s="82">
        <f t="shared" ca="1" si="32"/>
        <v>190</v>
      </c>
      <c r="J353" s="83">
        <f t="shared" ca="1" si="30"/>
        <v>0.57228915662650603</v>
      </c>
      <c r="N353" s="60">
        <v>332</v>
      </c>
      <c r="O353" s="82">
        <f ca="1">IF(AND(N353&lt;=U$22,RAND()&lt;=$H$7),1,0)</f>
        <v>1</v>
      </c>
      <c r="P353" s="82">
        <f t="shared" ca="1" si="33"/>
        <v>0</v>
      </c>
      <c r="Q353" s="84">
        <f t="shared" ca="1" si="34"/>
        <v>1</v>
      </c>
      <c r="R353" s="82">
        <f t="shared" ca="1" si="31"/>
        <v>4</v>
      </c>
      <c r="S353" s="82">
        <f ca="1">SUM(R$22:$R353)</f>
        <v>939.59999999999945</v>
      </c>
      <c r="W353" s="60">
        <v>332</v>
      </c>
      <c r="X353" s="82">
        <f ca="1"/>
        <v>2526.0000000000041</v>
      </c>
    </row>
    <row r="354" spans="7:24" x14ac:dyDescent="0.2">
      <c r="G354" s="60">
        <v>333</v>
      </c>
      <c r="H354" s="82">
        <f ca="1"/>
        <v>1</v>
      </c>
      <c r="I354" s="82">
        <f t="shared" ca="1" si="32"/>
        <v>191</v>
      </c>
      <c r="J354" s="83">
        <f t="shared" ca="1" si="30"/>
        <v>0.57357357357357353</v>
      </c>
      <c r="N354" s="60">
        <v>333</v>
      </c>
      <c r="O354" s="82">
        <f ca="1">IF(AND(N354&lt;=U$22,RAND()&lt;=$H$7),1,0)</f>
        <v>1</v>
      </c>
      <c r="P354" s="82">
        <f t="shared" ca="1" si="33"/>
        <v>1</v>
      </c>
      <c r="Q354" s="84">
        <f t="shared" ca="1" si="34"/>
        <v>1</v>
      </c>
      <c r="R354" s="82">
        <f t="shared" ca="1" si="31"/>
        <v>4</v>
      </c>
      <c r="S354" s="82">
        <f ca="1">SUM(R$22:$R354)</f>
        <v>943.59999999999945</v>
      </c>
      <c r="W354" s="60">
        <v>333</v>
      </c>
      <c r="X354" s="82">
        <f ca="1"/>
        <v>2790.400000000006</v>
      </c>
    </row>
    <row r="355" spans="7:24" x14ac:dyDescent="0.2">
      <c r="G355" s="60">
        <v>334</v>
      </c>
      <c r="H355" s="82">
        <f ca="1"/>
        <v>0</v>
      </c>
      <c r="I355" s="82">
        <f t="shared" ca="1" si="32"/>
        <v>191</v>
      </c>
      <c r="J355" s="83">
        <f t="shared" ca="1" si="30"/>
        <v>0.57185628742514971</v>
      </c>
      <c r="N355" s="60">
        <v>334</v>
      </c>
      <c r="O355" s="82">
        <f ca="1">IF(AND(N355&lt;=U$22,RAND()&lt;=$H$7),1,0)</f>
        <v>0</v>
      </c>
      <c r="P355" s="82">
        <f t="shared" ca="1" si="33"/>
        <v>0</v>
      </c>
      <c r="Q355" s="84">
        <f t="shared" ca="1" si="34"/>
        <v>1</v>
      </c>
      <c r="R355" s="82">
        <f t="shared" ca="1" si="31"/>
        <v>0</v>
      </c>
      <c r="S355" s="82">
        <f ca="1">SUM(R$22:$R355)</f>
        <v>943.59999999999945</v>
      </c>
      <c r="W355" s="60">
        <v>334</v>
      </c>
      <c r="X355" s="82">
        <f ca="1"/>
        <v>2688.8000000000061</v>
      </c>
    </row>
    <row r="356" spans="7:24" x14ac:dyDescent="0.2">
      <c r="G356" s="60">
        <v>335</v>
      </c>
      <c r="H356" s="82">
        <f ca="1"/>
        <v>1</v>
      </c>
      <c r="I356" s="82">
        <f t="shared" ca="1" si="32"/>
        <v>192</v>
      </c>
      <c r="J356" s="83">
        <f t="shared" ca="1" si="30"/>
        <v>0.57313432835820899</v>
      </c>
      <c r="N356" s="60">
        <v>335</v>
      </c>
      <c r="O356" s="82">
        <f ca="1">IF(AND(N356&lt;=U$22,RAND()&lt;=$H$7),1,0)</f>
        <v>1</v>
      </c>
      <c r="P356" s="82">
        <f t="shared" ca="1" si="33"/>
        <v>0</v>
      </c>
      <c r="Q356" s="84">
        <f t="shared" ca="1" si="34"/>
        <v>1</v>
      </c>
      <c r="R356" s="82">
        <f t="shared" ca="1" si="31"/>
        <v>4</v>
      </c>
      <c r="S356" s="82">
        <f ca="1">SUM(R$22:$R356)</f>
        <v>947.59999999999945</v>
      </c>
      <c r="W356" s="60">
        <v>335</v>
      </c>
      <c r="X356" s="82">
        <f ca="1"/>
        <v>2879.2000000000071</v>
      </c>
    </row>
    <row r="357" spans="7:24" x14ac:dyDescent="0.2">
      <c r="G357" s="60">
        <v>336</v>
      </c>
      <c r="H357" s="82">
        <f ca="1"/>
        <v>0</v>
      </c>
      <c r="I357" s="82">
        <f t="shared" ca="1" si="32"/>
        <v>192</v>
      </c>
      <c r="J357" s="83">
        <f t="shared" ca="1" si="30"/>
        <v>0.5714285714285714</v>
      </c>
      <c r="N357" s="60">
        <v>336</v>
      </c>
      <c r="O357" s="82">
        <f ca="1">IF(AND(N357&lt;=U$22,RAND()&lt;=$H$7),1,0)</f>
        <v>0</v>
      </c>
      <c r="P357" s="82">
        <f t="shared" ca="1" si="33"/>
        <v>0</v>
      </c>
      <c r="Q357" s="84">
        <f t="shared" ca="1" si="34"/>
        <v>1</v>
      </c>
      <c r="R357" s="82">
        <f t="shared" ca="1" si="31"/>
        <v>0</v>
      </c>
      <c r="S357" s="82">
        <f ca="1">SUM(R$22:$R357)</f>
        <v>947.59999999999945</v>
      </c>
      <c r="W357" s="60">
        <v>336</v>
      </c>
      <c r="X357" s="82">
        <f ca="1"/>
        <v>2650.8000000000065</v>
      </c>
    </row>
    <row r="358" spans="7:24" x14ac:dyDescent="0.2">
      <c r="G358" s="60">
        <v>337</v>
      </c>
      <c r="H358" s="82">
        <f ca="1"/>
        <v>1</v>
      </c>
      <c r="I358" s="82">
        <f t="shared" ca="1" si="32"/>
        <v>193</v>
      </c>
      <c r="J358" s="83">
        <f t="shared" ca="1" si="30"/>
        <v>0.57270029673590506</v>
      </c>
      <c r="N358" s="60">
        <v>337</v>
      </c>
      <c r="O358" s="82">
        <f ca="1">IF(AND(N358&lt;=U$22,RAND()&lt;=$H$7),1,0)</f>
        <v>1</v>
      </c>
      <c r="P358" s="82">
        <f t="shared" ca="1" si="33"/>
        <v>0</v>
      </c>
      <c r="Q358" s="84">
        <f t="shared" ca="1" si="34"/>
        <v>1</v>
      </c>
      <c r="R358" s="82">
        <f t="shared" ca="1" si="31"/>
        <v>4</v>
      </c>
      <c r="S358" s="82">
        <f ca="1">SUM(R$22:$R358)</f>
        <v>951.59999999999945</v>
      </c>
      <c r="W358" s="60">
        <v>337</v>
      </c>
      <c r="X358" s="82">
        <f ca="1"/>
        <v>2816.4000000000074</v>
      </c>
    </row>
    <row r="359" spans="7:24" x14ac:dyDescent="0.2">
      <c r="G359" s="60">
        <v>338</v>
      </c>
      <c r="H359" s="82">
        <f ca="1"/>
        <v>1</v>
      </c>
      <c r="I359" s="82">
        <f t="shared" ca="1" si="32"/>
        <v>194</v>
      </c>
      <c r="J359" s="83">
        <f t="shared" ca="1" si="30"/>
        <v>0.57396449704142016</v>
      </c>
      <c r="N359" s="60">
        <v>338</v>
      </c>
      <c r="O359" s="82">
        <f ca="1">IF(AND(N359&lt;=U$22,RAND()&lt;=$H$7),1,0)</f>
        <v>0</v>
      </c>
      <c r="P359" s="82">
        <f t="shared" ca="1" si="33"/>
        <v>0</v>
      </c>
      <c r="Q359" s="84">
        <f t="shared" ca="1" si="34"/>
        <v>1</v>
      </c>
      <c r="R359" s="82">
        <f t="shared" ca="1" si="31"/>
        <v>0</v>
      </c>
      <c r="S359" s="82">
        <f ca="1">SUM(R$22:$R359)</f>
        <v>951.59999999999945</v>
      </c>
      <c r="W359" s="60">
        <v>338</v>
      </c>
      <c r="X359" s="82">
        <f ca="1"/>
        <v>2701.2000000000066</v>
      </c>
    </row>
    <row r="360" spans="7:24" x14ac:dyDescent="0.2">
      <c r="G360" s="60">
        <v>339</v>
      </c>
      <c r="H360" s="82">
        <f ca="1"/>
        <v>1</v>
      </c>
      <c r="I360" s="82">
        <f t="shared" ca="1" si="32"/>
        <v>195</v>
      </c>
      <c r="J360" s="83">
        <f t="shared" ca="1" si="30"/>
        <v>0.5752212389380531</v>
      </c>
      <c r="N360" s="60">
        <v>339</v>
      </c>
      <c r="O360" s="82">
        <f ca="1">IF(AND(N360&lt;=U$22,RAND()&lt;=$H$7),1,0)</f>
        <v>1</v>
      </c>
      <c r="P360" s="82">
        <f t="shared" ca="1" si="33"/>
        <v>0</v>
      </c>
      <c r="Q360" s="84">
        <f t="shared" ca="1" si="34"/>
        <v>1</v>
      </c>
      <c r="R360" s="82">
        <f t="shared" ca="1" si="31"/>
        <v>4</v>
      </c>
      <c r="S360" s="82">
        <f ca="1">SUM(R$22:$R360)</f>
        <v>955.59999999999945</v>
      </c>
      <c r="W360" s="60">
        <v>339</v>
      </c>
      <c r="X360" s="82">
        <f ca="1"/>
        <v>2747.2000000000062</v>
      </c>
    </row>
    <row r="361" spans="7:24" x14ac:dyDescent="0.2">
      <c r="G361" s="60">
        <v>340</v>
      </c>
      <c r="H361" s="82">
        <f ca="1"/>
        <v>1</v>
      </c>
      <c r="I361" s="82">
        <f t="shared" ca="1" si="32"/>
        <v>196</v>
      </c>
      <c r="J361" s="83">
        <f t="shared" ca="1" si="30"/>
        <v>0.57647058823529407</v>
      </c>
      <c r="N361" s="60">
        <v>340</v>
      </c>
      <c r="O361" s="82">
        <f ca="1">IF(AND(N361&lt;=U$22,RAND()&lt;=$H$7),1,0)</f>
        <v>1</v>
      </c>
      <c r="P361" s="82">
        <f t="shared" ca="1" si="33"/>
        <v>1</v>
      </c>
      <c r="Q361" s="84">
        <f t="shared" ca="1" si="34"/>
        <v>1</v>
      </c>
      <c r="R361" s="82">
        <f t="shared" ca="1" si="31"/>
        <v>4</v>
      </c>
      <c r="S361" s="82">
        <f ca="1">SUM(R$22:$R361)</f>
        <v>959.59999999999945</v>
      </c>
      <c r="W361" s="60">
        <v>340</v>
      </c>
      <c r="X361" s="82">
        <f ca="1"/>
        <v>2813.6000000000076</v>
      </c>
    </row>
    <row r="362" spans="7:24" x14ac:dyDescent="0.2">
      <c r="G362" s="60">
        <v>341</v>
      </c>
      <c r="H362" s="82">
        <f ca="1"/>
        <v>0</v>
      </c>
      <c r="I362" s="82">
        <f t="shared" ca="1" si="32"/>
        <v>196</v>
      </c>
      <c r="J362" s="83">
        <f t="shared" ca="1" si="30"/>
        <v>0.57478005865102644</v>
      </c>
      <c r="N362" s="60">
        <v>341</v>
      </c>
      <c r="O362" s="82">
        <f ca="1">IF(AND(N362&lt;=U$22,RAND()&lt;=$H$7),1,0)</f>
        <v>0</v>
      </c>
      <c r="P362" s="82">
        <f t="shared" ca="1" si="33"/>
        <v>0</v>
      </c>
      <c r="Q362" s="84">
        <f t="shared" ca="1" si="34"/>
        <v>1</v>
      </c>
      <c r="R362" s="82">
        <f t="shared" ca="1" si="31"/>
        <v>0</v>
      </c>
      <c r="S362" s="82">
        <f ca="1">SUM(R$22:$R362)</f>
        <v>959.59999999999945</v>
      </c>
      <c r="W362" s="60">
        <v>341</v>
      </c>
      <c r="X362" s="82">
        <f ca="1"/>
        <v>2795.2000000000089</v>
      </c>
    </row>
    <row r="363" spans="7:24" x14ac:dyDescent="0.2">
      <c r="G363" s="60">
        <v>342</v>
      </c>
      <c r="H363" s="82">
        <f ca="1"/>
        <v>1</v>
      </c>
      <c r="I363" s="82">
        <f t="shared" ca="1" si="32"/>
        <v>197</v>
      </c>
      <c r="J363" s="83">
        <f t="shared" ca="1" si="30"/>
        <v>0.57602339181286555</v>
      </c>
      <c r="N363" s="60">
        <v>342</v>
      </c>
      <c r="O363" s="82">
        <f ca="1">IF(AND(N363&lt;=U$22,RAND()&lt;=$H$7),1,0)</f>
        <v>0</v>
      </c>
      <c r="P363" s="82">
        <f t="shared" ca="1" si="33"/>
        <v>0</v>
      </c>
      <c r="Q363" s="84">
        <f t="shared" ca="1" si="34"/>
        <v>1</v>
      </c>
      <c r="R363" s="82">
        <f t="shared" ca="1" si="31"/>
        <v>0</v>
      </c>
      <c r="S363" s="82">
        <f ca="1">SUM(R$22:$R363)</f>
        <v>959.59999999999945</v>
      </c>
      <c r="W363" s="60">
        <v>342</v>
      </c>
      <c r="X363" s="82">
        <f ca="1"/>
        <v>2718.8000000000065</v>
      </c>
    </row>
    <row r="364" spans="7:24" x14ac:dyDescent="0.2">
      <c r="G364" s="60">
        <v>343</v>
      </c>
      <c r="H364" s="82">
        <f ca="1"/>
        <v>1</v>
      </c>
      <c r="I364" s="82">
        <f t="shared" ca="1" si="32"/>
        <v>198</v>
      </c>
      <c r="J364" s="83">
        <f t="shared" ca="1" si="30"/>
        <v>0.57725947521865895</v>
      </c>
      <c r="N364" s="60">
        <v>343</v>
      </c>
      <c r="O364" s="82">
        <f ca="1">IF(AND(N364&lt;=U$22,RAND()&lt;=$H$7),1,0)</f>
        <v>0</v>
      </c>
      <c r="P364" s="82">
        <f t="shared" ca="1" si="33"/>
        <v>0</v>
      </c>
      <c r="Q364" s="84">
        <f t="shared" ca="1" si="34"/>
        <v>1</v>
      </c>
      <c r="R364" s="82">
        <f t="shared" ca="1" si="31"/>
        <v>0</v>
      </c>
      <c r="S364" s="82">
        <f ca="1">SUM(R$22:$R364)</f>
        <v>959.59999999999945</v>
      </c>
      <c r="W364" s="60">
        <v>343</v>
      </c>
      <c r="X364" s="82">
        <f ca="1"/>
        <v>2830.8000000000052</v>
      </c>
    </row>
    <row r="365" spans="7:24" x14ac:dyDescent="0.2">
      <c r="G365" s="60">
        <v>344</v>
      </c>
      <c r="H365" s="82">
        <f ca="1"/>
        <v>0</v>
      </c>
      <c r="I365" s="82">
        <f t="shared" ca="1" si="32"/>
        <v>198</v>
      </c>
      <c r="J365" s="83">
        <f t="shared" ca="1" si="30"/>
        <v>0.57558139534883723</v>
      </c>
      <c r="N365" s="60">
        <v>344</v>
      </c>
      <c r="O365" s="82">
        <f ca="1">IF(AND(N365&lt;=U$22,RAND()&lt;=$H$7),1,0)</f>
        <v>1</v>
      </c>
      <c r="P365" s="82">
        <f t="shared" ca="1" si="33"/>
        <v>0</v>
      </c>
      <c r="Q365" s="84">
        <f t="shared" ca="1" si="34"/>
        <v>1</v>
      </c>
      <c r="R365" s="82">
        <f t="shared" ca="1" si="31"/>
        <v>4</v>
      </c>
      <c r="S365" s="82">
        <f ca="1">SUM(R$22:$R365)</f>
        <v>963.59999999999945</v>
      </c>
      <c r="W365" s="60">
        <v>344</v>
      </c>
      <c r="X365" s="82">
        <f ca="1"/>
        <v>2746.8000000000075</v>
      </c>
    </row>
    <row r="366" spans="7:24" x14ac:dyDescent="0.2">
      <c r="G366" s="60">
        <v>345</v>
      </c>
      <c r="H366" s="82">
        <f ca="1"/>
        <v>1</v>
      </c>
      <c r="I366" s="82">
        <f t="shared" ca="1" si="32"/>
        <v>199</v>
      </c>
      <c r="J366" s="83">
        <f t="shared" ca="1" si="30"/>
        <v>0.57681159420289851</v>
      </c>
      <c r="N366" s="60">
        <v>345</v>
      </c>
      <c r="O366" s="82">
        <f ca="1">IF(AND(N366&lt;=U$22,RAND()&lt;=$H$7),1,0)</f>
        <v>1</v>
      </c>
      <c r="P366" s="82">
        <f t="shared" ca="1" si="33"/>
        <v>1</v>
      </c>
      <c r="Q366" s="84">
        <f t="shared" ca="1" si="34"/>
        <v>1</v>
      </c>
      <c r="R366" s="82">
        <f t="shared" ca="1" si="31"/>
        <v>4</v>
      </c>
      <c r="S366" s="82">
        <f ca="1">SUM(R$22:$R366)</f>
        <v>967.59999999999945</v>
      </c>
      <c r="W366" s="60">
        <v>345</v>
      </c>
      <c r="X366" s="82">
        <f ca="1"/>
        <v>2818.0000000000064</v>
      </c>
    </row>
    <row r="367" spans="7:24" x14ac:dyDescent="0.2">
      <c r="G367" s="60">
        <v>346</v>
      </c>
      <c r="H367" s="82">
        <f ca="1"/>
        <v>0</v>
      </c>
      <c r="I367" s="82">
        <f t="shared" ca="1" si="32"/>
        <v>199</v>
      </c>
      <c r="J367" s="83">
        <f t="shared" ca="1" si="30"/>
        <v>0.57514450867052025</v>
      </c>
      <c r="N367" s="60">
        <v>346</v>
      </c>
      <c r="O367" s="82">
        <f ca="1">IF(AND(N367&lt;=U$22,RAND()&lt;=$H$7),1,0)</f>
        <v>1</v>
      </c>
      <c r="P367" s="82">
        <f t="shared" ca="1" si="33"/>
        <v>2</v>
      </c>
      <c r="Q367" s="84">
        <f t="shared" ca="1" si="34"/>
        <v>1.1000000000000001</v>
      </c>
      <c r="R367" s="82">
        <f t="shared" ca="1" si="31"/>
        <v>4.4000000000000004</v>
      </c>
      <c r="S367" s="82">
        <f ca="1">SUM(R$22:$R367)</f>
        <v>971.99999999999943</v>
      </c>
      <c r="W367" s="60">
        <v>346</v>
      </c>
      <c r="X367" s="82">
        <f ca="1"/>
        <v>2801.2000000000071</v>
      </c>
    </row>
    <row r="368" spans="7:24" x14ac:dyDescent="0.2">
      <c r="G368" s="60">
        <v>347</v>
      </c>
      <c r="H368" s="82">
        <f ca="1"/>
        <v>1</v>
      </c>
      <c r="I368" s="82">
        <f t="shared" ca="1" si="32"/>
        <v>200</v>
      </c>
      <c r="J368" s="83">
        <f t="shared" ca="1" si="30"/>
        <v>0.57636887608069165</v>
      </c>
      <c r="N368" s="60">
        <v>347</v>
      </c>
      <c r="O368" s="82">
        <f ca="1">IF(AND(N368&lt;=U$22,RAND()&lt;=$H$7),1,0)</f>
        <v>0</v>
      </c>
      <c r="P368" s="82">
        <f t="shared" ca="1" si="33"/>
        <v>0</v>
      </c>
      <c r="Q368" s="84">
        <f t="shared" ca="1" si="34"/>
        <v>1</v>
      </c>
      <c r="R368" s="82">
        <f t="shared" ca="1" si="31"/>
        <v>0</v>
      </c>
      <c r="S368" s="82">
        <f ca="1">SUM(R$22:$R368)</f>
        <v>971.99999999999943</v>
      </c>
      <c r="W368" s="60">
        <v>347</v>
      </c>
      <c r="X368" s="82">
        <f ca="1"/>
        <v>2857.6000000000076</v>
      </c>
    </row>
    <row r="369" spans="7:24" x14ac:dyDescent="0.2">
      <c r="G369" s="60">
        <v>348</v>
      </c>
      <c r="H369" s="82">
        <f ca="1"/>
        <v>1</v>
      </c>
      <c r="I369" s="82">
        <f t="shared" ca="1" si="32"/>
        <v>201</v>
      </c>
      <c r="J369" s="83">
        <f t="shared" ca="1" si="30"/>
        <v>0.57758620689655171</v>
      </c>
      <c r="N369" s="60">
        <v>348</v>
      </c>
      <c r="O369" s="82">
        <f ca="1">IF(AND(N369&lt;=U$22,RAND()&lt;=$H$7),1,0)</f>
        <v>1</v>
      </c>
      <c r="P369" s="82">
        <f t="shared" ca="1" si="33"/>
        <v>0</v>
      </c>
      <c r="Q369" s="84">
        <f t="shared" ca="1" si="34"/>
        <v>1</v>
      </c>
      <c r="R369" s="82">
        <f t="shared" ca="1" si="31"/>
        <v>4</v>
      </c>
      <c r="S369" s="82">
        <f ca="1">SUM(R$22:$R369)</f>
        <v>975.99999999999943</v>
      </c>
      <c r="W369" s="60">
        <v>348</v>
      </c>
      <c r="X369" s="82">
        <f ca="1"/>
        <v>2723.6000000000085</v>
      </c>
    </row>
    <row r="370" spans="7:24" x14ac:dyDescent="0.2">
      <c r="G370" s="60">
        <v>349</v>
      </c>
      <c r="H370" s="82">
        <f ca="1"/>
        <v>1</v>
      </c>
      <c r="I370" s="82">
        <f t="shared" ca="1" si="32"/>
        <v>202</v>
      </c>
      <c r="J370" s="83">
        <f t="shared" ca="1" si="30"/>
        <v>0.57879656160458448</v>
      </c>
      <c r="N370" s="60">
        <v>349</v>
      </c>
      <c r="O370" s="82">
        <f ca="1">IF(AND(N370&lt;=U$22,RAND()&lt;=$H$7),1,0)</f>
        <v>0</v>
      </c>
      <c r="P370" s="82">
        <f t="shared" ca="1" si="33"/>
        <v>0</v>
      </c>
      <c r="Q370" s="84">
        <f t="shared" ca="1" si="34"/>
        <v>1</v>
      </c>
      <c r="R370" s="82">
        <f t="shared" ca="1" si="31"/>
        <v>0</v>
      </c>
      <c r="S370" s="82">
        <f ca="1">SUM(R$22:$R370)</f>
        <v>975.99999999999943</v>
      </c>
      <c r="W370" s="60">
        <v>349</v>
      </c>
      <c r="X370" s="82">
        <f ca="1"/>
        <v>2756.4000000000074</v>
      </c>
    </row>
    <row r="371" spans="7:24" x14ac:dyDescent="0.2">
      <c r="G371" s="60">
        <v>350</v>
      </c>
      <c r="H371" s="82">
        <f ca="1"/>
        <v>1</v>
      </c>
      <c r="I371" s="82">
        <f t="shared" ca="1" si="32"/>
        <v>203</v>
      </c>
      <c r="J371" s="83">
        <f t="shared" ca="1" si="30"/>
        <v>0.57999999999999996</v>
      </c>
      <c r="N371" s="60">
        <v>350</v>
      </c>
      <c r="O371" s="82">
        <f ca="1">IF(AND(N371&lt;=U$22,RAND()&lt;=$H$7),1,0)</f>
        <v>1</v>
      </c>
      <c r="P371" s="82">
        <f t="shared" ca="1" si="33"/>
        <v>0</v>
      </c>
      <c r="Q371" s="84">
        <f t="shared" ca="1" si="34"/>
        <v>1</v>
      </c>
      <c r="R371" s="82">
        <f t="shared" ca="1" si="31"/>
        <v>4</v>
      </c>
      <c r="S371" s="82">
        <f ca="1">SUM(R$22:$R371)</f>
        <v>979.99999999999943</v>
      </c>
      <c r="W371" s="60">
        <v>350</v>
      </c>
      <c r="X371" s="82">
        <f ca="1"/>
        <v>2635.2000000000062</v>
      </c>
    </row>
    <row r="372" spans="7:24" x14ac:dyDescent="0.2">
      <c r="G372" s="60">
        <v>351</v>
      </c>
      <c r="H372" s="82">
        <f ca="1"/>
        <v>0</v>
      </c>
      <c r="I372" s="82">
        <f t="shared" ca="1" si="32"/>
        <v>203</v>
      </c>
      <c r="J372" s="83">
        <f t="shared" ca="1" si="30"/>
        <v>0.57834757834757833</v>
      </c>
      <c r="N372" s="60">
        <v>351</v>
      </c>
      <c r="O372" s="82">
        <f ca="1">IF(AND(N372&lt;=U$22,RAND()&lt;=$H$7),1,0)</f>
        <v>0</v>
      </c>
      <c r="P372" s="82">
        <f t="shared" ca="1" si="33"/>
        <v>0</v>
      </c>
      <c r="Q372" s="84">
        <f t="shared" ca="1" si="34"/>
        <v>1</v>
      </c>
      <c r="R372" s="82">
        <f t="shared" ca="1" si="31"/>
        <v>0</v>
      </c>
      <c r="S372" s="82">
        <f ca="1">SUM(R$22:$R372)</f>
        <v>979.99999999999943</v>
      </c>
      <c r="W372" s="60">
        <v>351</v>
      </c>
      <c r="X372" s="82">
        <f ca="1"/>
        <v>2706.000000000005</v>
      </c>
    </row>
    <row r="373" spans="7:24" x14ac:dyDescent="0.2">
      <c r="G373" s="60">
        <v>352</v>
      </c>
      <c r="H373" s="82">
        <f ca="1"/>
        <v>0</v>
      </c>
      <c r="I373" s="82">
        <f t="shared" ca="1" si="32"/>
        <v>203</v>
      </c>
      <c r="J373" s="83">
        <f t="shared" ca="1" si="30"/>
        <v>0.57670454545454541</v>
      </c>
      <c r="N373" s="60">
        <v>352</v>
      </c>
      <c r="O373" s="82">
        <f ca="1">IF(AND(N373&lt;=U$22,RAND()&lt;=$H$7),1,0)</f>
        <v>1</v>
      </c>
      <c r="P373" s="82">
        <f t="shared" ca="1" si="33"/>
        <v>0</v>
      </c>
      <c r="Q373" s="84">
        <f t="shared" ca="1" si="34"/>
        <v>1</v>
      </c>
      <c r="R373" s="82">
        <f t="shared" ca="1" si="31"/>
        <v>4</v>
      </c>
      <c r="S373" s="82">
        <f ca="1">SUM(R$22:$R373)</f>
        <v>983.99999999999943</v>
      </c>
      <c r="W373" s="60">
        <v>352</v>
      </c>
      <c r="X373" s="82">
        <f ca="1"/>
        <v>2558.4000000000069</v>
      </c>
    </row>
    <row r="374" spans="7:24" x14ac:dyDescent="0.2">
      <c r="G374" s="60">
        <v>353</v>
      </c>
      <c r="H374" s="82">
        <f ca="1"/>
        <v>1</v>
      </c>
      <c r="I374" s="82">
        <f t="shared" ca="1" si="32"/>
        <v>204</v>
      </c>
      <c r="J374" s="83">
        <f t="shared" ca="1" si="30"/>
        <v>0.57790368271954673</v>
      </c>
      <c r="N374" s="60">
        <v>353</v>
      </c>
      <c r="O374" s="82">
        <f ca="1">IF(AND(N374&lt;=U$22,RAND()&lt;=$H$7),1,0)</f>
        <v>1</v>
      </c>
      <c r="P374" s="82">
        <f t="shared" ca="1" si="33"/>
        <v>1</v>
      </c>
      <c r="Q374" s="84">
        <f t="shared" ca="1" si="34"/>
        <v>1</v>
      </c>
      <c r="R374" s="82">
        <f t="shared" ca="1" si="31"/>
        <v>4</v>
      </c>
      <c r="S374" s="82">
        <f ca="1">SUM(R$22:$R374)</f>
        <v>987.99999999999943</v>
      </c>
      <c r="W374" s="60">
        <v>353</v>
      </c>
      <c r="X374" s="82">
        <f ca="1"/>
        <v>2686.4000000000074</v>
      </c>
    </row>
    <row r="375" spans="7:24" x14ac:dyDescent="0.2">
      <c r="G375" s="60">
        <v>354</v>
      </c>
      <c r="H375" s="82">
        <f ca="1"/>
        <v>0</v>
      </c>
      <c r="I375" s="82">
        <f t="shared" ca="1" si="32"/>
        <v>204</v>
      </c>
      <c r="J375" s="83">
        <f t="shared" ca="1" si="30"/>
        <v>0.57627118644067798</v>
      </c>
      <c r="N375" s="60">
        <v>354</v>
      </c>
      <c r="O375" s="82">
        <f ca="1">IF(AND(N375&lt;=U$22,RAND()&lt;=$H$7),1,0)</f>
        <v>0</v>
      </c>
      <c r="P375" s="82">
        <f t="shared" ca="1" si="33"/>
        <v>0</v>
      </c>
      <c r="Q375" s="84">
        <f t="shared" ca="1" si="34"/>
        <v>1</v>
      </c>
      <c r="R375" s="82">
        <f t="shared" ca="1" si="31"/>
        <v>0</v>
      </c>
      <c r="S375" s="82">
        <f ca="1">SUM(R$22:$R375)</f>
        <v>987.99999999999943</v>
      </c>
      <c r="W375" s="60">
        <v>354</v>
      </c>
      <c r="X375" s="82">
        <f ca="1"/>
        <v>2748.0000000000077</v>
      </c>
    </row>
    <row r="376" spans="7:24" x14ac:dyDescent="0.2">
      <c r="G376" s="60">
        <v>355</v>
      </c>
      <c r="H376" s="82">
        <f ca="1"/>
        <v>1</v>
      </c>
      <c r="I376" s="82">
        <f t="shared" ca="1" si="32"/>
        <v>205</v>
      </c>
      <c r="J376" s="83">
        <f t="shared" ca="1" si="30"/>
        <v>0.57746478873239437</v>
      </c>
      <c r="N376" s="60">
        <v>355</v>
      </c>
      <c r="O376" s="82">
        <f ca="1">IF(AND(N376&lt;=U$22,RAND()&lt;=$H$7),1,0)</f>
        <v>0</v>
      </c>
      <c r="P376" s="82">
        <f t="shared" ca="1" si="33"/>
        <v>0</v>
      </c>
      <c r="Q376" s="84">
        <f t="shared" ca="1" si="34"/>
        <v>1</v>
      </c>
      <c r="R376" s="82">
        <f t="shared" ca="1" si="31"/>
        <v>0</v>
      </c>
      <c r="S376" s="82">
        <f ca="1">SUM(R$22:$R376)</f>
        <v>987.99999999999943</v>
      </c>
      <c r="W376" s="60">
        <v>355</v>
      </c>
      <c r="X376" s="82">
        <f ca="1"/>
        <v>2681.6000000000076</v>
      </c>
    </row>
    <row r="377" spans="7:24" x14ac:dyDescent="0.2">
      <c r="G377" s="60">
        <v>356</v>
      </c>
      <c r="H377" s="82">
        <f ca="1"/>
        <v>1</v>
      </c>
      <c r="I377" s="82">
        <f t="shared" ca="1" si="32"/>
        <v>206</v>
      </c>
      <c r="J377" s="83">
        <f t="shared" ca="1" si="30"/>
        <v>0.5786516853932584</v>
      </c>
      <c r="N377" s="60">
        <v>356</v>
      </c>
      <c r="O377" s="82">
        <f ca="1">IF(AND(N377&lt;=U$22,RAND()&lt;=$H$7),1,0)</f>
        <v>1</v>
      </c>
      <c r="P377" s="82">
        <f t="shared" ca="1" si="33"/>
        <v>0</v>
      </c>
      <c r="Q377" s="84">
        <f t="shared" ca="1" si="34"/>
        <v>1</v>
      </c>
      <c r="R377" s="82">
        <f t="shared" ca="1" si="31"/>
        <v>4</v>
      </c>
      <c r="S377" s="82">
        <f ca="1">SUM(R$22:$R377)</f>
        <v>991.99999999999943</v>
      </c>
      <c r="W377" s="60">
        <v>356</v>
      </c>
      <c r="X377" s="82">
        <f ca="1"/>
        <v>2786.8000000000084</v>
      </c>
    </row>
    <row r="378" spans="7:24" x14ac:dyDescent="0.2">
      <c r="G378" s="60">
        <v>357</v>
      </c>
      <c r="H378" s="82">
        <f ca="1"/>
        <v>1</v>
      </c>
      <c r="I378" s="82">
        <f t="shared" ca="1" si="32"/>
        <v>207</v>
      </c>
      <c r="J378" s="83">
        <f t="shared" ca="1" si="30"/>
        <v>0.57983193277310929</v>
      </c>
      <c r="N378" s="60">
        <v>357</v>
      </c>
      <c r="O378" s="82">
        <f ca="1">IF(AND(N378&lt;=U$22,RAND()&lt;=$H$7),1,0)</f>
        <v>1</v>
      </c>
      <c r="P378" s="82">
        <f t="shared" ca="1" si="33"/>
        <v>1</v>
      </c>
      <c r="Q378" s="84">
        <f t="shared" ca="1" si="34"/>
        <v>1</v>
      </c>
      <c r="R378" s="82">
        <f t="shared" ca="1" si="31"/>
        <v>4</v>
      </c>
      <c r="S378" s="82">
        <f ca="1">SUM(R$22:$R378)</f>
        <v>995.99999999999943</v>
      </c>
      <c r="W378" s="60">
        <v>357</v>
      </c>
      <c r="X378" s="82">
        <f ca="1"/>
        <v>2814.0000000000082</v>
      </c>
    </row>
    <row r="379" spans="7:24" x14ac:dyDescent="0.2">
      <c r="G379" s="60">
        <v>358</v>
      </c>
      <c r="H379" s="82">
        <f ca="1"/>
        <v>1</v>
      </c>
      <c r="I379" s="82">
        <f t="shared" ca="1" si="32"/>
        <v>208</v>
      </c>
      <c r="J379" s="83">
        <f t="shared" ca="1" si="30"/>
        <v>0.58100558659217882</v>
      </c>
      <c r="N379" s="60">
        <v>358</v>
      </c>
      <c r="O379" s="82">
        <f ca="1">IF(AND(N379&lt;=U$22,RAND()&lt;=$H$7),1,0)</f>
        <v>1</v>
      </c>
      <c r="P379" s="82">
        <f t="shared" ca="1" si="33"/>
        <v>2</v>
      </c>
      <c r="Q379" s="84">
        <f t="shared" ca="1" si="34"/>
        <v>1.1000000000000001</v>
      </c>
      <c r="R379" s="82">
        <f t="shared" ca="1" si="31"/>
        <v>4.4000000000000004</v>
      </c>
      <c r="S379" s="82">
        <f ca="1">SUM(R$22:$R379)</f>
        <v>1000.3999999999994</v>
      </c>
      <c r="W379" s="60">
        <v>358</v>
      </c>
      <c r="X379" s="82">
        <f ca="1"/>
        <v>2790.8000000000079</v>
      </c>
    </row>
    <row r="380" spans="7:24" x14ac:dyDescent="0.2">
      <c r="G380" s="60">
        <v>359</v>
      </c>
      <c r="H380" s="82">
        <f ca="1"/>
        <v>1</v>
      </c>
      <c r="I380" s="82">
        <f t="shared" ca="1" si="32"/>
        <v>209</v>
      </c>
      <c r="J380" s="83">
        <f t="shared" ca="1" si="30"/>
        <v>0.5821727019498607</v>
      </c>
      <c r="N380" s="60">
        <v>359</v>
      </c>
      <c r="O380" s="82">
        <f ca="1">IF(AND(N380&lt;=U$22,RAND()&lt;=$H$7),1,0)</f>
        <v>0</v>
      </c>
      <c r="P380" s="82">
        <f t="shared" ca="1" si="33"/>
        <v>0</v>
      </c>
      <c r="Q380" s="84">
        <f t="shared" ca="1" si="34"/>
        <v>1</v>
      </c>
      <c r="R380" s="82">
        <f t="shared" ca="1" si="31"/>
        <v>0</v>
      </c>
      <c r="S380" s="82">
        <f ca="1">SUM(R$22:$R380)</f>
        <v>1000.3999999999994</v>
      </c>
      <c r="W380" s="60">
        <v>359</v>
      </c>
      <c r="X380" s="82">
        <f ca="1"/>
        <v>2737.2000000000066</v>
      </c>
    </row>
    <row r="381" spans="7:24" x14ac:dyDescent="0.2">
      <c r="G381" s="60">
        <v>360</v>
      </c>
      <c r="H381" s="82">
        <f ca="1"/>
        <v>1</v>
      </c>
      <c r="I381" s="82">
        <f t="shared" ca="1" si="32"/>
        <v>210</v>
      </c>
      <c r="J381" s="83">
        <f t="shared" ca="1" si="30"/>
        <v>0.58333333333333337</v>
      </c>
      <c r="N381" s="60">
        <v>360</v>
      </c>
      <c r="O381" s="82">
        <f ca="1">IF(AND(N381&lt;=U$22,RAND()&lt;=$H$7),1,0)</f>
        <v>0</v>
      </c>
      <c r="P381" s="82">
        <f t="shared" ca="1" si="33"/>
        <v>0</v>
      </c>
      <c r="Q381" s="84">
        <f t="shared" ca="1" si="34"/>
        <v>1</v>
      </c>
      <c r="R381" s="82">
        <f t="shared" ca="1" si="31"/>
        <v>0</v>
      </c>
      <c r="S381" s="82">
        <f ca="1">SUM(R$22:$R381)</f>
        <v>1000.3999999999994</v>
      </c>
      <c r="W381" s="60">
        <v>360</v>
      </c>
      <c r="X381" s="82">
        <f ca="1"/>
        <v>2830.4000000000069</v>
      </c>
    </row>
    <row r="382" spans="7:24" x14ac:dyDescent="0.2">
      <c r="G382" s="60">
        <v>361</v>
      </c>
      <c r="H382" s="82">
        <f ca="1"/>
        <v>1</v>
      </c>
      <c r="I382" s="82">
        <f t="shared" ca="1" si="32"/>
        <v>211</v>
      </c>
      <c r="J382" s="83">
        <f t="shared" ca="1" si="30"/>
        <v>0.58448753462603875</v>
      </c>
      <c r="N382" s="60">
        <v>361</v>
      </c>
      <c r="O382" s="82">
        <f ca="1">IF(AND(N382&lt;=U$22,RAND()&lt;=$H$7),1,0)</f>
        <v>0</v>
      </c>
      <c r="P382" s="82">
        <f t="shared" ca="1" si="33"/>
        <v>0</v>
      </c>
      <c r="Q382" s="84">
        <f t="shared" ca="1" si="34"/>
        <v>1</v>
      </c>
      <c r="R382" s="82">
        <f t="shared" ca="1" si="31"/>
        <v>0</v>
      </c>
      <c r="S382" s="82">
        <f ca="1">SUM(R$22:$R382)</f>
        <v>1000.3999999999994</v>
      </c>
      <c r="W382" s="60">
        <v>361</v>
      </c>
      <c r="X382" s="82">
        <f ca="1"/>
        <v>2732.4000000000069</v>
      </c>
    </row>
    <row r="383" spans="7:24" x14ac:dyDescent="0.2">
      <c r="G383" s="60">
        <v>362</v>
      </c>
      <c r="H383" s="82">
        <f ca="1"/>
        <v>1</v>
      </c>
      <c r="I383" s="82">
        <f t="shared" ca="1" si="32"/>
        <v>212</v>
      </c>
      <c r="J383" s="83">
        <f t="shared" ca="1" si="30"/>
        <v>0.58563535911602205</v>
      </c>
      <c r="N383" s="60">
        <v>362</v>
      </c>
      <c r="O383" s="82">
        <f ca="1">IF(AND(N383&lt;=U$22,RAND()&lt;=$H$7),1,0)</f>
        <v>0</v>
      </c>
      <c r="P383" s="82">
        <f t="shared" ca="1" si="33"/>
        <v>0</v>
      </c>
      <c r="Q383" s="84">
        <f t="shared" ca="1" si="34"/>
        <v>1</v>
      </c>
      <c r="R383" s="82">
        <f t="shared" ca="1" si="31"/>
        <v>0</v>
      </c>
      <c r="S383" s="82">
        <f ca="1">SUM(R$22:$R383)</f>
        <v>1000.3999999999994</v>
      </c>
      <c r="W383" s="60">
        <v>362</v>
      </c>
      <c r="X383" s="82">
        <f ca="1"/>
        <v>2672.4000000000065</v>
      </c>
    </row>
    <row r="384" spans="7:24" x14ac:dyDescent="0.2">
      <c r="G384" s="60">
        <v>363</v>
      </c>
      <c r="H384" s="82">
        <f ca="1"/>
        <v>1</v>
      </c>
      <c r="I384" s="82">
        <f t="shared" ca="1" si="32"/>
        <v>213</v>
      </c>
      <c r="J384" s="83">
        <f t="shared" ca="1" si="30"/>
        <v>0.58677685950413228</v>
      </c>
      <c r="N384" s="60">
        <v>363</v>
      </c>
      <c r="O384" s="82">
        <f ca="1">IF(AND(N384&lt;=U$22,RAND()&lt;=$H$7),1,0)</f>
        <v>1</v>
      </c>
      <c r="P384" s="82">
        <f t="shared" ca="1" si="33"/>
        <v>0</v>
      </c>
      <c r="Q384" s="84">
        <f t="shared" ca="1" si="34"/>
        <v>1</v>
      </c>
      <c r="R384" s="82">
        <f t="shared" ca="1" si="31"/>
        <v>4</v>
      </c>
      <c r="S384" s="82">
        <f ca="1">SUM(R$22:$R384)</f>
        <v>1004.3999999999994</v>
      </c>
      <c r="W384" s="60">
        <v>363</v>
      </c>
      <c r="X384" s="82">
        <f ca="1"/>
        <v>2601.6000000000058</v>
      </c>
    </row>
    <row r="385" spans="7:24" x14ac:dyDescent="0.2">
      <c r="G385" s="60">
        <v>364</v>
      </c>
      <c r="H385" s="82">
        <f ca="1"/>
        <v>0</v>
      </c>
      <c r="I385" s="82">
        <f t="shared" ca="1" si="32"/>
        <v>213</v>
      </c>
      <c r="J385" s="83">
        <f t="shared" ca="1" si="30"/>
        <v>0.5851648351648352</v>
      </c>
      <c r="N385" s="60">
        <v>364</v>
      </c>
      <c r="O385" s="82">
        <f ca="1">IF(AND(N385&lt;=U$22,RAND()&lt;=$H$7),1,0)</f>
        <v>0</v>
      </c>
      <c r="P385" s="82">
        <f t="shared" ca="1" si="33"/>
        <v>0</v>
      </c>
      <c r="Q385" s="84">
        <f t="shared" ca="1" si="34"/>
        <v>1</v>
      </c>
      <c r="R385" s="82">
        <f t="shared" ca="1" si="31"/>
        <v>0</v>
      </c>
      <c r="S385" s="82">
        <f ca="1">SUM(R$22:$R385)</f>
        <v>1004.3999999999994</v>
      </c>
      <c r="W385" s="60">
        <v>364</v>
      </c>
      <c r="X385" s="82">
        <f ca="1"/>
        <v>2554.4000000000055</v>
      </c>
    </row>
    <row r="386" spans="7:24" x14ac:dyDescent="0.2">
      <c r="G386" s="60">
        <v>365</v>
      </c>
      <c r="H386" s="82">
        <f ca="1"/>
        <v>0</v>
      </c>
      <c r="I386" s="82">
        <f t="shared" ca="1" si="32"/>
        <v>213</v>
      </c>
      <c r="J386" s="83">
        <f t="shared" ca="1" si="30"/>
        <v>0.58356164383561648</v>
      </c>
      <c r="N386" s="60">
        <v>365</v>
      </c>
      <c r="O386" s="82">
        <f ca="1">IF(AND(N386&lt;=U$22,RAND()&lt;=$H$7),1,0)</f>
        <v>1</v>
      </c>
      <c r="P386" s="82">
        <f t="shared" ca="1" si="33"/>
        <v>0</v>
      </c>
      <c r="Q386" s="84">
        <f t="shared" ca="1" si="34"/>
        <v>1</v>
      </c>
      <c r="R386" s="82">
        <f t="shared" ca="1" si="31"/>
        <v>4</v>
      </c>
      <c r="S386" s="82">
        <f ca="1">SUM(R$22:$R386)</f>
        <v>1008.3999999999994</v>
      </c>
      <c r="W386" s="60">
        <v>365</v>
      </c>
      <c r="X386" s="82">
        <f ca="1"/>
        <v>3027.2000000000075</v>
      </c>
    </row>
    <row r="387" spans="7:24" x14ac:dyDescent="0.2">
      <c r="G387" s="60">
        <v>366</v>
      </c>
      <c r="H387" s="82">
        <f ca="1"/>
        <v>1</v>
      </c>
      <c r="I387" s="82">
        <f t="shared" ca="1" si="32"/>
        <v>214</v>
      </c>
      <c r="J387" s="83">
        <f t="shared" ca="1" si="30"/>
        <v>0.58469945355191255</v>
      </c>
      <c r="N387" s="60">
        <v>366</v>
      </c>
      <c r="O387" s="82">
        <f ca="1">IF(AND(N387&lt;=U$22,RAND()&lt;=$H$7),1,0)</f>
        <v>0</v>
      </c>
      <c r="P387" s="82">
        <f t="shared" ca="1" si="33"/>
        <v>0</v>
      </c>
      <c r="Q387" s="84">
        <f t="shared" ca="1" si="34"/>
        <v>1</v>
      </c>
      <c r="R387" s="82">
        <f t="shared" ca="1" si="31"/>
        <v>0</v>
      </c>
      <c r="S387" s="82">
        <f ca="1">SUM(R$22:$R387)</f>
        <v>1008.3999999999994</v>
      </c>
      <c r="W387" s="60">
        <v>366</v>
      </c>
      <c r="X387" s="82">
        <f ca="1"/>
        <v>2778.400000000006</v>
      </c>
    </row>
    <row r="388" spans="7:24" x14ac:dyDescent="0.2">
      <c r="G388" s="60">
        <v>367</v>
      </c>
      <c r="H388" s="82">
        <f ca="1"/>
        <v>0</v>
      </c>
      <c r="I388" s="82">
        <f t="shared" ca="1" si="32"/>
        <v>214</v>
      </c>
      <c r="J388" s="83">
        <f t="shared" ca="1" si="30"/>
        <v>0.5831062670299727</v>
      </c>
      <c r="N388" s="60">
        <v>367</v>
      </c>
      <c r="O388" s="82">
        <f ca="1">IF(AND(N388&lt;=U$22,RAND()&lt;=$H$7),1,0)</f>
        <v>0</v>
      </c>
      <c r="P388" s="82">
        <f t="shared" ca="1" si="33"/>
        <v>0</v>
      </c>
      <c r="Q388" s="84">
        <f t="shared" ca="1" si="34"/>
        <v>1</v>
      </c>
      <c r="R388" s="82">
        <f t="shared" ca="1" si="31"/>
        <v>0</v>
      </c>
      <c r="S388" s="82">
        <f ca="1">SUM(R$22:$R388)</f>
        <v>1008.3999999999994</v>
      </c>
      <c r="W388" s="60">
        <v>367</v>
      </c>
      <c r="X388" s="82">
        <f ca="1"/>
        <v>2850.8000000000084</v>
      </c>
    </row>
    <row r="389" spans="7:24" x14ac:dyDescent="0.2">
      <c r="G389" s="60">
        <v>368</v>
      </c>
      <c r="H389" s="82">
        <f ca="1"/>
        <v>0</v>
      </c>
      <c r="I389" s="82">
        <f t="shared" ca="1" si="32"/>
        <v>214</v>
      </c>
      <c r="J389" s="83">
        <f t="shared" ca="1" si="30"/>
        <v>0.58152173913043481</v>
      </c>
      <c r="N389" s="60">
        <v>368</v>
      </c>
      <c r="O389" s="82">
        <f ca="1">IF(AND(N389&lt;=U$22,RAND()&lt;=$H$7),1,0)</f>
        <v>0</v>
      </c>
      <c r="P389" s="82">
        <f t="shared" ca="1" si="33"/>
        <v>0</v>
      </c>
      <c r="Q389" s="84">
        <f t="shared" ca="1" si="34"/>
        <v>1</v>
      </c>
      <c r="R389" s="82">
        <f t="shared" ca="1" si="31"/>
        <v>0</v>
      </c>
      <c r="S389" s="82">
        <f ca="1">SUM(R$22:$R389)</f>
        <v>1008.3999999999994</v>
      </c>
      <c r="W389" s="60">
        <v>368</v>
      </c>
      <c r="X389" s="82">
        <f ca="1"/>
        <v>2820.0000000000068</v>
      </c>
    </row>
    <row r="390" spans="7:24" x14ac:dyDescent="0.2">
      <c r="G390" s="60">
        <v>369</v>
      </c>
      <c r="H390" s="82">
        <f ca="1"/>
        <v>1</v>
      </c>
      <c r="I390" s="82">
        <f t="shared" ca="1" si="32"/>
        <v>215</v>
      </c>
      <c r="J390" s="83">
        <f t="shared" ca="1" si="30"/>
        <v>0.58265582655826553</v>
      </c>
      <c r="N390" s="60">
        <v>369</v>
      </c>
      <c r="O390" s="82">
        <f ca="1">IF(AND(N390&lt;=U$22,RAND()&lt;=$H$7),1,0)</f>
        <v>1</v>
      </c>
      <c r="P390" s="82">
        <f t="shared" ca="1" si="33"/>
        <v>0</v>
      </c>
      <c r="Q390" s="84">
        <f t="shared" ca="1" si="34"/>
        <v>1</v>
      </c>
      <c r="R390" s="82">
        <f t="shared" ca="1" si="31"/>
        <v>4</v>
      </c>
      <c r="S390" s="82">
        <f ca="1">SUM(R$22:$R390)</f>
        <v>1012.3999999999994</v>
      </c>
      <c r="W390" s="60">
        <v>369</v>
      </c>
      <c r="X390" s="82">
        <f ca="1"/>
        <v>2620.4000000000083</v>
      </c>
    </row>
    <row r="391" spans="7:24" x14ac:dyDescent="0.2">
      <c r="G391" s="60">
        <v>370</v>
      </c>
      <c r="H391" s="82">
        <f ca="1"/>
        <v>1</v>
      </c>
      <c r="I391" s="82">
        <f t="shared" ca="1" si="32"/>
        <v>216</v>
      </c>
      <c r="J391" s="83">
        <f t="shared" ca="1" si="30"/>
        <v>0.58378378378378382</v>
      </c>
      <c r="N391" s="60">
        <v>370</v>
      </c>
      <c r="O391" s="82">
        <f ca="1">IF(AND(N391&lt;=U$22,RAND()&lt;=$H$7),1,0)</f>
        <v>0</v>
      </c>
      <c r="P391" s="82">
        <f t="shared" ca="1" si="33"/>
        <v>0</v>
      </c>
      <c r="Q391" s="84">
        <f t="shared" ca="1" si="34"/>
        <v>1</v>
      </c>
      <c r="R391" s="82">
        <f t="shared" ca="1" si="31"/>
        <v>0</v>
      </c>
      <c r="S391" s="82">
        <f ca="1">SUM(R$22:$R391)</f>
        <v>1012.3999999999994</v>
      </c>
      <c r="W391" s="60">
        <v>370</v>
      </c>
      <c r="X391" s="82">
        <f ca="1"/>
        <v>2698.0000000000073</v>
      </c>
    </row>
    <row r="392" spans="7:24" x14ac:dyDescent="0.2">
      <c r="G392" s="60">
        <v>371</v>
      </c>
      <c r="H392" s="82">
        <f ca="1"/>
        <v>1</v>
      </c>
      <c r="I392" s="82">
        <f t="shared" ca="1" si="32"/>
        <v>217</v>
      </c>
      <c r="J392" s="83">
        <f t="shared" ca="1" si="30"/>
        <v>0.58490566037735847</v>
      </c>
      <c r="N392" s="60">
        <v>371</v>
      </c>
      <c r="O392" s="82">
        <f ca="1">IF(AND(N392&lt;=U$22,RAND()&lt;=$H$7),1,0)</f>
        <v>1</v>
      </c>
      <c r="P392" s="82">
        <f t="shared" ca="1" si="33"/>
        <v>0</v>
      </c>
      <c r="Q392" s="84">
        <f t="shared" ca="1" si="34"/>
        <v>1</v>
      </c>
      <c r="R392" s="82">
        <f t="shared" ca="1" si="31"/>
        <v>4</v>
      </c>
      <c r="S392" s="82">
        <f ca="1">SUM(R$22:$R392)</f>
        <v>1016.3999999999994</v>
      </c>
      <c r="W392" s="60">
        <v>371</v>
      </c>
      <c r="X392" s="82">
        <f ca="1"/>
        <v>2693.6000000000076</v>
      </c>
    </row>
    <row r="393" spans="7:24" x14ac:dyDescent="0.2">
      <c r="G393" s="60">
        <v>372</v>
      </c>
      <c r="H393" s="82">
        <f ca="1"/>
        <v>1</v>
      </c>
      <c r="I393" s="82">
        <f t="shared" ca="1" si="32"/>
        <v>218</v>
      </c>
      <c r="J393" s="83">
        <f t="shared" ca="1" si="30"/>
        <v>0.58602150537634412</v>
      </c>
      <c r="N393" s="60">
        <v>372</v>
      </c>
      <c r="O393" s="82">
        <f ca="1">IF(AND(N393&lt;=U$22,RAND()&lt;=$H$7),1,0)</f>
        <v>0</v>
      </c>
      <c r="P393" s="82">
        <f t="shared" ca="1" si="33"/>
        <v>0</v>
      </c>
      <c r="Q393" s="84">
        <f t="shared" ca="1" si="34"/>
        <v>1</v>
      </c>
      <c r="R393" s="82">
        <f t="shared" ca="1" si="31"/>
        <v>0</v>
      </c>
      <c r="S393" s="82">
        <f ca="1">SUM(R$22:$R393)</f>
        <v>1016.3999999999994</v>
      </c>
      <c r="W393" s="60">
        <v>372</v>
      </c>
      <c r="X393" s="82">
        <f ca="1"/>
        <v>2731.2000000000066</v>
      </c>
    </row>
    <row r="394" spans="7:24" x14ac:dyDescent="0.2">
      <c r="G394" s="60">
        <v>373</v>
      </c>
      <c r="H394" s="82">
        <f ca="1"/>
        <v>0</v>
      </c>
      <c r="I394" s="82">
        <f t="shared" ca="1" si="32"/>
        <v>218</v>
      </c>
      <c r="J394" s="83">
        <f t="shared" ca="1" si="30"/>
        <v>0.58445040214477206</v>
      </c>
      <c r="N394" s="60">
        <v>373</v>
      </c>
      <c r="O394" s="82">
        <f ca="1">IF(AND(N394&lt;=U$22,RAND()&lt;=$H$7),1,0)</f>
        <v>1</v>
      </c>
      <c r="P394" s="82">
        <f t="shared" ca="1" si="33"/>
        <v>0</v>
      </c>
      <c r="Q394" s="84">
        <f t="shared" ca="1" si="34"/>
        <v>1</v>
      </c>
      <c r="R394" s="82">
        <f t="shared" ca="1" si="31"/>
        <v>4</v>
      </c>
      <c r="S394" s="82">
        <f ca="1">SUM(R$22:$R394)</f>
        <v>1020.3999999999994</v>
      </c>
      <c r="W394" s="60">
        <v>373</v>
      </c>
      <c r="X394" s="82">
        <f ca="1"/>
        <v>2883.6000000000072</v>
      </c>
    </row>
    <row r="395" spans="7:24" x14ac:dyDescent="0.2">
      <c r="G395" s="60">
        <v>374</v>
      </c>
      <c r="H395" s="82">
        <f ca="1"/>
        <v>1</v>
      </c>
      <c r="I395" s="82">
        <f t="shared" ca="1" si="32"/>
        <v>219</v>
      </c>
      <c r="J395" s="83">
        <f t="shared" ca="1" si="30"/>
        <v>0.58556149732620322</v>
      </c>
      <c r="N395" s="60">
        <v>374</v>
      </c>
      <c r="O395" s="82">
        <f ca="1">IF(AND(N395&lt;=U$22,RAND()&lt;=$H$7),1,0)</f>
        <v>1</v>
      </c>
      <c r="P395" s="82">
        <f t="shared" ca="1" si="33"/>
        <v>1</v>
      </c>
      <c r="Q395" s="84">
        <f t="shared" ca="1" si="34"/>
        <v>1</v>
      </c>
      <c r="R395" s="82">
        <f t="shared" ca="1" si="31"/>
        <v>4</v>
      </c>
      <c r="S395" s="82">
        <f ca="1">SUM(R$22:$R395)</f>
        <v>1024.3999999999994</v>
      </c>
      <c r="W395" s="60">
        <v>374</v>
      </c>
      <c r="X395" s="82">
        <f ca="1"/>
        <v>2724.4000000000074</v>
      </c>
    </row>
    <row r="396" spans="7:24" x14ac:dyDescent="0.2">
      <c r="G396" s="60">
        <v>375</v>
      </c>
      <c r="H396" s="82">
        <f ca="1"/>
        <v>1</v>
      </c>
      <c r="I396" s="82">
        <f t="shared" ca="1" si="32"/>
        <v>220</v>
      </c>
      <c r="J396" s="83">
        <f t="shared" ca="1" si="30"/>
        <v>0.58666666666666667</v>
      </c>
      <c r="N396" s="60">
        <v>375</v>
      </c>
      <c r="O396" s="82">
        <f ca="1">IF(AND(N396&lt;=U$22,RAND()&lt;=$H$7),1,0)</f>
        <v>0</v>
      </c>
      <c r="P396" s="82">
        <f t="shared" ca="1" si="33"/>
        <v>0</v>
      </c>
      <c r="Q396" s="84">
        <f t="shared" ca="1" si="34"/>
        <v>1</v>
      </c>
      <c r="R396" s="82">
        <f t="shared" ca="1" si="31"/>
        <v>0</v>
      </c>
      <c r="S396" s="82">
        <f ca="1">SUM(R$22:$R396)</f>
        <v>1024.3999999999994</v>
      </c>
      <c r="W396" s="60">
        <v>375</v>
      </c>
      <c r="X396" s="82">
        <f ca="1"/>
        <v>2913.6000000000081</v>
      </c>
    </row>
    <row r="397" spans="7:24" x14ac:dyDescent="0.2">
      <c r="G397" s="60">
        <v>376</v>
      </c>
      <c r="H397" s="82">
        <f ca="1"/>
        <v>1</v>
      </c>
      <c r="I397" s="82">
        <f t="shared" ca="1" si="32"/>
        <v>221</v>
      </c>
      <c r="J397" s="83">
        <f t="shared" ca="1" si="30"/>
        <v>0.58776595744680848</v>
      </c>
      <c r="N397" s="60">
        <v>376</v>
      </c>
      <c r="O397" s="82">
        <f ca="1">IF(AND(N397&lt;=U$22,RAND()&lt;=$H$7),1,0)</f>
        <v>1</v>
      </c>
      <c r="P397" s="82">
        <f t="shared" ca="1" si="33"/>
        <v>0</v>
      </c>
      <c r="Q397" s="84">
        <f t="shared" ca="1" si="34"/>
        <v>1</v>
      </c>
      <c r="R397" s="82">
        <f t="shared" ca="1" si="31"/>
        <v>4</v>
      </c>
      <c r="S397" s="82">
        <f ca="1">SUM(R$22:$R397)</f>
        <v>1028.3999999999994</v>
      </c>
      <c r="W397" s="60">
        <v>376</v>
      </c>
      <c r="X397" s="82">
        <f ca="1"/>
        <v>2691.2000000000085</v>
      </c>
    </row>
    <row r="398" spans="7:24" x14ac:dyDescent="0.2">
      <c r="G398" s="60">
        <v>377</v>
      </c>
      <c r="H398" s="82">
        <f ca="1"/>
        <v>1</v>
      </c>
      <c r="I398" s="82">
        <f t="shared" ca="1" si="32"/>
        <v>222</v>
      </c>
      <c r="J398" s="83">
        <f t="shared" ca="1" si="30"/>
        <v>0.58885941644562334</v>
      </c>
      <c r="N398" s="60">
        <v>377</v>
      </c>
      <c r="O398" s="82">
        <f ca="1">IF(AND(N398&lt;=U$22,RAND()&lt;=$H$7),1,0)</f>
        <v>0</v>
      </c>
      <c r="P398" s="82">
        <f t="shared" ca="1" si="33"/>
        <v>0</v>
      </c>
      <c r="Q398" s="84">
        <f t="shared" ca="1" si="34"/>
        <v>1</v>
      </c>
      <c r="R398" s="82">
        <f t="shared" ca="1" si="31"/>
        <v>0</v>
      </c>
      <c r="S398" s="82">
        <f ca="1">SUM(R$22:$R398)</f>
        <v>1028.3999999999994</v>
      </c>
      <c r="W398" s="60">
        <v>377</v>
      </c>
      <c r="X398" s="82">
        <f ca="1"/>
        <v>2646.4000000000055</v>
      </c>
    </row>
    <row r="399" spans="7:24" x14ac:dyDescent="0.2">
      <c r="G399" s="60">
        <v>378</v>
      </c>
      <c r="H399" s="82">
        <f ca="1"/>
        <v>0</v>
      </c>
      <c r="I399" s="82">
        <f t="shared" ca="1" si="32"/>
        <v>222</v>
      </c>
      <c r="J399" s="83">
        <f t="shared" ca="1" si="30"/>
        <v>0.58730158730158732</v>
      </c>
      <c r="N399" s="60">
        <v>378</v>
      </c>
      <c r="O399" s="82">
        <f ca="1">IF(AND(N399&lt;=U$22,RAND()&lt;=$H$7),1,0)</f>
        <v>1</v>
      </c>
      <c r="P399" s="82">
        <f t="shared" ca="1" si="33"/>
        <v>0</v>
      </c>
      <c r="Q399" s="84">
        <f t="shared" ca="1" si="34"/>
        <v>1</v>
      </c>
      <c r="R399" s="82">
        <f t="shared" ca="1" si="31"/>
        <v>4</v>
      </c>
      <c r="S399" s="82">
        <f ca="1">SUM(R$22:$R399)</f>
        <v>1032.3999999999994</v>
      </c>
      <c r="W399" s="60">
        <v>378</v>
      </c>
      <c r="X399" s="82">
        <f ca="1"/>
        <v>2903.6000000000085</v>
      </c>
    </row>
    <row r="400" spans="7:24" x14ac:dyDescent="0.2">
      <c r="G400" s="60">
        <v>379</v>
      </c>
      <c r="H400" s="82">
        <f ca="1"/>
        <v>0</v>
      </c>
      <c r="I400" s="82">
        <f t="shared" ca="1" si="32"/>
        <v>222</v>
      </c>
      <c r="J400" s="83">
        <f t="shared" ca="1" si="30"/>
        <v>0.58575197889182062</v>
      </c>
      <c r="N400" s="60">
        <v>379</v>
      </c>
      <c r="O400" s="82">
        <f ca="1">IF(AND(N400&lt;=U$22,RAND()&lt;=$H$7),1,0)</f>
        <v>1</v>
      </c>
      <c r="P400" s="82">
        <f t="shared" ca="1" si="33"/>
        <v>1</v>
      </c>
      <c r="Q400" s="84">
        <f t="shared" ca="1" si="34"/>
        <v>1</v>
      </c>
      <c r="R400" s="82">
        <f t="shared" ca="1" si="31"/>
        <v>4</v>
      </c>
      <c r="S400" s="82">
        <f ca="1">SUM(R$22:$R400)</f>
        <v>1036.3999999999994</v>
      </c>
      <c r="W400" s="60">
        <v>379</v>
      </c>
      <c r="X400" s="82">
        <f ca="1"/>
        <v>2553.6000000000076</v>
      </c>
    </row>
    <row r="401" spans="7:24" x14ac:dyDescent="0.2">
      <c r="G401" s="60">
        <v>380</v>
      </c>
      <c r="H401" s="82">
        <f ca="1"/>
        <v>0</v>
      </c>
      <c r="I401" s="82">
        <f t="shared" ca="1" si="32"/>
        <v>222</v>
      </c>
      <c r="J401" s="83">
        <f t="shared" ca="1" si="30"/>
        <v>0.58421052631578951</v>
      </c>
      <c r="N401" s="60">
        <v>380</v>
      </c>
      <c r="O401" s="82">
        <f ca="1">IF(AND(N401&lt;=U$22,RAND()&lt;=$H$7),1,0)</f>
        <v>0</v>
      </c>
      <c r="P401" s="82">
        <f t="shared" ca="1" si="33"/>
        <v>0</v>
      </c>
      <c r="Q401" s="84">
        <f t="shared" ca="1" si="34"/>
        <v>1</v>
      </c>
      <c r="R401" s="82">
        <f t="shared" ca="1" si="31"/>
        <v>0</v>
      </c>
      <c r="S401" s="82">
        <f ca="1">SUM(R$22:$R401)</f>
        <v>1036.3999999999994</v>
      </c>
      <c r="W401" s="60">
        <v>380</v>
      </c>
      <c r="X401" s="82">
        <f ca="1"/>
        <v>2641.2000000000057</v>
      </c>
    </row>
    <row r="402" spans="7:24" x14ac:dyDescent="0.2">
      <c r="G402" s="60">
        <v>381</v>
      </c>
      <c r="H402" s="82">
        <f ca="1"/>
        <v>1</v>
      </c>
      <c r="I402" s="82">
        <f t="shared" ca="1" si="32"/>
        <v>223</v>
      </c>
      <c r="J402" s="83">
        <f t="shared" ca="1" si="30"/>
        <v>0.58530183727034124</v>
      </c>
      <c r="N402" s="60">
        <v>381</v>
      </c>
      <c r="O402" s="82">
        <f ca="1">IF(AND(N402&lt;=U$22,RAND()&lt;=$H$7),1,0)</f>
        <v>1</v>
      </c>
      <c r="P402" s="82">
        <f t="shared" ca="1" si="33"/>
        <v>0</v>
      </c>
      <c r="Q402" s="84">
        <f t="shared" ca="1" si="34"/>
        <v>1</v>
      </c>
      <c r="R402" s="82">
        <f t="shared" ca="1" si="31"/>
        <v>4</v>
      </c>
      <c r="S402" s="82">
        <f ca="1">SUM(R$22:$R402)</f>
        <v>1040.3999999999994</v>
      </c>
      <c r="W402" s="60">
        <v>381</v>
      </c>
      <c r="X402" s="82">
        <f ca="1"/>
        <v>2880.0000000000064</v>
      </c>
    </row>
    <row r="403" spans="7:24" x14ac:dyDescent="0.2">
      <c r="G403" s="60">
        <v>382</v>
      </c>
      <c r="H403" s="82">
        <f ca="1"/>
        <v>1</v>
      </c>
      <c r="I403" s="82">
        <f t="shared" ca="1" si="32"/>
        <v>224</v>
      </c>
      <c r="J403" s="83">
        <f t="shared" ca="1" si="30"/>
        <v>0.58638743455497377</v>
      </c>
      <c r="N403" s="60">
        <v>382</v>
      </c>
      <c r="O403" s="82">
        <f ca="1">IF(AND(N403&lt;=U$22,RAND()&lt;=$H$7),1,0)</f>
        <v>1</v>
      </c>
      <c r="P403" s="82">
        <f t="shared" ca="1" si="33"/>
        <v>1</v>
      </c>
      <c r="Q403" s="84">
        <f t="shared" ca="1" si="34"/>
        <v>1</v>
      </c>
      <c r="R403" s="82">
        <f t="shared" ca="1" si="31"/>
        <v>4</v>
      </c>
      <c r="S403" s="82">
        <f ca="1">SUM(R$22:$R403)</f>
        <v>1044.3999999999994</v>
      </c>
      <c r="W403" s="60">
        <v>382</v>
      </c>
      <c r="X403" s="82">
        <f ca="1"/>
        <v>2756.0000000000073</v>
      </c>
    </row>
    <row r="404" spans="7:24" x14ac:dyDescent="0.2">
      <c r="G404" s="60">
        <v>383</v>
      </c>
      <c r="H404" s="82">
        <f ca="1"/>
        <v>1</v>
      </c>
      <c r="I404" s="82">
        <f t="shared" ca="1" si="32"/>
        <v>225</v>
      </c>
      <c r="J404" s="83">
        <f t="shared" ca="1" si="30"/>
        <v>0.58746736292428203</v>
      </c>
      <c r="N404" s="60">
        <v>383</v>
      </c>
      <c r="O404" s="82">
        <f ca="1">IF(AND(N404&lt;=U$22,RAND()&lt;=$H$7),1,0)</f>
        <v>0</v>
      </c>
      <c r="P404" s="82">
        <f t="shared" ca="1" si="33"/>
        <v>0</v>
      </c>
      <c r="Q404" s="84">
        <f t="shared" ca="1" si="34"/>
        <v>1</v>
      </c>
      <c r="R404" s="82">
        <f t="shared" ca="1" si="31"/>
        <v>0</v>
      </c>
      <c r="S404" s="82">
        <f ca="1">SUM(R$22:$R404)</f>
        <v>1044.3999999999994</v>
      </c>
      <c r="W404" s="60">
        <v>383</v>
      </c>
      <c r="X404" s="82">
        <f ca="1"/>
        <v>2614.8000000000075</v>
      </c>
    </row>
    <row r="405" spans="7:24" x14ac:dyDescent="0.2">
      <c r="G405" s="60">
        <v>384</v>
      </c>
      <c r="H405" s="82">
        <f ca="1"/>
        <v>1</v>
      </c>
      <c r="I405" s="82">
        <f t="shared" ca="1" si="32"/>
        <v>226</v>
      </c>
      <c r="J405" s="83">
        <f t="shared" ca="1" si="30"/>
        <v>0.58854166666666663</v>
      </c>
      <c r="N405" s="60">
        <v>384</v>
      </c>
      <c r="O405" s="82">
        <f ca="1">IF(AND(N405&lt;=U$22,RAND()&lt;=$H$7),1,0)</f>
        <v>1</v>
      </c>
      <c r="P405" s="82">
        <f t="shared" ca="1" si="33"/>
        <v>0</v>
      </c>
      <c r="Q405" s="84">
        <f t="shared" ca="1" si="34"/>
        <v>1</v>
      </c>
      <c r="R405" s="82">
        <f t="shared" ca="1" si="31"/>
        <v>4</v>
      </c>
      <c r="S405" s="82">
        <f ca="1">SUM(R$22:$R405)</f>
        <v>1048.3999999999994</v>
      </c>
      <c r="W405" s="60">
        <v>384</v>
      </c>
      <c r="X405" s="82">
        <f ca="1"/>
        <v>2698.8000000000079</v>
      </c>
    </row>
    <row r="406" spans="7:24" x14ac:dyDescent="0.2">
      <c r="G406" s="60">
        <v>385</v>
      </c>
      <c r="H406" s="82">
        <f ca="1"/>
        <v>1</v>
      </c>
      <c r="I406" s="82">
        <f t="shared" ca="1" si="32"/>
        <v>227</v>
      </c>
      <c r="J406" s="83">
        <f t="shared" ca="1" si="30"/>
        <v>0.58961038961038958</v>
      </c>
      <c r="N406" s="60">
        <v>385</v>
      </c>
      <c r="O406" s="82">
        <f ca="1">IF(AND(N406&lt;=U$22,RAND()&lt;=$H$7),1,0)</f>
        <v>1</v>
      </c>
      <c r="P406" s="82">
        <f t="shared" ca="1" si="33"/>
        <v>1</v>
      </c>
      <c r="Q406" s="84">
        <f t="shared" ca="1" si="34"/>
        <v>1</v>
      </c>
      <c r="R406" s="82">
        <f t="shared" ca="1" si="31"/>
        <v>4</v>
      </c>
      <c r="S406" s="82">
        <f ca="1">SUM(R$22:$R406)</f>
        <v>1052.3999999999994</v>
      </c>
      <c r="W406" s="60">
        <v>385</v>
      </c>
      <c r="X406" s="82">
        <f ca="1"/>
        <v>2690.4000000000065</v>
      </c>
    </row>
    <row r="407" spans="7:24" x14ac:dyDescent="0.2">
      <c r="G407" s="60">
        <v>386</v>
      </c>
      <c r="H407" s="82">
        <f ca="1"/>
        <v>0</v>
      </c>
      <c r="I407" s="82">
        <f t="shared" ca="1" si="32"/>
        <v>227</v>
      </c>
      <c r="J407" s="83">
        <f t="shared" ref="J407:J470" ca="1" si="35">I407/G407</f>
        <v>0.58808290155440412</v>
      </c>
      <c r="N407" s="60">
        <v>386</v>
      </c>
      <c r="O407" s="82">
        <f ca="1">IF(AND(N407&lt;=U$22,RAND()&lt;=$H$7),1,0)</f>
        <v>1</v>
      </c>
      <c r="P407" s="82">
        <f t="shared" ca="1" si="33"/>
        <v>2</v>
      </c>
      <c r="Q407" s="84">
        <f t="shared" ca="1" si="34"/>
        <v>1.1000000000000001</v>
      </c>
      <c r="R407" s="82">
        <f t="shared" ref="R407:R470" ca="1" si="36">Q407*$I$7*O407</f>
        <v>4.4000000000000004</v>
      </c>
      <c r="S407" s="82">
        <f ca="1">SUM(R$22:$R407)</f>
        <v>1056.7999999999995</v>
      </c>
      <c r="W407" s="60">
        <v>386</v>
      </c>
      <c r="X407" s="82">
        <f ca="1"/>
        <v>2692.4000000000069</v>
      </c>
    </row>
    <row r="408" spans="7:24" x14ac:dyDescent="0.2">
      <c r="G408" s="60">
        <v>387</v>
      </c>
      <c r="H408" s="82">
        <f ca="1"/>
        <v>0</v>
      </c>
      <c r="I408" s="82">
        <f t="shared" ref="I408:I471" ca="1" si="37">H408+I407</f>
        <v>227</v>
      </c>
      <c r="J408" s="83">
        <f t="shared" ca="1" si="35"/>
        <v>0.58656330749354002</v>
      </c>
      <c r="N408" s="60">
        <v>387</v>
      </c>
      <c r="O408" s="82">
        <f ca="1">IF(AND(N408&lt;=U$22,RAND()&lt;=$H$7),1,0)</f>
        <v>0</v>
      </c>
      <c r="P408" s="82">
        <f t="shared" ref="P408:P471" ca="1" si="38">IF(AND(O407=1,O408=1),P407+1,0)</f>
        <v>0</v>
      </c>
      <c r="Q408" s="84">
        <f t="shared" ref="Q408:Q471" ca="1" si="39">IF(P408&gt;1,1+(P408-1)*0.1,1)</f>
        <v>1</v>
      </c>
      <c r="R408" s="82">
        <f t="shared" ca="1" si="36"/>
        <v>0</v>
      </c>
      <c r="S408" s="82">
        <f ca="1">SUM(R$22:$R408)</f>
        <v>1056.7999999999995</v>
      </c>
      <c r="W408" s="60">
        <v>387</v>
      </c>
      <c r="X408" s="82">
        <f ca="1"/>
        <v>2871.200000000008</v>
      </c>
    </row>
    <row r="409" spans="7:24" x14ac:dyDescent="0.2">
      <c r="G409" s="60">
        <v>388</v>
      </c>
      <c r="H409" s="82">
        <f ca="1"/>
        <v>0</v>
      </c>
      <c r="I409" s="82">
        <f t="shared" ca="1" si="37"/>
        <v>227</v>
      </c>
      <c r="J409" s="83">
        <f t="shared" ca="1" si="35"/>
        <v>0.58505154639175261</v>
      </c>
      <c r="N409" s="60">
        <v>388</v>
      </c>
      <c r="O409" s="82">
        <f ca="1">IF(AND(N409&lt;=U$22,RAND()&lt;=$H$7),1,0)</f>
        <v>1</v>
      </c>
      <c r="P409" s="82">
        <f t="shared" ca="1" si="38"/>
        <v>0</v>
      </c>
      <c r="Q409" s="84">
        <f t="shared" ca="1" si="39"/>
        <v>1</v>
      </c>
      <c r="R409" s="82">
        <f t="shared" ca="1" si="36"/>
        <v>4</v>
      </c>
      <c r="S409" s="82">
        <f ca="1">SUM(R$22:$R409)</f>
        <v>1060.7999999999995</v>
      </c>
      <c r="W409" s="60">
        <v>388</v>
      </c>
      <c r="X409" s="82">
        <f ca="1"/>
        <v>2683.6000000000067</v>
      </c>
    </row>
    <row r="410" spans="7:24" x14ac:dyDescent="0.2">
      <c r="G410" s="60">
        <v>389</v>
      </c>
      <c r="H410" s="82">
        <f ca="1"/>
        <v>0</v>
      </c>
      <c r="I410" s="82">
        <f t="shared" ca="1" si="37"/>
        <v>227</v>
      </c>
      <c r="J410" s="83">
        <f t="shared" ca="1" si="35"/>
        <v>0.58354755784061696</v>
      </c>
      <c r="N410" s="60">
        <v>389</v>
      </c>
      <c r="O410" s="82">
        <f ca="1">IF(AND(N410&lt;=U$22,RAND()&lt;=$H$7),1,0)</f>
        <v>0</v>
      </c>
      <c r="P410" s="82">
        <f t="shared" ca="1" si="38"/>
        <v>0</v>
      </c>
      <c r="Q410" s="84">
        <f t="shared" ca="1" si="39"/>
        <v>1</v>
      </c>
      <c r="R410" s="82">
        <f t="shared" ca="1" si="36"/>
        <v>0</v>
      </c>
      <c r="S410" s="82">
        <f ca="1">SUM(R$22:$R410)</f>
        <v>1060.7999999999995</v>
      </c>
      <c r="W410" s="60">
        <v>389</v>
      </c>
      <c r="X410" s="82">
        <f ca="1"/>
        <v>2734.4000000000074</v>
      </c>
    </row>
    <row r="411" spans="7:24" x14ac:dyDescent="0.2">
      <c r="G411" s="60">
        <v>390</v>
      </c>
      <c r="H411" s="82">
        <f ca="1"/>
        <v>0</v>
      </c>
      <c r="I411" s="82">
        <f t="shared" ca="1" si="37"/>
        <v>227</v>
      </c>
      <c r="J411" s="83">
        <f t="shared" ca="1" si="35"/>
        <v>0.58205128205128209</v>
      </c>
      <c r="N411" s="60">
        <v>390</v>
      </c>
      <c r="O411" s="82">
        <f ca="1">IF(AND(N411&lt;=U$22,RAND()&lt;=$H$7),1,0)</f>
        <v>0</v>
      </c>
      <c r="P411" s="82">
        <f t="shared" ca="1" si="38"/>
        <v>0</v>
      </c>
      <c r="Q411" s="84">
        <f t="shared" ca="1" si="39"/>
        <v>1</v>
      </c>
      <c r="R411" s="82">
        <f t="shared" ca="1" si="36"/>
        <v>0</v>
      </c>
      <c r="S411" s="82">
        <f ca="1">SUM(R$22:$R411)</f>
        <v>1060.7999999999995</v>
      </c>
      <c r="W411" s="60">
        <v>390</v>
      </c>
      <c r="X411" s="82">
        <f ca="1"/>
        <v>2792.8000000000079</v>
      </c>
    </row>
    <row r="412" spans="7:24" x14ac:dyDescent="0.2">
      <c r="G412" s="60">
        <v>391</v>
      </c>
      <c r="H412" s="82">
        <f ca="1"/>
        <v>1</v>
      </c>
      <c r="I412" s="82">
        <f t="shared" ca="1" si="37"/>
        <v>228</v>
      </c>
      <c r="J412" s="83">
        <f t="shared" ca="1" si="35"/>
        <v>0.58312020460358061</v>
      </c>
      <c r="N412" s="60">
        <v>391</v>
      </c>
      <c r="O412" s="82">
        <f ca="1">IF(AND(N412&lt;=U$22,RAND()&lt;=$H$7),1,0)</f>
        <v>1</v>
      </c>
      <c r="P412" s="82">
        <f t="shared" ca="1" si="38"/>
        <v>0</v>
      </c>
      <c r="Q412" s="84">
        <f t="shared" ca="1" si="39"/>
        <v>1</v>
      </c>
      <c r="R412" s="82">
        <f t="shared" ca="1" si="36"/>
        <v>4</v>
      </c>
      <c r="S412" s="82">
        <f ca="1">SUM(R$22:$R412)</f>
        <v>1064.7999999999995</v>
      </c>
      <c r="W412" s="60">
        <v>391</v>
      </c>
      <c r="X412" s="82">
        <f ca="1"/>
        <v>2663.6000000000063</v>
      </c>
    </row>
    <row r="413" spans="7:24" x14ac:dyDescent="0.2">
      <c r="G413" s="60">
        <v>392</v>
      </c>
      <c r="H413" s="82">
        <f ca="1"/>
        <v>1</v>
      </c>
      <c r="I413" s="82">
        <f t="shared" ca="1" si="37"/>
        <v>229</v>
      </c>
      <c r="J413" s="83">
        <f t="shared" ca="1" si="35"/>
        <v>0.58418367346938771</v>
      </c>
      <c r="N413" s="60">
        <v>392</v>
      </c>
      <c r="O413" s="82">
        <f ca="1">IF(AND(N413&lt;=U$22,RAND()&lt;=$H$7),1,0)</f>
        <v>1</v>
      </c>
      <c r="P413" s="82">
        <f t="shared" ca="1" si="38"/>
        <v>1</v>
      </c>
      <c r="Q413" s="84">
        <f t="shared" ca="1" si="39"/>
        <v>1</v>
      </c>
      <c r="R413" s="82">
        <f t="shared" ca="1" si="36"/>
        <v>4</v>
      </c>
      <c r="S413" s="82">
        <f ca="1">SUM(R$22:$R413)</f>
        <v>1068.7999999999995</v>
      </c>
      <c r="W413" s="60">
        <v>392</v>
      </c>
      <c r="X413" s="82">
        <f ca="1"/>
        <v>2766.8000000000079</v>
      </c>
    </row>
    <row r="414" spans="7:24" x14ac:dyDescent="0.2">
      <c r="G414" s="60">
        <v>393</v>
      </c>
      <c r="H414" s="82">
        <f ca="1"/>
        <v>1</v>
      </c>
      <c r="I414" s="82">
        <f t="shared" ca="1" si="37"/>
        <v>230</v>
      </c>
      <c r="J414" s="83">
        <f t="shared" ca="1" si="35"/>
        <v>0.58524173027989823</v>
      </c>
      <c r="N414" s="60">
        <v>393</v>
      </c>
      <c r="O414" s="82">
        <f ca="1">IF(AND(N414&lt;=U$22,RAND()&lt;=$H$7),1,0)</f>
        <v>1</v>
      </c>
      <c r="P414" s="82">
        <f t="shared" ca="1" si="38"/>
        <v>2</v>
      </c>
      <c r="Q414" s="84">
        <f t="shared" ca="1" si="39"/>
        <v>1.1000000000000001</v>
      </c>
      <c r="R414" s="82">
        <f t="shared" ca="1" si="36"/>
        <v>4.4000000000000004</v>
      </c>
      <c r="S414" s="82">
        <f ca="1">SUM(R$22:$R414)</f>
        <v>1073.1999999999996</v>
      </c>
      <c r="W414" s="60">
        <v>393</v>
      </c>
      <c r="X414" s="82">
        <f ca="1"/>
        <v>2763.2000000000071</v>
      </c>
    </row>
    <row r="415" spans="7:24" x14ac:dyDescent="0.2">
      <c r="G415" s="60">
        <v>394</v>
      </c>
      <c r="H415" s="82">
        <f ca="1"/>
        <v>1</v>
      </c>
      <c r="I415" s="82">
        <f t="shared" ca="1" si="37"/>
        <v>231</v>
      </c>
      <c r="J415" s="83">
        <f t="shared" ca="1" si="35"/>
        <v>0.58629441624365486</v>
      </c>
      <c r="N415" s="60">
        <v>394</v>
      </c>
      <c r="O415" s="82">
        <f ca="1">IF(AND(N415&lt;=U$22,RAND()&lt;=$H$7),1,0)</f>
        <v>1</v>
      </c>
      <c r="P415" s="82">
        <f t="shared" ca="1" si="38"/>
        <v>3</v>
      </c>
      <c r="Q415" s="84">
        <f t="shared" ca="1" si="39"/>
        <v>1.2</v>
      </c>
      <c r="R415" s="82">
        <f t="shared" ca="1" si="36"/>
        <v>4.8</v>
      </c>
      <c r="S415" s="82">
        <f ca="1">SUM(R$22:$R415)</f>
        <v>1077.9999999999995</v>
      </c>
      <c r="W415" s="60">
        <v>394</v>
      </c>
      <c r="X415" s="82">
        <f ca="1"/>
        <v>2734.4000000000074</v>
      </c>
    </row>
    <row r="416" spans="7:24" x14ac:dyDescent="0.2">
      <c r="G416" s="60">
        <v>395</v>
      </c>
      <c r="H416" s="82">
        <f ca="1"/>
        <v>1</v>
      </c>
      <c r="I416" s="82">
        <f t="shared" ca="1" si="37"/>
        <v>232</v>
      </c>
      <c r="J416" s="83">
        <f t="shared" ca="1" si="35"/>
        <v>0.58734177215189876</v>
      </c>
      <c r="N416" s="60">
        <v>395</v>
      </c>
      <c r="O416" s="82">
        <f ca="1">IF(AND(N416&lt;=U$22,RAND()&lt;=$H$7),1,0)</f>
        <v>0</v>
      </c>
      <c r="P416" s="82">
        <f t="shared" ca="1" si="38"/>
        <v>0</v>
      </c>
      <c r="Q416" s="84">
        <f t="shared" ca="1" si="39"/>
        <v>1</v>
      </c>
      <c r="R416" s="82">
        <f t="shared" ca="1" si="36"/>
        <v>0</v>
      </c>
      <c r="S416" s="82">
        <f ca="1">SUM(R$22:$R416)</f>
        <v>1077.9999999999995</v>
      </c>
      <c r="W416" s="60">
        <v>395</v>
      </c>
      <c r="X416" s="82">
        <f ca="1"/>
        <v>2776.0000000000059</v>
      </c>
    </row>
    <row r="417" spans="7:24" x14ac:dyDescent="0.2">
      <c r="G417" s="60">
        <v>396</v>
      </c>
      <c r="H417" s="82">
        <f ca="1"/>
        <v>1</v>
      </c>
      <c r="I417" s="82">
        <f t="shared" ca="1" si="37"/>
        <v>233</v>
      </c>
      <c r="J417" s="83">
        <f t="shared" ca="1" si="35"/>
        <v>0.58838383838383834</v>
      </c>
      <c r="N417" s="60">
        <v>396</v>
      </c>
      <c r="O417" s="82">
        <f ca="1">IF(AND(N417&lt;=U$22,RAND()&lt;=$H$7),1,0)</f>
        <v>1</v>
      </c>
      <c r="P417" s="82">
        <f t="shared" ca="1" si="38"/>
        <v>0</v>
      </c>
      <c r="Q417" s="84">
        <f t="shared" ca="1" si="39"/>
        <v>1</v>
      </c>
      <c r="R417" s="82">
        <f t="shared" ca="1" si="36"/>
        <v>4</v>
      </c>
      <c r="S417" s="82">
        <f ca="1">SUM(R$22:$R417)</f>
        <v>1081.9999999999995</v>
      </c>
      <c r="W417" s="60">
        <v>396</v>
      </c>
      <c r="X417" s="82">
        <f ca="1"/>
        <v>2763.2000000000075</v>
      </c>
    </row>
    <row r="418" spans="7:24" x14ac:dyDescent="0.2">
      <c r="G418" s="60">
        <v>397</v>
      </c>
      <c r="H418" s="82">
        <f ca="1"/>
        <v>1</v>
      </c>
      <c r="I418" s="82">
        <f t="shared" ca="1" si="37"/>
        <v>234</v>
      </c>
      <c r="J418" s="83">
        <f t="shared" ca="1" si="35"/>
        <v>0.58942065491183881</v>
      </c>
      <c r="N418" s="60">
        <v>397</v>
      </c>
      <c r="O418" s="82">
        <f ca="1">IF(AND(N418&lt;=U$22,RAND()&lt;=$H$7),1,0)</f>
        <v>1</v>
      </c>
      <c r="P418" s="82">
        <f t="shared" ca="1" si="38"/>
        <v>1</v>
      </c>
      <c r="Q418" s="84">
        <f t="shared" ca="1" si="39"/>
        <v>1</v>
      </c>
      <c r="R418" s="82">
        <f t="shared" ca="1" si="36"/>
        <v>4</v>
      </c>
      <c r="S418" s="82">
        <f ca="1">SUM(R$22:$R418)</f>
        <v>1085.9999999999995</v>
      </c>
      <c r="W418" s="60">
        <v>397</v>
      </c>
      <c r="X418" s="82">
        <f ca="1"/>
        <v>2908.8000000000061</v>
      </c>
    </row>
    <row r="419" spans="7:24" x14ac:dyDescent="0.2">
      <c r="G419" s="60">
        <v>398</v>
      </c>
      <c r="H419" s="82">
        <f ca="1"/>
        <v>0</v>
      </c>
      <c r="I419" s="82">
        <f t="shared" ca="1" si="37"/>
        <v>234</v>
      </c>
      <c r="J419" s="83">
        <f t="shared" ca="1" si="35"/>
        <v>0.5879396984924623</v>
      </c>
      <c r="N419" s="60">
        <v>398</v>
      </c>
      <c r="O419" s="82">
        <f ca="1">IF(AND(N419&lt;=U$22,RAND()&lt;=$H$7),1,0)</f>
        <v>1</v>
      </c>
      <c r="P419" s="82">
        <f t="shared" ca="1" si="38"/>
        <v>2</v>
      </c>
      <c r="Q419" s="84">
        <f t="shared" ca="1" si="39"/>
        <v>1.1000000000000001</v>
      </c>
      <c r="R419" s="82">
        <f t="shared" ca="1" si="36"/>
        <v>4.4000000000000004</v>
      </c>
      <c r="S419" s="82">
        <f ca="1">SUM(R$22:$R419)</f>
        <v>1090.3999999999996</v>
      </c>
      <c r="W419" s="60">
        <v>398</v>
      </c>
      <c r="X419" s="82">
        <f ca="1"/>
        <v>2806.0000000000041</v>
      </c>
    </row>
    <row r="420" spans="7:24" x14ac:dyDescent="0.2">
      <c r="G420" s="60">
        <v>399</v>
      </c>
      <c r="H420" s="82">
        <f ca="1"/>
        <v>1</v>
      </c>
      <c r="I420" s="82">
        <f t="shared" ca="1" si="37"/>
        <v>235</v>
      </c>
      <c r="J420" s="83">
        <f t="shared" ca="1" si="35"/>
        <v>0.58897243107769426</v>
      </c>
      <c r="N420" s="60">
        <v>399</v>
      </c>
      <c r="O420" s="82">
        <f ca="1">IF(AND(N420&lt;=U$22,RAND()&lt;=$H$7),1,0)</f>
        <v>1</v>
      </c>
      <c r="P420" s="82">
        <f t="shared" ca="1" si="38"/>
        <v>3</v>
      </c>
      <c r="Q420" s="84">
        <f t="shared" ca="1" si="39"/>
        <v>1.2</v>
      </c>
      <c r="R420" s="82">
        <f t="shared" ca="1" si="36"/>
        <v>4.8</v>
      </c>
      <c r="S420" s="82">
        <f ca="1">SUM(R$22:$R420)</f>
        <v>1095.1999999999996</v>
      </c>
      <c r="W420" s="60">
        <v>399</v>
      </c>
      <c r="X420" s="82">
        <f ca="1"/>
        <v>2739.2000000000062</v>
      </c>
    </row>
    <row r="421" spans="7:24" x14ac:dyDescent="0.2">
      <c r="G421" s="60">
        <v>400</v>
      </c>
      <c r="H421" s="82">
        <f ca="1"/>
        <v>1</v>
      </c>
      <c r="I421" s="82">
        <f t="shared" ca="1" si="37"/>
        <v>236</v>
      </c>
      <c r="J421" s="83">
        <f t="shared" ca="1" si="35"/>
        <v>0.59</v>
      </c>
      <c r="N421" s="60">
        <v>400</v>
      </c>
      <c r="O421" s="82">
        <f ca="1">IF(AND(N421&lt;=U$22,RAND()&lt;=$H$7),1,0)</f>
        <v>1</v>
      </c>
      <c r="P421" s="82">
        <f t="shared" ca="1" si="38"/>
        <v>4</v>
      </c>
      <c r="Q421" s="84">
        <f t="shared" ca="1" si="39"/>
        <v>1.3</v>
      </c>
      <c r="R421" s="82">
        <f t="shared" ca="1" si="36"/>
        <v>5.2</v>
      </c>
      <c r="S421" s="82">
        <f ca="1">SUM(R$22:$R421)</f>
        <v>1100.3999999999996</v>
      </c>
      <c r="W421" s="60">
        <v>400</v>
      </c>
      <c r="X421" s="82">
        <f ca="1"/>
        <v>2659.2000000000066</v>
      </c>
    </row>
    <row r="422" spans="7:24" x14ac:dyDescent="0.2">
      <c r="G422" s="60">
        <v>401</v>
      </c>
      <c r="H422" s="82">
        <f ca="1"/>
        <v>1</v>
      </c>
      <c r="I422" s="82">
        <f t="shared" ca="1" si="37"/>
        <v>237</v>
      </c>
      <c r="J422" s="83">
        <f t="shared" ca="1" si="35"/>
        <v>0.59102244389027436</v>
      </c>
      <c r="N422" s="60">
        <v>401</v>
      </c>
      <c r="O422" s="82">
        <f ca="1">IF(AND(N422&lt;=U$22,RAND()&lt;=$H$7),1,0)</f>
        <v>1</v>
      </c>
      <c r="P422" s="82">
        <f t="shared" ca="1" si="38"/>
        <v>5</v>
      </c>
      <c r="Q422" s="84">
        <f t="shared" ca="1" si="39"/>
        <v>1.4</v>
      </c>
      <c r="R422" s="82">
        <f t="shared" ca="1" si="36"/>
        <v>5.6</v>
      </c>
      <c r="S422" s="82">
        <f ca="1">SUM(R$22:$R422)</f>
        <v>1105.9999999999995</v>
      </c>
      <c r="W422" s="60">
        <v>401</v>
      </c>
      <c r="X422" s="82">
        <f ca="1"/>
        <v>2842.8000000000084</v>
      </c>
    </row>
    <row r="423" spans="7:24" x14ac:dyDescent="0.2">
      <c r="G423" s="60">
        <v>402</v>
      </c>
      <c r="H423" s="82">
        <f ca="1"/>
        <v>0</v>
      </c>
      <c r="I423" s="82">
        <f t="shared" ca="1" si="37"/>
        <v>237</v>
      </c>
      <c r="J423" s="83">
        <f t="shared" ca="1" si="35"/>
        <v>0.58955223880597019</v>
      </c>
      <c r="N423" s="60">
        <v>402</v>
      </c>
      <c r="O423" s="82">
        <f ca="1">IF(AND(N423&lt;=U$22,RAND()&lt;=$H$7),1,0)</f>
        <v>0</v>
      </c>
      <c r="P423" s="82">
        <f t="shared" ca="1" si="38"/>
        <v>0</v>
      </c>
      <c r="Q423" s="84">
        <f t="shared" ca="1" si="39"/>
        <v>1</v>
      </c>
      <c r="R423" s="82">
        <f t="shared" ca="1" si="36"/>
        <v>0</v>
      </c>
      <c r="S423" s="82">
        <f ca="1">SUM(R$22:$R423)</f>
        <v>1105.9999999999995</v>
      </c>
      <c r="W423" s="60">
        <v>402</v>
      </c>
      <c r="X423" s="82">
        <f ca="1"/>
        <v>2848.800000000007</v>
      </c>
    </row>
    <row r="424" spans="7:24" x14ac:dyDescent="0.2">
      <c r="G424" s="60">
        <v>403</v>
      </c>
      <c r="H424" s="82">
        <f ca="1"/>
        <v>1</v>
      </c>
      <c r="I424" s="82">
        <f t="shared" ca="1" si="37"/>
        <v>238</v>
      </c>
      <c r="J424" s="83">
        <f t="shared" ca="1" si="35"/>
        <v>0.59057071960297769</v>
      </c>
      <c r="N424" s="60">
        <v>403</v>
      </c>
      <c r="O424" s="82">
        <f ca="1">IF(AND(N424&lt;=U$22,RAND()&lt;=$H$7),1,0)</f>
        <v>1</v>
      </c>
      <c r="P424" s="82">
        <f t="shared" ca="1" si="38"/>
        <v>0</v>
      </c>
      <c r="Q424" s="84">
        <f t="shared" ca="1" si="39"/>
        <v>1</v>
      </c>
      <c r="R424" s="82">
        <f t="shared" ca="1" si="36"/>
        <v>4</v>
      </c>
      <c r="S424" s="82">
        <f ca="1">SUM(R$22:$R424)</f>
        <v>1109.9999999999995</v>
      </c>
      <c r="W424" s="60">
        <v>403</v>
      </c>
      <c r="X424" s="82">
        <f ca="1"/>
        <v>2761.6000000000076</v>
      </c>
    </row>
    <row r="425" spans="7:24" x14ac:dyDescent="0.2">
      <c r="G425" s="60">
        <v>404</v>
      </c>
      <c r="H425" s="82">
        <f ca="1"/>
        <v>1</v>
      </c>
      <c r="I425" s="82">
        <f t="shared" ca="1" si="37"/>
        <v>239</v>
      </c>
      <c r="J425" s="83">
        <f t="shared" ca="1" si="35"/>
        <v>0.59158415841584155</v>
      </c>
      <c r="N425" s="60">
        <v>404</v>
      </c>
      <c r="O425" s="82">
        <f ca="1">IF(AND(N425&lt;=U$22,RAND()&lt;=$H$7),1,0)</f>
        <v>1</v>
      </c>
      <c r="P425" s="82">
        <f t="shared" ca="1" si="38"/>
        <v>1</v>
      </c>
      <c r="Q425" s="84">
        <f t="shared" ca="1" si="39"/>
        <v>1</v>
      </c>
      <c r="R425" s="82">
        <f t="shared" ca="1" si="36"/>
        <v>4</v>
      </c>
      <c r="S425" s="82">
        <f ca="1">SUM(R$22:$R425)</f>
        <v>1113.9999999999995</v>
      </c>
      <c r="W425" s="60">
        <v>404</v>
      </c>
      <c r="X425" s="82">
        <f ca="1"/>
        <v>2904.4000000000065</v>
      </c>
    </row>
    <row r="426" spans="7:24" x14ac:dyDescent="0.2">
      <c r="G426" s="60">
        <v>405</v>
      </c>
      <c r="H426" s="82">
        <f ca="1"/>
        <v>1</v>
      </c>
      <c r="I426" s="82">
        <f t="shared" ca="1" si="37"/>
        <v>240</v>
      </c>
      <c r="J426" s="83">
        <f t="shared" ca="1" si="35"/>
        <v>0.59259259259259256</v>
      </c>
      <c r="N426" s="60">
        <v>405</v>
      </c>
      <c r="O426" s="82">
        <f ca="1">IF(AND(N426&lt;=U$22,RAND()&lt;=$H$7),1,0)</f>
        <v>0</v>
      </c>
      <c r="P426" s="82">
        <f t="shared" ca="1" si="38"/>
        <v>0</v>
      </c>
      <c r="Q426" s="84">
        <f t="shared" ca="1" si="39"/>
        <v>1</v>
      </c>
      <c r="R426" s="82">
        <f t="shared" ca="1" si="36"/>
        <v>0</v>
      </c>
      <c r="S426" s="82">
        <f ca="1">SUM(R$22:$R426)</f>
        <v>1113.9999999999995</v>
      </c>
      <c r="W426" s="60">
        <v>405</v>
      </c>
      <c r="X426" s="82">
        <f ca="1"/>
        <v>2879.6000000000067</v>
      </c>
    </row>
    <row r="427" spans="7:24" x14ac:dyDescent="0.2">
      <c r="G427" s="60">
        <v>406</v>
      </c>
      <c r="H427" s="82">
        <f ca="1"/>
        <v>0</v>
      </c>
      <c r="I427" s="82">
        <f t="shared" ca="1" si="37"/>
        <v>240</v>
      </c>
      <c r="J427" s="83">
        <f t="shared" ca="1" si="35"/>
        <v>0.59113300492610843</v>
      </c>
      <c r="N427" s="60">
        <v>406</v>
      </c>
      <c r="O427" s="82">
        <f ca="1">IF(AND(N427&lt;=U$22,RAND()&lt;=$H$7),1,0)</f>
        <v>1</v>
      </c>
      <c r="P427" s="82">
        <f t="shared" ca="1" si="38"/>
        <v>0</v>
      </c>
      <c r="Q427" s="84">
        <f t="shared" ca="1" si="39"/>
        <v>1</v>
      </c>
      <c r="R427" s="82">
        <f t="shared" ca="1" si="36"/>
        <v>4</v>
      </c>
      <c r="S427" s="82">
        <f ca="1">SUM(R$22:$R427)</f>
        <v>1117.9999999999995</v>
      </c>
      <c r="W427" s="60">
        <v>406</v>
      </c>
      <c r="X427" s="82">
        <f ca="1"/>
        <v>2869.2000000000071</v>
      </c>
    </row>
    <row r="428" spans="7:24" x14ac:dyDescent="0.2">
      <c r="G428" s="60">
        <v>407</v>
      </c>
      <c r="H428" s="82">
        <f ca="1"/>
        <v>1</v>
      </c>
      <c r="I428" s="82">
        <f t="shared" ca="1" si="37"/>
        <v>241</v>
      </c>
      <c r="J428" s="83">
        <f t="shared" ca="1" si="35"/>
        <v>0.59213759213759209</v>
      </c>
      <c r="N428" s="60">
        <v>407</v>
      </c>
      <c r="O428" s="82">
        <f ca="1">IF(AND(N428&lt;=U$22,RAND()&lt;=$H$7),1,0)</f>
        <v>1</v>
      </c>
      <c r="P428" s="82">
        <f t="shared" ca="1" si="38"/>
        <v>1</v>
      </c>
      <c r="Q428" s="84">
        <f t="shared" ca="1" si="39"/>
        <v>1</v>
      </c>
      <c r="R428" s="82">
        <f t="shared" ca="1" si="36"/>
        <v>4</v>
      </c>
      <c r="S428" s="82">
        <f ca="1">SUM(R$22:$R428)</f>
        <v>1121.9999999999995</v>
      </c>
      <c r="W428" s="60">
        <v>407</v>
      </c>
      <c r="X428" s="82">
        <f ca="1"/>
        <v>2728.4000000000087</v>
      </c>
    </row>
    <row r="429" spans="7:24" x14ac:dyDescent="0.2">
      <c r="G429" s="60">
        <v>408</v>
      </c>
      <c r="H429" s="82">
        <f ca="1"/>
        <v>1</v>
      </c>
      <c r="I429" s="82">
        <f t="shared" ca="1" si="37"/>
        <v>242</v>
      </c>
      <c r="J429" s="83">
        <f t="shared" ca="1" si="35"/>
        <v>0.59313725490196079</v>
      </c>
      <c r="N429" s="60">
        <v>408</v>
      </c>
      <c r="O429" s="82">
        <f ca="1">IF(AND(N429&lt;=U$22,RAND()&lt;=$H$7),1,0)</f>
        <v>1</v>
      </c>
      <c r="P429" s="82">
        <f t="shared" ca="1" si="38"/>
        <v>2</v>
      </c>
      <c r="Q429" s="84">
        <f t="shared" ca="1" si="39"/>
        <v>1.1000000000000001</v>
      </c>
      <c r="R429" s="82">
        <f t="shared" ca="1" si="36"/>
        <v>4.4000000000000004</v>
      </c>
      <c r="S429" s="82">
        <f ca="1">SUM(R$22:$R429)</f>
        <v>1126.3999999999996</v>
      </c>
      <c r="W429" s="60">
        <v>408</v>
      </c>
      <c r="X429" s="82">
        <f ca="1"/>
        <v>2982.8000000000079</v>
      </c>
    </row>
    <row r="430" spans="7:24" x14ac:dyDescent="0.2">
      <c r="G430" s="60">
        <v>409</v>
      </c>
      <c r="H430" s="82">
        <f ca="1"/>
        <v>0</v>
      </c>
      <c r="I430" s="82">
        <f t="shared" ca="1" si="37"/>
        <v>242</v>
      </c>
      <c r="J430" s="83">
        <f t="shared" ca="1" si="35"/>
        <v>0.59168704156479213</v>
      </c>
      <c r="N430" s="60">
        <v>409</v>
      </c>
      <c r="O430" s="82">
        <f ca="1">IF(AND(N430&lt;=U$22,RAND()&lt;=$H$7),1,0)</f>
        <v>1</v>
      </c>
      <c r="P430" s="82">
        <f t="shared" ca="1" si="38"/>
        <v>3</v>
      </c>
      <c r="Q430" s="84">
        <f t="shared" ca="1" si="39"/>
        <v>1.2</v>
      </c>
      <c r="R430" s="82">
        <f t="shared" ca="1" si="36"/>
        <v>4.8</v>
      </c>
      <c r="S430" s="82">
        <f ca="1">SUM(R$22:$R430)</f>
        <v>1131.1999999999996</v>
      </c>
      <c r="W430" s="60">
        <v>409</v>
      </c>
      <c r="X430" s="82">
        <f ca="1"/>
        <v>2753.6000000000076</v>
      </c>
    </row>
    <row r="431" spans="7:24" x14ac:dyDescent="0.2">
      <c r="G431" s="60">
        <v>410</v>
      </c>
      <c r="H431" s="82">
        <f ca="1"/>
        <v>1</v>
      </c>
      <c r="I431" s="82">
        <f t="shared" ca="1" si="37"/>
        <v>243</v>
      </c>
      <c r="J431" s="83">
        <f t="shared" ca="1" si="35"/>
        <v>0.59268292682926826</v>
      </c>
      <c r="N431" s="60">
        <v>410</v>
      </c>
      <c r="O431" s="82">
        <f ca="1">IF(AND(N431&lt;=U$22,RAND()&lt;=$H$7),1,0)</f>
        <v>0</v>
      </c>
      <c r="P431" s="82">
        <f t="shared" ca="1" si="38"/>
        <v>0</v>
      </c>
      <c r="Q431" s="84">
        <f t="shared" ca="1" si="39"/>
        <v>1</v>
      </c>
      <c r="R431" s="82">
        <f t="shared" ca="1" si="36"/>
        <v>0</v>
      </c>
      <c r="S431" s="82">
        <f ca="1">SUM(R$22:$R431)</f>
        <v>1131.1999999999996</v>
      </c>
      <c r="W431" s="60">
        <v>410</v>
      </c>
      <c r="X431" s="82">
        <f ca="1"/>
        <v>2773.2000000000071</v>
      </c>
    </row>
    <row r="432" spans="7:24" x14ac:dyDescent="0.2">
      <c r="G432" s="60">
        <v>411</v>
      </c>
      <c r="H432" s="82">
        <f ca="1"/>
        <v>1</v>
      </c>
      <c r="I432" s="82">
        <f t="shared" ca="1" si="37"/>
        <v>244</v>
      </c>
      <c r="J432" s="83">
        <f t="shared" ca="1" si="35"/>
        <v>0.59367396593673971</v>
      </c>
      <c r="N432" s="60">
        <v>411</v>
      </c>
      <c r="O432" s="82">
        <f ca="1">IF(AND(N432&lt;=U$22,RAND()&lt;=$H$7),1,0)</f>
        <v>1</v>
      </c>
      <c r="P432" s="82">
        <f t="shared" ca="1" si="38"/>
        <v>0</v>
      </c>
      <c r="Q432" s="84">
        <f t="shared" ca="1" si="39"/>
        <v>1</v>
      </c>
      <c r="R432" s="82">
        <f t="shared" ca="1" si="36"/>
        <v>4</v>
      </c>
      <c r="S432" s="82">
        <f ca="1">SUM(R$22:$R432)</f>
        <v>1135.1999999999996</v>
      </c>
      <c r="W432" s="60">
        <v>411</v>
      </c>
      <c r="X432" s="82">
        <f ca="1"/>
        <v>2568.800000000007</v>
      </c>
    </row>
    <row r="433" spans="7:24" x14ac:dyDescent="0.2">
      <c r="G433" s="60">
        <v>412</v>
      </c>
      <c r="H433" s="82">
        <f ca="1"/>
        <v>1</v>
      </c>
      <c r="I433" s="82">
        <f t="shared" ca="1" si="37"/>
        <v>245</v>
      </c>
      <c r="J433" s="83">
        <f t="shared" ca="1" si="35"/>
        <v>0.59466019417475724</v>
      </c>
      <c r="N433" s="60">
        <v>412</v>
      </c>
      <c r="O433" s="82">
        <f ca="1">IF(AND(N433&lt;=U$22,RAND()&lt;=$H$7),1,0)</f>
        <v>0</v>
      </c>
      <c r="P433" s="82">
        <f t="shared" ca="1" si="38"/>
        <v>0</v>
      </c>
      <c r="Q433" s="84">
        <f t="shared" ca="1" si="39"/>
        <v>1</v>
      </c>
      <c r="R433" s="82">
        <f t="shared" ca="1" si="36"/>
        <v>0</v>
      </c>
      <c r="S433" s="82">
        <f ca="1">SUM(R$22:$R433)</f>
        <v>1135.1999999999996</v>
      </c>
      <c r="W433" s="60">
        <v>412</v>
      </c>
      <c r="X433" s="82">
        <f ca="1"/>
        <v>2486.400000000006</v>
      </c>
    </row>
    <row r="434" spans="7:24" x14ac:dyDescent="0.2">
      <c r="G434" s="60">
        <v>413</v>
      </c>
      <c r="H434" s="82">
        <f ca="1"/>
        <v>1</v>
      </c>
      <c r="I434" s="82">
        <f t="shared" ca="1" si="37"/>
        <v>246</v>
      </c>
      <c r="J434" s="83">
        <f t="shared" ca="1" si="35"/>
        <v>0.59564164648910412</v>
      </c>
      <c r="N434" s="60">
        <v>413</v>
      </c>
      <c r="O434" s="82">
        <f ca="1">IF(AND(N434&lt;=U$22,RAND()&lt;=$H$7),1,0)</f>
        <v>0</v>
      </c>
      <c r="P434" s="82">
        <f t="shared" ca="1" si="38"/>
        <v>0</v>
      </c>
      <c r="Q434" s="84">
        <f t="shared" ca="1" si="39"/>
        <v>1</v>
      </c>
      <c r="R434" s="82">
        <f t="shared" ca="1" si="36"/>
        <v>0</v>
      </c>
      <c r="S434" s="82">
        <f ca="1">SUM(R$22:$R434)</f>
        <v>1135.1999999999996</v>
      </c>
      <c r="W434" s="60">
        <v>413</v>
      </c>
      <c r="X434" s="82">
        <f ca="1"/>
        <v>2868.0000000000073</v>
      </c>
    </row>
    <row r="435" spans="7:24" x14ac:dyDescent="0.2">
      <c r="G435" s="60">
        <v>414</v>
      </c>
      <c r="H435" s="82">
        <f ca="1"/>
        <v>0</v>
      </c>
      <c r="I435" s="82">
        <f t="shared" ca="1" si="37"/>
        <v>246</v>
      </c>
      <c r="J435" s="83">
        <f t="shared" ca="1" si="35"/>
        <v>0.59420289855072461</v>
      </c>
      <c r="N435" s="60">
        <v>414</v>
      </c>
      <c r="O435" s="82">
        <f ca="1">IF(AND(N435&lt;=U$22,RAND()&lt;=$H$7),1,0)</f>
        <v>1</v>
      </c>
      <c r="P435" s="82">
        <f t="shared" ca="1" si="38"/>
        <v>0</v>
      </c>
      <c r="Q435" s="84">
        <f t="shared" ca="1" si="39"/>
        <v>1</v>
      </c>
      <c r="R435" s="82">
        <f t="shared" ca="1" si="36"/>
        <v>4</v>
      </c>
      <c r="S435" s="82">
        <f ca="1">SUM(R$22:$R435)</f>
        <v>1139.1999999999996</v>
      </c>
      <c r="W435" s="60">
        <v>414</v>
      </c>
      <c r="X435" s="82">
        <f ca="1"/>
        <v>2824.4000000000078</v>
      </c>
    </row>
    <row r="436" spans="7:24" x14ac:dyDescent="0.2">
      <c r="G436" s="60">
        <v>415</v>
      </c>
      <c r="H436" s="82">
        <f ca="1"/>
        <v>0</v>
      </c>
      <c r="I436" s="82">
        <f t="shared" ca="1" si="37"/>
        <v>246</v>
      </c>
      <c r="J436" s="83">
        <f t="shared" ca="1" si="35"/>
        <v>0.59277108433734937</v>
      </c>
      <c r="N436" s="60">
        <v>415</v>
      </c>
      <c r="O436" s="82">
        <f ca="1">IF(AND(N436&lt;=U$22,RAND()&lt;=$H$7),1,0)</f>
        <v>1</v>
      </c>
      <c r="P436" s="82">
        <f t="shared" ca="1" si="38"/>
        <v>1</v>
      </c>
      <c r="Q436" s="84">
        <f t="shared" ca="1" si="39"/>
        <v>1</v>
      </c>
      <c r="R436" s="82">
        <f t="shared" ca="1" si="36"/>
        <v>4</v>
      </c>
      <c r="S436" s="82">
        <f ca="1">SUM(R$22:$R436)</f>
        <v>1143.1999999999996</v>
      </c>
      <c r="W436" s="60">
        <v>415</v>
      </c>
      <c r="X436" s="82">
        <f ca="1"/>
        <v>2826.400000000006</v>
      </c>
    </row>
    <row r="437" spans="7:24" x14ac:dyDescent="0.2">
      <c r="G437" s="60">
        <v>416</v>
      </c>
      <c r="H437" s="82">
        <f ca="1"/>
        <v>0</v>
      </c>
      <c r="I437" s="82">
        <f t="shared" ca="1" si="37"/>
        <v>246</v>
      </c>
      <c r="J437" s="83">
        <f t="shared" ca="1" si="35"/>
        <v>0.59134615384615385</v>
      </c>
      <c r="N437" s="60">
        <v>416</v>
      </c>
      <c r="O437" s="82">
        <f ca="1">IF(AND(N437&lt;=U$22,RAND()&lt;=$H$7),1,0)</f>
        <v>0</v>
      </c>
      <c r="P437" s="82">
        <f t="shared" ca="1" si="38"/>
        <v>0</v>
      </c>
      <c r="Q437" s="84">
        <f t="shared" ca="1" si="39"/>
        <v>1</v>
      </c>
      <c r="R437" s="82">
        <f t="shared" ca="1" si="36"/>
        <v>0</v>
      </c>
      <c r="S437" s="82">
        <f ca="1">SUM(R$22:$R437)</f>
        <v>1143.1999999999996</v>
      </c>
      <c r="W437" s="60">
        <v>416</v>
      </c>
      <c r="X437" s="82">
        <f ca="1"/>
        <v>2604.0000000000045</v>
      </c>
    </row>
    <row r="438" spans="7:24" x14ac:dyDescent="0.2">
      <c r="G438" s="60">
        <v>417</v>
      </c>
      <c r="H438" s="82">
        <f ca="1"/>
        <v>1</v>
      </c>
      <c r="I438" s="82">
        <f t="shared" ca="1" si="37"/>
        <v>247</v>
      </c>
      <c r="J438" s="83">
        <f t="shared" ca="1" si="35"/>
        <v>0.592326139088729</v>
      </c>
      <c r="N438" s="60">
        <v>417</v>
      </c>
      <c r="O438" s="82">
        <f ca="1">IF(AND(N438&lt;=U$22,RAND()&lt;=$H$7),1,0)</f>
        <v>1</v>
      </c>
      <c r="P438" s="82">
        <f t="shared" ca="1" si="38"/>
        <v>0</v>
      </c>
      <c r="Q438" s="84">
        <f t="shared" ca="1" si="39"/>
        <v>1</v>
      </c>
      <c r="R438" s="82">
        <f t="shared" ca="1" si="36"/>
        <v>4</v>
      </c>
      <c r="S438" s="82">
        <f ca="1">SUM(R$22:$R438)</f>
        <v>1147.1999999999996</v>
      </c>
      <c r="W438" s="60">
        <v>417</v>
      </c>
      <c r="X438" s="82">
        <f ca="1"/>
        <v>2738.8000000000075</v>
      </c>
    </row>
    <row r="439" spans="7:24" x14ac:dyDescent="0.2">
      <c r="G439" s="60">
        <v>418</v>
      </c>
      <c r="H439" s="82">
        <f ca="1"/>
        <v>1</v>
      </c>
      <c r="I439" s="82">
        <f t="shared" ca="1" si="37"/>
        <v>248</v>
      </c>
      <c r="J439" s="83">
        <f t="shared" ca="1" si="35"/>
        <v>0.59330143540669855</v>
      </c>
      <c r="N439" s="60">
        <v>418</v>
      </c>
      <c r="O439" s="82">
        <f ca="1">IF(AND(N439&lt;=U$22,RAND()&lt;=$H$7),1,0)</f>
        <v>0</v>
      </c>
      <c r="P439" s="82">
        <f t="shared" ca="1" si="38"/>
        <v>0</v>
      </c>
      <c r="Q439" s="84">
        <f t="shared" ca="1" si="39"/>
        <v>1</v>
      </c>
      <c r="R439" s="82">
        <f t="shared" ca="1" si="36"/>
        <v>0</v>
      </c>
      <c r="S439" s="82">
        <f ca="1">SUM(R$22:$R439)</f>
        <v>1147.1999999999996</v>
      </c>
      <c r="W439" s="60">
        <v>418</v>
      </c>
      <c r="X439" s="82">
        <f ca="1"/>
        <v>2712.4000000000055</v>
      </c>
    </row>
    <row r="440" spans="7:24" x14ac:dyDescent="0.2">
      <c r="G440" s="60">
        <v>419</v>
      </c>
      <c r="H440" s="82">
        <f ca="1"/>
        <v>1</v>
      </c>
      <c r="I440" s="82">
        <f t="shared" ca="1" si="37"/>
        <v>249</v>
      </c>
      <c r="J440" s="83">
        <f t="shared" ca="1" si="35"/>
        <v>0.59427207637231505</v>
      </c>
      <c r="N440" s="60">
        <v>419</v>
      </c>
      <c r="O440" s="82">
        <f ca="1">IF(AND(N440&lt;=U$22,RAND()&lt;=$H$7),1,0)</f>
        <v>1</v>
      </c>
      <c r="P440" s="82">
        <f t="shared" ca="1" si="38"/>
        <v>0</v>
      </c>
      <c r="Q440" s="84">
        <f t="shared" ca="1" si="39"/>
        <v>1</v>
      </c>
      <c r="R440" s="82">
        <f t="shared" ca="1" si="36"/>
        <v>4</v>
      </c>
      <c r="S440" s="82">
        <f ca="1">SUM(R$22:$R440)</f>
        <v>1151.1999999999996</v>
      </c>
      <c r="W440" s="60">
        <v>419</v>
      </c>
      <c r="X440" s="82">
        <f ca="1"/>
        <v>2627.6000000000085</v>
      </c>
    </row>
    <row r="441" spans="7:24" x14ac:dyDescent="0.2">
      <c r="G441" s="60">
        <v>420</v>
      </c>
      <c r="H441" s="82">
        <f ca="1"/>
        <v>0</v>
      </c>
      <c r="I441" s="82">
        <f t="shared" ca="1" si="37"/>
        <v>249</v>
      </c>
      <c r="J441" s="83">
        <f t="shared" ca="1" si="35"/>
        <v>0.59285714285714286</v>
      </c>
      <c r="N441" s="60">
        <v>420</v>
      </c>
      <c r="O441" s="82">
        <f ca="1">IF(AND(N441&lt;=U$22,RAND()&lt;=$H$7),1,0)</f>
        <v>0</v>
      </c>
      <c r="P441" s="82">
        <f t="shared" ca="1" si="38"/>
        <v>0</v>
      </c>
      <c r="Q441" s="84">
        <f t="shared" ca="1" si="39"/>
        <v>1</v>
      </c>
      <c r="R441" s="82">
        <f t="shared" ca="1" si="36"/>
        <v>0</v>
      </c>
      <c r="S441" s="82">
        <f ca="1">SUM(R$22:$R441)</f>
        <v>1151.1999999999996</v>
      </c>
      <c r="W441" s="60">
        <v>420</v>
      </c>
      <c r="X441" s="82">
        <f ca="1"/>
        <v>2714.8000000000065</v>
      </c>
    </row>
    <row r="442" spans="7:24" x14ac:dyDescent="0.2">
      <c r="G442" s="60">
        <v>421</v>
      </c>
      <c r="H442" s="82">
        <f ca="1"/>
        <v>0</v>
      </c>
      <c r="I442" s="82">
        <f t="shared" ca="1" si="37"/>
        <v>249</v>
      </c>
      <c r="J442" s="83">
        <f t="shared" ca="1" si="35"/>
        <v>0.59144893111638952</v>
      </c>
      <c r="N442" s="60">
        <v>421</v>
      </c>
      <c r="O442" s="82">
        <f ca="1">IF(AND(N442&lt;=U$22,RAND()&lt;=$H$7),1,0)</f>
        <v>0</v>
      </c>
      <c r="P442" s="82">
        <f t="shared" ca="1" si="38"/>
        <v>0</v>
      </c>
      <c r="Q442" s="84">
        <f t="shared" ca="1" si="39"/>
        <v>1</v>
      </c>
      <c r="R442" s="82">
        <f t="shared" ca="1" si="36"/>
        <v>0</v>
      </c>
      <c r="S442" s="82">
        <f ca="1">SUM(R$22:$R442)</f>
        <v>1151.1999999999996</v>
      </c>
      <c r="W442" s="60">
        <v>421</v>
      </c>
      <c r="X442" s="82">
        <f ca="1"/>
        <v>2634.4000000000065</v>
      </c>
    </row>
    <row r="443" spans="7:24" x14ac:dyDescent="0.2">
      <c r="G443" s="60">
        <v>422</v>
      </c>
      <c r="H443" s="82">
        <f ca="1"/>
        <v>1</v>
      </c>
      <c r="I443" s="82">
        <f t="shared" ca="1" si="37"/>
        <v>250</v>
      </c>
      <c r="J443" s="83">
        <f t="shared" ca="1" si="35"/>
        <v>0.59241706161137442</v>
      </c>
      <c r="N443" s="60">
        <v>422</v>
      </c>
      <c r="O443" s="82">
        <f ca="1">IF(AND(N443&lt;=U$22,RAND()&lt;=$H$7),1,0)</f>
        <v>0</v>
      </c>
      <c r="P443" s="82">
        <f t="shared" ca="1" si="38"/>
        <v>0</v>
      </c>
      <c r="Q443" s="84">
        <f t="shared" ca="1" si="39"/>
        <v>1</v>
      </c>
      <c r="R443" s="82">
        <f t="shared" ca="1" si="36"/>
        <v>0</v>
      </c>
      <c r="S443" s="82">
        <f ca="1">SUM(R$22:$R443)</f>
        <v>1151.1999999999996</v>
      </c>
      <c r="W443" s="60">
        <v>422</v>
      </c>
      <c r="X443" s="82">
        <f ca="1"/>
        <v>2685.2000000000066</v>
      </c>
    </row>
    <row r="444" spans="7:24" x14ac:dyDescent="0.2">
      <c r="G444" s="60">
        <v>423</v>
      </c>
      <c r="H444" s="82">
        <f ca="1"/>
        <v>1</v>
      </c>
      <c r="I444" s="82">
        <f t="shared" ca="1" si="37"/>
        <v>251</v>
      </c>
      <c r="J444" s="83">
        <f t="shared" ca="1" si="35"/>
        <v>0.59338061465721037</v>
      </c>
      <c r="N444" s="60">
        <v>423</v>
      </c>
      <c r="O444" s="82">
        <f ca="1">IF(AND(N444&lt;=U$22,RAND()&lt;=$H$7),1,0)</f>
        <v>1</v>
      </c>
      <c r="P444" s="82">
        <f t="shared" ca="1" si="38"/>
        <v>0</v>
      </c>
      <c r="Q444" s="84">
        <f t="shared" ca="1" si="39"/>
        <v>1</v>
      </c>
      <c r="R444" s="82">
        <f t="shared" ca="1" si="36"/>
        <v>4</v>
      </c>
      <c r="S444" s="82">
        <f ca="1">SUM(R$22:$R444)</f>
        <v>1155.1999999999996</v>
      </c>
      <c r="W444" s="60">
        <v>423</v>
      </c>
      <c r="X444" s="82">
        <f ca="1"/>
        <v>2888.4000000000083</v>
      </c>
    </row>
    <row r="445" spans="7:24" x14ac:dyDescent="0.2">
      <c r="G445" s="60">
        <v>424</v>
      </c>
      <c r="H445" s="82">
        <f ca="1"/>
        <v>1</v>
      </c>
      <c r="I445" s="82">
        <f t="shared" ca="1" si="37"/>
        <v>252</v>
      </c>
      <c r="J445" s="83">
        <f t="shared" ca="1" si="35"/>
        <v>0.59433962264150941</v>
      </c>
      <c r="N445" s="60">
        <v>424</v>
      </c>
      <c r="O445" s="82">
        <f ca="1">IF(AND(N445&lt;=U$22,RAND()&lt;=$H$7),1,0)</f>
        <v>0</v>
      </c>
      <c r="P445" s="82">
        <f t="shared" ca="1" si="38"/>
        <v>0</v>
      </c>
      <c r="Q445" s="84">
        <f t="shared" ca="1" si="39"/>
        <v>1</v>
      </c>
      <c r="R445" s="82">
        <f t="shared" ca="1" si="36"/>
        <v>0</v>
      </c>
      <c r="S445" s="82">
        <f ca="1">SUM(R$22:$R445)</f>
        <v>1155.1999999999996</v>
      </c>
      <c r="W445" s="60">
        <v>424</v>
      </c>
      <c r="X445" s="82">
        <f ca="1"/>
        <v>2595.6000000000058</v>
      </c>
    </row>
    <row r="446" spans="7:24" x14ac:dyDescent="0.2">
      <c r="G446" s="60">
        <v>425</v>
      </c>
      <c r="H446" s="82">
        <f ca="1"/>
        <v>1</v>
      </c>
      <c r="I446" s="82">
        <f t="shared" ca="1" si="37"/>
        <v>253</v>
      </c>
      <c r="J446" s="83">
        <f t="shared" ca="1" si="35"/>
        <v>0.59529411764705886</v>
      </c>
      <c r="N446" s="60">
        <v>425</v>
      </c>
      <c r="O446" s="82">
        <f ca="1">IF(AND(N446&lt;=U$22,RAND()&lt;=$H$7),1,0)</f>
        <v>1</v>
      </c>
      <c r="P446" s="82">
        <f t="shared" ca="1" si="38"/>
        <v>0</v>
      </c>
      <c r="Q446" s="84">
        <f t="shared" ca="1" si="39"/>
        <v>1</v>
      </c>
      <c r="R446" s="82">
        <f t="shared" ca="1" si="36"/>
        <v>4</v>
      </c>
      <c r="S446" s="82">
        <f ca="1">SUM(R$22:$R446)</f>
        <v>1159.1999999999996</v>
      </c>
      <c r="W446" s="60">
        <v>425</v>
      </c>
      <c r="X446" s="82">
        <f ca="1"/>
        <v>2602.0000000000077</v>
      </c>
    </row>
    <row r="447" spans="7:24" x14ac:dyDescent="0.2">
      <c r="G447" s="60">
        <v>426</v>
      </c>
      <c r="H447" s="82">
        <f ca="1"/>
        <v>1</v>
      </c>
      <c r="I447" s="82">
        <f t="shared" ca="1" si="37"/>
        <v>254</v>
      </c>
      <c r="J447" s="83">
        <f t="shared" ca="1" si="35"/>
        <v>0.59624413145539901</v>
      </c>
      <c r="N447" s="60">
        <v>426</v>
      </c>
      <c r="O447" s="82">
        <f ca="1">IF(AND(N447&lt;=U$22,RAND()&lt;=$H$7),1,0)</f>
        <v>1</v>
      </c>
      <c r="P447" s="82">
        <f t="shared" ca="1" si="38"/>
        <v>1</v>
      </c>
      <c r="Q447" s="84">
        <f t="shared" ca="1" si="39"/>
        <v>1</v>
      </c>
      <c r="R447" s="82">
        <f t="shared" ca="1" si="36"/>
        <v>4</v>
      </c>
      <c r="S447" s="82">
        <f ca="1">SUM(R$22:$R447)</f>
        <v>1163.1999999999996</v>
      </c>
      <c r="W447" s="60">
        <v>426</v>
      </c>
      <c r="X447" s="82">
        <f ca="1"/>
        <v>2748.8000000000075</v>
      </c>
    </row>
    <row r="448" spans="7:24" x14ac:dyDescent="0.2">
      <c r="G448" s="60">
        <v>427</v>
      </c>
      <c r="H448" s="82">
        <f ca="1"/>
        <v>0</v>
      </c>
      <c r="I448" s="82">
        <f t="shared" ca="1" si="37"/>
        <v>254</v>
      </c>
      <c r="J448" s="83">
        <f t="shared" ca="1" si="35"/>
        <v>0.59484777517564402</v>
      </c>
      <c r="N448" s="60">
        <v>427</v>
      </c>
      <c r="O448" s="82">
        <f ca="1">IF(AND(N448&lt;=U$22,RAND()&lt;=$H$7),1,0)</f>
        <v>0</v>
      </c>
      <c r="P448" s="82">
        <f t="shared" ca="1" si="38"/>
        <v>0</v>
      </c>
      <c r="Q448" s="84">
        <f t="shared" ca="1" si="39"/>
        <v>1</v>
      </c>
      <c r="R448" s="82">
        <f t="shared" ca="1" si="36"/>
        <v>0</v>
      </c>
      <c r="S448" s="82">
        <f ca="1">SUM(R$22:$R448)</f>
        <v>1163.1999999999996</v>
      </c>
      <c r="W448" s="60">
        <v>427</v>
      </c>
      <c r="X448" s="82">
        <f ca="1"/>
        <v>2643.6000000000072</v>
      </c>
    </row>
    <row r="449" spans="7:24" x14ac:dyDescent="0.2">
      <c r="G449" s="60">
        <v>428</v>
      </c>
      <c r="H449" s="82">
        <f ca="1"/>
        <v>0</v>
      </c>
      <c r="I449" s="82">
        <f t="shared" ca="1" si="37"/>
        <v>254</v>
      </c>
      <c r="J449" s="83">
        <f t="shared" ca="1" si="35"/>
        <v>0.59345794392523366</v>
      </c>
      <c r="N449" s="60">
        <v>428</v>
      </c>
      <c r="O449" s="82">
        <f ca="1">IF(AND(N449&lt;=U$22,RAND()&lt;=$H$7),1,0)</f>
        <v>1</v>
      </c>
      <c r="P449" s="82">
        <f t="shared" ca="1" si="38"/>
        <v>0</v>
      </c>
      <c r="Q449" s="84">
        <f t="shared" ca="1" si="39"/>
        <v>1</v>
      </c>
      <c r="R449" s="82">
        <f t="shared" ca="1" si="36"/>
        <v>4</v>
      </c>
      <c r="S449" s="82">
        <f ca="1">SUM(R$22:$R449)</f>
        <v>1167.1999999999996</v>
      </c>
      <c r="W449" s="60">
        <v>428</v>
      </c>
      <c r="X449" s="82">
        <f ca="1"/>
        <v>2767.6000000000058</v>
      </c>
    </row>
    <row r="450" spans="7:24" x14ac:dyDescent="0.2">
      <c r="G450" s="60">
        <v>429</v>
      </c>
      <c r="H450" s="82">
        <f ca="1"/>
        <v>1</v>
      </c>
      <c r="I450" s="82">
        <f t="shared" ca="1" si="37"/>
        <v>255</v>
      </c>
      <c r="J450" s="83">
        <f t="shared" ca="1" si="35"/>
        <v>0.59440559440559437</v>
      </c>
      <c r="N450" s="60">
        <v>429</v>
      </c>
      <c r="O450" s="82">
        <f ca="1">IF(AND(N450&lt;=U$22,RAND()&lt;=$H$7),1,0)</f>
        <v>0</v>
      </c>
      <c r="P450" s="82">
        <f t="shared" ca="1" si="38"/>
        <v>0</v>
      </c>
      <c r="Q450" s="84">
        <f t="shared" ca="1" si="39"/>
        <v>1</v>
      </c>
      <c r="R450" s="82">
        <f t="shared" ca="1" si="36"/>
        <v>0</v>
      </c>
      <c r="S450" s="82">
        <f ca="1">SUM(R$22:$R450)</f>
        <v>1167.1999999999996</v>
      </c>
      <c r="W450" s="60">
        <v>429</v>
      </c>
      <c r="X450" s="82">
        <f ca="1"/>
        <v>2866.0000000000077</v>
      </c>
    </row>
    <row r="451" spans="7:24" x14ac:dyDescent="0.2">
      <c r="G451" s="60">
        <v>430</v>
      </c>
      <c r="H451" s="82">
        <f ca="1"/>
        <v>1</v>
      </c>
      <c r="I451" s="82">
        <f t="shared" ca="1" si="37"/>
        <v>256</v>
      </c>
      <c r="J451" s="83">
        <f t="shared" ca="1" si="35"/>
        <v>0.59534883720930232</v>
      </c>
      <c r="N451" s="60">
        <v>430</v>
      </c>
      <c r="O451" s="82">
        <f ca="1">IF(AND(N451&lt;=U$22,RAND()&lt;=$H$7),1,0)</f>
        <v>0</v>
      </c>
      <c r="P451" s="82">
        <f t="shared" ca="1" si="38"/>
        <v>0</v>
      </c>
      <c r="Q451" s="84">
        <f t="shared" ca="1" si="39"/>
        <v>1</v>
      </c>
      <c r="R451" s="82">
        <f t="shared" ca="1" si="36"/>
        <v>0</v>
      </c>
      <c r="S451" s="82">
        <f ca="1">SUM(R$22:$R451)</f>
        <v>1167.1999999999996</v>
      </c>
      <c r="W451" s="60">
        <v>430</v>
      </c>
      <c r="X451" s="82">
        <f ca="1"/>
        <v>2711.200000000008</v>
      </c>
    </row>
    <row r="452" spans="7:24" x14ac:dyDescent="0.2">
      <c r="G452" s="60">
        <v>431</v>
      </c>
      <c r="H452" s="82">
        <f ca="1"/>
        <v>1</v>
      </c>
      <c r="I452" s="82">
        <f t="shared" ca="1" si="37"/>
        <v>257</v>
      </c>
      <c r="J452" s="83">
        <f t="shared" ca="1" si="35"/>
        <v>0.59628770301624134</v>
      </c>
      <c r="N452" s="60">
        <v>431</v>
      </c>
      <c r="O452" s="82">
        <f ca="1">IF(AND(N452&lt;=U$22,RAND()&lt;=$H$7),1,0)</f>
        <v>0</v>
      </c>
      <c r="P452" s="82">
        <f t="shared" ca="1" si="38"/>
        <v>0</v>
      </c>
      <c r="Q452" s="84">
        <f t="shared" ca="1" si="39"/>
        <v>1</v>
      </c>
      <c r="R452" s="82">
        <f t="shared" ca="1" si="36"/>
        <v>0</v>
      </c>
      <c r="S452" s="82">
        <f ca="1">SUM(R$22:$R452)</f>
        <v>1167.1999999999996</v>
      </c>
      <c r="W452" s="60">
        <v>431</v>
      </c>
      <c r="X452" s="82">
        <f ca="1"/>
        <v>2726.0000000000082</v>
      </c>
    </row>
    <row r="453" spans="7:24" x14ac:dyDescent="0.2">
      <c r="G453" s="60">
        <v>432</v>
      </c>
      <c r="H453" s="82">
        <f ca="1"/>
        <v>0</v>
      </c>
      <c r="I453" s="82">
        <f t="shared" ca="1" si="37"/>
        <v>257</v>
      </c>
      <c r="J453" s="83">
        <f t="shared" ca="1" si="35"/>
        <v>0.59490740740740744</v>
      </c>
      <c r="N453" s="60">
        <v>432</v>
      </c>
      <c r="O453" s="82">
        <f ca="1">IF(AND(N453&lt;=U$22,RAND()&lt;=$H$7),1,0)</f>
        <v>1</v>
      </c>
      <c r="P453" s="82">
        <f t="shared" ca="1" si="38"/>
        <v>0</v>
      </c>
      <c r="Q453" s="84">
        <f t="shared" ca="1" si="39"/>
        <v>1</v>
      </c>
      <c r="R453" s="82">
        <f t="shared" ca="1" si="36"/>
        <v>4</v>
      </c>
      <c r="S453" s="82">
        <f ca="1">SUM(R$22:$R453)</f>
        <v>1171.1999999999996</v>
      </c>
      <c r="W453" s="60">
        <v>432</v>
      </c>
      <c r="X453" s="82">
        <f ca="1"/>
        <v>2799.2000000000071</v>
      </c>
    </row>
    <row r="454" spans="7:24" x14ac:dyDescent="0.2">
      <c r="G454" s="60">
        <v>433</v>
      </c>
      <c r="H454" s="82">
        <f ca="1"/>
        <v>1</v>
      </c>
      <c r="I454" s="82">
        <f t="shared" ca="1" si="37"/>
        <v>258</v>
      </c>
      <c r="J454" s="83">
        <f t="shared" ca="1" si="35"/>
        <v>0.59584295612009242</v>
      </c>
      <c r="N454" s="60">
        <v>433</v>
      </c>
      <c r="O454" s="82">
        <f ca="1">IF(AND(N454&lt;=U$22,RAND()&lt;=$H$7),1,0)</f>
        <v>1</v>
      </c>
      <c r="P454" s="82">
        <f t="shared" ca="1" si="38"/>
        <v>1</v>
      </c>
      <c r="Q454" s="84">
        <f t="shared" ca="1" si="39"/>
        <v>1</v>
      </c>
      <c r="R454" s="82">
        <f t="shared" ca="1" si="36"/>
        <v>4</v>
      </c>
      <c r="S454" s="82">
        <f ca="1">SUM(R$22:$R454)</f>
        <v>1175.1999999999996</v>
      </c>
      <c r="W454" s="60">
        <v>433</v>
      </c>
      <c r="X454" s="82">
        <f ca="1"/>
        <v>2712.4000000000069</v>
      </c>
    </row>
    <row r="455" spans="7:24" x14ac:dyDescent="0.2">
      <c r="G455" s="60">
        <v>434</v>
      </c>
      <c r="H455" s="82">
        <f ca="1"/>
        <v>1</v>
      </c>
      <c r="I455" s="82">
        <f t="shared" ca="1" si="37"/>
        <v>259</v>
      </c>
      <c r="J455" s="83">
        <f t="shared" ca="1" si="35"/>
        <v>0.59677419354838712</v>
      </c>
      <c r="N455" s="60">
        <v>434</v>
      </c>
      <c r="O455" s="82">
        <f ca="1">IF(AND(N455&lt;=U$22,RAND()&lt;=$H$7),1,0)</f>
        <v>0</v>
      </c>
      <c r="P455" s="82">
        <f t="shared" ca="1" si="38"/>
        <v>0</v>
      </c>
      <c r="Q455" s="84">
        <f t="shared" ca="1" si="39"/>
        <v>1</v>
      </c>
      <c r="R455" s="82">
        <f t="shared" ca="1" si="36"/>
        <v>0</v>
      </c>
      <c r="S455" s="82">
        <f ca="1">SUM(R$22:$R455)</f>
        <v>1175.1999999999996</v>
      </c>
      <c r="W455" s="60">
        <v>434</v>
      </c>
      <c r="X455" s="82">
        <f ca="1"/>
        <v>2671.6000000000072</v>
      </c>
    </row>
    <row r="456" spans="7:24" x14ac:dyDescent="0.2">
      <c r="G456" s="60">
        <v>435</v>
      </c>
      <c r="H456" s="82">
        <f ca="1"/>
        <v>1</v>
      </c>
      <c r="I456" s="82">
        <f t="shared" ca="1" si="37"/>
        <v>260</v>
      </c>
      <c r="J456" s="83">
        <f t="shared" ca="1" si="35"/>
        <v>0.5977011494252874</v>
      </c>
      <c r="N456" s="60">
        <v>435</v>
      </c>
      <c r="O456" s="82">
        <f ca="1">IF(AND(N456&lt;=U$22,RAND()&lt;=$H$7),1,0)</f>
        <v>0</v>
      </c>
      <c r="P456" s="82">
        <f t="shared" ca="1" si="38"/>
        <v>0</v>
      </c>
      <c r="Q456" s="84">
        <f t="shared" ca="1" si="39"/>
        <v>1</v>
      </c>
      <c r="R456" s="82">
        <f t="shared" ca="1" si="36"/>
        <v>0</v>
      </c>
      <c r="S456" s="82">
        <f ca="1">SUM(R$22:$R456)</f>
        <v>1175.1999999999996</v>
      </c>
      <c r="W456" s="60">
        <v>435</v>
      </c>
      <c r="X456" s="82">
        <f ca="1"/>
        <v>2562.4000000000065</v>
      </c>
    </row>
    <row r="457" spans="7:24" x14ac:dyDescent="0.2">
      <c r="G457" s="60">
        <v>436</v>
      </c>
      <c r="H457" s="82">
        <f ca="1"/>
        <v>1</v>
      </c>
      <c r="I457" s="82">
        <f t="shared" ca="1" si="37"/>
        <v>261</v>
      </c>
      <c r="J457" s="83">
        <f t="shared" ca="1" si="35"/>
        <v>0.59862385321100919</v>
      </c>
      <c r="N457" s="60">
        <v>436</v>
      </c>
      <c r="O457" s="82">
        <f ca="1">IF(AND(N457&lt;=U$22,RAND()&lt;=$H$7),1,0)</f>
        <v>1</v>
      </c>
      <c r="P457" s="82">
        <f t="shared" ca="1" si="38"/>
        <v>0</v>
      </c>
      <c r="Q457" s="84">
        <f t="shared" ca="1" si="39"/>
        <v>1</v>
      </c>
      <c r="R457" s="82">
        <f t="shared" ca="1" si="36"/>
        <v>4</v>
      </c>
      <c r="S457" s="82">
        <f ca="1">SUM(R$22:$R457)</f>
        <v>1179.1999999999996</v>
      </c>
      <c r="W457" s="60">
        <v>436</v>
      </c>
      <c r="X457" s="82">
        <f ca="1"/>
        <v>2777.2000000000071</v>
      </c>
    </row>
    <row r="458" spans="7:24" x14ac:dyDescent="0.2">
      <c r="G458" s="60">
        <v>437</v>
      </c>
      <c r="H458" s="82">
        <f ca="1"/>
        <v>0</v>
      </c>
      <c r="I458" s="82">
        <f t="shared" ca="1" si="37"/>
        <v>261</v>
      </c>
      <c r="J458" s="83">
        <f t="shared" ca="1" si="35"/>
        <v>0.597254004576659</v>
      </c>
      <c r="N458" s="60">
        <v>437</v>
      </c>
      <c r="O458" s="82">
        <f ca="1">IF(AND(N458&lt;=U$22,RAND()&lt;=$H$7),1,0)</f>
        <v>1</v>
      </c>
      <c r="P458" s="82">
        <f t="shared" ca="1" si="38"/>
        <v>1</v>
      </c>
      <c r="Q458" s="84">
        <f t="shared" ca="1" si="39"/>
        <v>1</v>
      </c>
      <c r="R458" s="82">
        <f t="shared" ca="1" si="36"/>
        <v>4</v>
      </c>
      <c r="S458" s="82">
        <f ca="1">SUM(R$22:$R458)</f>
        <v>1183.1999999999996</v>
      </c>
      <c r="W458" s="60">
        <v>437</v>
      </c>
      <c r="X458" s="82">
        <f ca="1"/>
        <v>2652.8000000000075</v>
      </c>
    </row>
    <row r="459" spans="7:24" x14ac:dyDescent="0.2">
      <c r="G459" s="60">
        <v>438</v>
      </c>
      <c r="H459" s="82">
        <f ca="1"/>
        <v>1</v>
      </c>
      <c r="I459" s="82">
        <f t="shared" ca="1" si="37"/>
        <v>262</v>
      </c>
      <c r="J459" s="83">
        <f t="shared" ca="1" si="35"/>
        <v>0.59817351598173518</v>
      </c>
      <c r="N459" s="60">
        <v>438</v>
      </c>
      <c r="O459" s="82">
        <f ca="1">IF(AND(N459&lt;=U$22,RAND()&lt;=$H$7),1,0)</f>
        <v>1</v>
      </c>
      <c r="P459" s="82">
        <f t="shared" ca="1" si="38"/>
        <v>2</v>
      </c>
      <c r="Q459" s="84">
        <f t="shared" ca="1" si="39"/>
        <v>1.1000000000000001</v>
      </c>
      <c r="R459" s="82">
        <f t="shared" ca="1" si="36"/>
        <v>4.4000000000000004</v>
      </c>
      <c r="S459" s="82">
        <f ca="1">SUM(R$22:$R459)</f>
        <v>1187.5999999999997</v>
      </c>
      <c r="W459" s="60">
        <v>438</v>
      </c>
      <c r="X459" s="82">
        <f ca="1"/>
        <v>2888.0000000000082</v>
      </c>
    </row>
    <row r="460" spans="7:24" x14ac:dyDescent="0.2">
      <c r="G460" s="60">
        <v>439</v>
      </c>
      <c r="H460" s="82">
        <f ca="1"/>
        <v>0</v>
      </c>
      <c r="I460" s="82">
        <f t="shared" ca="1" si="37"/>
        <v>262</v>
      </c>
      <c r="J460" s="83">
        <f t="shared" ca="1" si="35"/>
        <v>0.59681093394077445</v>
      </c>
      <c r="N460" s="60">
        <v>439</v>
      </c>
      <c r="O460" s="82">
        <f ca="1">IF(AND(N460&lt;=U$22,RAND()&lt;=$H$7),1,0)</f>
        <v>0</v>
      </c>
      <c r="P460" s="82">
        <f t="shared" ca="1" si="38"/>
        <v>0</v>
      </c>
      <c r="Q460" s="84">
        <f t="shared" ca="1" si="39"/>
        <v>1</v>
      </c>
      <c r="R460" s="82">
        <f t="shared" ca="1" si="36"/>
        <v>0</v>
      </c>
      <c r="S460" s="82">
        <f ca="1">SUM(R$22:$R460)</f>
        <v>1187.5999999999997</v>
      </c>
      <c r="W460" s="60">
        <v>439</v>
      </c>
      <c r="X460" s="82">
        <f ca="1"/>
        <v>2760.4000000000065</v>
      </c>
    </row>
    <row r="461" spans="7:24" x14ac:dyDescent="0.2">
      <c r="G461" s="60">
        <v>440</v>
      </c>
      <c r="H461" s="82">
        <f ca="1"/>
        <v>1</v>
      </c>
      <c r="I461" s="82">
        <f t="shared" ca="1" si="37"/>
        <v>263</v>
      </c>
      <c r="J461" s="83">
        <f t="shared" ca="1" si="35"/>
        <v>0.59772727272727277</v>
      </c>
      <c r="N461" s="60">
        <v>440</v>
      </c>
      <c r="O461" s="82">
        <f ca="1">IF(AND(N461&lt;=U$22,RAND()&lt;=$H$7),1,0)</f>
        <v>0</v>
      </c>
      <c r="P461" s="82">
        <f t="shared" ca="1" si="38"/>
        <v>0</v>
      </c>
      <c r="Q461" s="84">
        <f t="shared" ca="1" si="39"/>
        <v>1</v>
      </c>
      <c r="R461" s="82">
        <f t="shared" ca="1" si="36"/>
        <v>0</v>
      </c>
      <c r="S461" s="82">
        <f ca="1">SUM(R$22:$R461)</f>
        <v>1187.5999999999997</v>
      </c>
      <c r="W461" s="60">
        <v>440</v>
      </c>
      <c r="X461" s="82">
        <f ca="1"/>
        <v>2714.4000000000074</v>
      </c>
    </row>
    <row r="462" spans="7:24" x14ac:dyDescent="0.2">
      <c r="G462" s="60">
        <v>441</v>
      </c>
      <c r="H462" s="82">
        <f ca="1"/>
        <v>1</v>
      </c>
      <c r="I462" s="82">
        <f t="shared" ca="1" si="37"/>
        <v>264</v>
      </c>
      <c r="J462" s="83">
        <f t="shared" ca="1" si="35"/>
        <v>0.59863945578231292</v>
      </c>
      <c r="N462" s="60">
        <v>441</v>
      </c>
      <c r="O462" s="82">
        <f ca="1">IF(AND(N462&lt;=U$22,RAND()&lt;=$H$7),1,0)</f>
        <v>1</v>
      </c>
      <c r="P462" s="82">
        <f t="shared" ca="1" si="38"/>
        <v>0</v>
      </c>
      <c r="Q462" s="84">
        <f t="shared" ca="1" si="39"/>
        <v>1</v>
      </c>
      <c r="R462" s="82">
        <f t="shared" ca="1" si="36"/>
        <v>4</v>
      </c>
      <c r="S462" s="82">
        <f ca="1">SUM(R$22:$R462)</f>
        <v>1191.5999999999997</v>
      </c>
      <c r="W462" s="60">
        <v>441</v>
      </c>
      <c r="X462" s="82">
        <f ca="1"/>
        <v>2571.6000000000076</v>
      </c>
    </row>
    <row r="463" spans="7:24" x14ac:dyDescent="0.2">
      <c r="G463" s="60">
        <v>442</v>
      </c>
      <c r="H463" s="82">
        <f ca="1"/>
        <v>1</v>
      </c>
      <c r="I463" s="82">
        <f t="shared" ca="1" si="37"/>
        <v>265</v>
      </c>
      <c r="J463" s="83">
        <f t="shared" ca="1" si="35"/>
        <v>0.59954751131221717</v>
      </c>
      <c r="N463" s="60">
        <v>442</v>
      </c>
      <c r="O463" s="82">
        <f ca="1">IF(AND(N463&lt;=U$22,RAND()&lt;=$H$7),1,0)</f>
        <v>0</v>
      </c>
      <c r="P463" s="82">
        <f t="shared" ca="1" si="38"/>
        <v>0</v>
      </c>
      <c r="Q463" s="84">
        <f t="shared" ca="1" si="39"/>
        <v>1</v>
      </c>
      <c r="R463" s="82">
        <f t="shared" ca="1" si="36"/>
        <v>0</v>
      </c>
      <c r="S463" s="82">
        <f ca="1">SUM(R$22:$R463)</f>
        <v>1191.5999999999997</v>
      </c>
      <c r="W463" s="60">
        <v>442</v>
      </c>
      <c r="X463" s="82">
        <f ca="1"/>
        <v>2897.2000000000071</v>
      </c>
    </row>
    <row r="464" spans="7:24" x14ac:dyDescent="0.2">
      <c r="G464" s="60">
        <v>443</v>
      </c>
      <c r="H464" s="82">
        <f ca="1"/>
        <v>0</v>
      </c>
      <c r="I464" s="82">
        <f t="shared" ca="1" si="37"/>
        <v>265</v>
      </c>
      <c r="J464" s="83">
        <f t="shared" ca="1" si="35"/>
        <v>0.59819413092550788</v>
      </c>
      <c r="N464" s="60">
        <v>443</v>
      </c>
      <c r="O464" s="82">
        <f ca="1">IF(AND(N464&lt;=U$22,RAND()&lt;=$H$7),1,0)</f>
        <v>1</v>
      </c>
      <c r="P464" s="82">
        <f t="shared" ca="1" si="38"/>
        <v>0</v>
      </c>
      <c r="Q464" s="84">
        <f t="shared" ca="1" si="39"/>
        <v>1</v>
      </c>
      <c r="R464" s="82">
        <f t="shared" ca="1" si="36"/>
        <v>4</v>
      </c>
      <c r="S464" s="82">
        <f ca="1">SUM(R$22:$R464)</f>
        <v>1195.5999999999997</v>
      </c>
      <c r="W464" s="60">
        <v>443</v>
      </c>
      <c r="X464" s="82">
        <f ca="1"/>
        <v>2780.8000000000065</v>
      </c>
    </row>
    <row r="465" spans="7:24" x14ac:dyDescent="0.2">
      <c r="G465" s="60">
        <v>444</v>
      </c>
      <c r="H465" s="82">
        <f ca="1"/>
        <v>1</v>
      </c>
      <c r="I465" s="82">
        <f t="shared" ca="1" si="37"/>
        <v>266</v>
      </c>
      <c r="J465" s="83">
        <f t="shared" ca="1" si="35"/>
        <v>0.59909909909909909</v>
      </c>
      <c r="N465" s="60">
        <v>444</v>
      </c>
      <c r="O465" s="82">
        <f ca="1">IF(AND(N465&lt;=U$22,RAND()&lt;=$H$7),1,0)</f>
        <v>0</v>
      </c>
      <c r="P465" s="82">
        <f t="shared" ca="1" si="38"/>
        <v>0</v>
      </c>
      <c r="Q465" s="84">
        <f t="shared" ca="1" si="39"/>
        <v>1</v>
      </c>
      <c r="R465" s="82">
        <f t="shared" ca="1" si="36"/>
        <v>0</v>
      </c>
      <c r="S465" s="82">
        <f ca="1">SUM(R$22:$R465)</f>
        <v>1195.5999999999997</v>
      </c>
      <c r="W465" s="60">
        <v>444</v>
      </c>
      <c r="X465" s="82">
        <f ca="1"/>
        <v>2604.4000000000042</v>
      </c>
    </row>
    <row r="466" spans="7:24" x14ac:dyDescent="0.2">
      <c r="G466" s="60">
        <v>445</v>
      </c>
      <c r="H466" s="82">
        <f ca="1"/>
        <v>1</v>
      </c>
      <c r="I466" s="82">
        <f t="shared" ca="1" si="37"/>
        <v>267</v>
      </c>
      <c r="J466" s="83">
        <f t="shared" ca="1" si="35"/>
        <v>0.6</v>
      </c>
      <c r="N466" s="60">
        <v>445</v>
      </c>
      <c r="O466" s="82">
        <f ca="1">IF(AND(N466&lt;=U$22,RAND()&lt;=$H$7),1,0)</f>
        <v>1</v>
      </c>
      <c r="P466" s="82">
        <f t="shared" ca="1" si="38"/>
        <v>0</v>
      </c>
      <c r="Q466" s="84">
        <f t="shared" ca="1" si="39"/>
        <v>1</v>
      </c>
      <c r="R466" s="82">
        <f t="shared" ca="1" si="36"/>
        <v>4</v>
      </c>
      <c r="S466" s="82">
        <f ca="1">SUM(R$22:$R466)</f>
        <v>1199.5999999999997</v>
      </c>
      <c r="W466" s="60">
        <v>445</v>
      </c>
      <c r="X466" s="82">
        <f ca="1"/>
        <v>2747.2000000000071</v>
      </c>
    </row>
    <row r="467" spans="7:24" x14ac:dyDescent="0.2">
      <c r="G467" s="60">
        <v>446</v>
      </c>
      <c r="H467" s="82">
        <f ca="1"/>
        <v>0</v>
      </c>
      <c r="I467" s="82">
        <f t="shared" ca="1" si="37"/>
        <v>267</v>
      </c>
      <c r="J467" s="83">
        <f t="shared" ca="1" si="35"/>
        <v>0.59865470852017932</v>
      </c>
      <c r="N467" s="60">
        <v>446</v>
      </c>
      <c r="O467" s="82">
        <f ca="1">IF(AND(N467&lt;=U$22,RAND()&lt;=$H$7),1,0)</f>
        <v>0</v>
      </c>
      <c r="P467" s="82">
        <f t="shared" ca="1" si="38"/>
        <v>0</v>
      </c>
      <c r="Q467" s="84">
        <f t="shared" ca="1" si="39"/>
        <v>1</v>
      </c>
      <c r="R467" s="82">
        <f t="shared" ca="1" si="36"/>
        <v>0</v>
      </c>
      <c r="S467" s="82">
        <f ca="1">SUM(R$22:$R467)</f>
        <v>1199.5999999999997</v>
      </c>
      <c r="W467" s="60">
        <v>446</v>
      </c>
      <c r="X467" s="82">
        <f ca="1"/>
        <v>2709.6000000000063</v>
      </c>
    </row>
    <row r="468" spans="7:24" x14ac:dyDescent="0.2">
      <c r="G468" s="60">
        <v>447</v>
      </c>
      <c r="H468" s="82">
        <f ca="1"/>
        <v>0</v>
      </c>
      <c r="I468" s="82">
        <f t="shared" ca="1" si="37"/>
        <v>267</v>
      </c>
      <c r="J468" s="83">
        <f t="shared" ca="1" si="35"/>
        <v>0.59731543624161076</v>
      </c>
      <c r="N468" s="60">
        <v>447</v>
      </c>
      <c r="O468" s="82">
        <f ca="1">IF(AND(N468&lt;=U$22,RAND()&lt;=$H$7),1,0)</f>
        <v>0</v>
      </c>
      <c r="P468" s="82">
        <f t="shared" ca="1" si="38"/>
        <v>0</v>
      </c>
      <c r="Q468" s="84">
        <f t="shared" ca="1" si="39"/>
        <v>1</v>
      </c>
      <c r="R468" s="82">
        <f t="shared" ca="1" si="36"/>
        <v>0</v>
      </c>
      <c r="S468" s="82">
        <f ca="1">SUM(R$22:$R468)</f>
        <v>1199.5999999999997</v>
      </c>
      <c r="W468" s="60">
        <v>447</v>
      </c>
      <c r="X468" s="82">
        <f ca="1"/>
        <v>2852.0000000000086</v>
      </c>
    </row>
    <row r="469" spans="7:24" x14ac:dyDescent="0.2">
      <c r="G469" s="60">
        <v>448</v>
      </c>
      <c r="H469" s="82">
        <f ca="1"/>
        <v>1</v>
      </c>
      <c r="I469" s="82">
        <f t="shared" ca="1" si="37"/>
        <v>268</v>
      </c>
      <c r="J469" s="83">
        <f t="shared" ca="1" si="35"/>
        <v>0.5982142857142857</v>
      </c>
      <c r="N469" s="60">
        <v>448</v>
      </c>
      <c r="O469" s="82">
        <f ca="1">IF(AND(N469&lt;=U$22,RAND()&lt;=$H$7),1,0)</f>
        <v>0</v>
      </c>
      <c r="P469" s="82">
        <f t="shared" ca="1" si="38"/>
        <v>0</v>
      </c>
      <c r="Q469" s="84">
        <f t="shared" ca="1" si="39"/>
        <v>1</v>
      </c>
      <c r="R469" s="82">
        <f t="shared" ca="1" si="36"/>
        <v>0</v>
      </c>
      <c r="S469" s="82">
        <f ca="1">SUM(R$22:$R469)</f>
        <v>1199.5999999999997</v>
      </c>
      <c r="W469" s="60">
        <v>448</v>
      </c>
      <c r="X469" s="82">
        <f ca="1"/>
        <v>2580.4000000000065</v>
      </c>
    </row>
    <row r="470" spans="7:24" x14ac:dyDescent="0.2">
      <c r="G470" s="60">
        <v>449</v>
      </c>
      <c r="H470" s="82">
        <f ca="1"/>
        <v>0</v>
      </c>
      <c r="I470" s="82">
        <f t="shared" ca="1" si="37"/>
        <v>268</v>
      </c>
      <c r="J470" s="83">
        <f t="shared" ca="1" si="35"/>
        <v>0.5968819599109132</v>
      </c>
      <c r="N470" s="60">
        <v>449</v>
      </c>
      <c r="O470" s="82">
        <f ca="1">IF(AND(N470&lt;=U$22,RAND()&lt;=$H$7),1,0)</f>
        <v>0</v>
      </c>
      <c r="P470" s="82">
        <f t="shared" ca="1" si="38"/>
        <v>0</v>
      </c>
      <c r="Q470" s="84">
        <f t="shared" ca="1" si="39"/>
        <v>1</v>
      </c>
      <c r="R470" s="82">
        <f t="shared" ca="1" si="36"/>
        <v>0</v>
      </c>
      <c r="S470" s="82">
        <f ca="1">SUM(R$22:$R470)</f>
        <v>1199.5999999999997</v>
      </c>
      <c r="W470" s="60">
        <v>449</v>
      </c>
      <c r="X470" s="82">
        <f ca="1"/>
        <v>2696.800000000007</v>
      </c>
    </row>
    <row r="471" spans="7:24" x14ac:dyDescent="0.2">
      <c r="G471" s="60">
        <v>450</v>
      </c>
      <c r="H471" s="82">
        <f ca="1"/>
        <v>1</v>
      </c>
      <c r="I471" s="82">
        <f t="shared" ca="1" si="37"/>
        <v>269</v>
      </c>
      <c r="J471" s="83">
        <f t="shared" ref="J471:J534" ca="1" si="40">I471/G471</f>
        <v>0.59777777777777774</v>
      </c>
      <c r="N471" s="60">
        <v>450</v>
      </c>
      <c r="O471" s="82">
        <f ca="1">IF(AND(N471&lt;=U$22,RAND()&lt;=$H$7),1,0)</f>
        <v>1</v>
      </c>
      <c r="P471" s="82">
        <f t="shared" ca="1" si="38"/>
        <v>0</v>
      </c>
      <c r="Q471" s="84">
        <f t="shared" ca="1" si="39"/>
        <v>1</v>
      </c>
      <c r="R471" s="82">
        <f t="shared" ref="R471:R534" ca="1" si="41">Q471*$I$7*O471</f>
        <v>4</v>
      </c>
      <c r="S471" s="82">
        <f ca="1">SUM(R$22:$R471)</f>
        <v>1203.5999999999997</v>
      </c>
      <c r="W471" s="60">
        <v>450</v>
      </c>
      <c r="X471" s="82">
        <f ca="1"/>
        <v>2865.6000000000072</v>
      </c>
    </row>
    <row r="472" spans="7:24" x14ac:dyDescent="0.2">
      <c r="G472" s="60">
        <v>451</v>
      </c>
      <c r="H472" s="82">
        <f ca="1"/>
        <v>1</v>
      </c>
      <c r="I472" s="82">
        <f t="shared" ref="I472:I535" ca="1" si="42">H472+I471</f>
        <v>270</v>
      </c>
      <c r="J472" s="83">
        <f t="shared" ca="1" si="40"/>
        <v>0.59866962305986693</v>
      </c>
      <c r="N472" s="60">
        <v>451</v>
      </c>
      <c r="O472" s="82">
        <f ca="1">IF(AND(N472&lt;=U$22,RAND()&lt;=$H$7),1,0)</f>
        <v>0</v>
      </c>
      <c r="P472" s="82">
        <f t="shared" ref="P472:P535" ca="1" si="43">IF(AND(O471=1,O472=1),P471+1,0)</f>
        <v>0</v>
      </c>
      <c r="Q472" s="84">
        <f t="shared" ref="Q472:Q535" ca="1" si="44">IF(P472&gt;1,1+(P472-1)*0.1,1)</f>
        <v>1</v>
      </c>
      <c r="R472" s="82">
        <f t="shared" ca="1" si="41"/>
        <v>0</v>
      </c>
      <c r="S472" s="82">
        <f ca="1">SUM(R$22:$R472)</f>
        <v>1203.5999999999997</v>
      </c>
      <c r="W472" s="60">
        <v>451</v>
      </c>
      <c r="X472" s="82">
        <f ca="1"/>
        <v>2832.8000000000065</v>
      </c>
    </row>
    <row r="473" spans="7:24" x14ac:dyDescent="0.2">
      <c r="G473" s="60">
        <v>452</v>
      </c>
      <c r="H473" s="82">
        <f ca="1"/>
        <v>1</v>
      </c>
      <c r="I473" s="82">
        <f t="shared" ca="1" si="42"/>
        <v>271</v>
      </c>
      <c r="J473" s="83">
        <f t="shared" ca="1" si="40"/>
        <v>0.59955752212389379</v>
      </c>
      <c r="N473" s="60">
        <v>452</v>
      </c>
      <c r="O473" s="82">
        <f ca="1">IF(AND(N473&lt;=U$22,RAND()&lt;=$H$7),1,0)</f>
        <v>0</v>
      </c>
      <c r="P473" s="82">
        <f t="shared" ca="1" si="43"/>
        <v>0</v>
      </c>
      <c r="Q473" s="84">
        <f t="shared" ca="1" si="44"/>
        <v>1</v>
      </c>
      <c r="R473" s="82">
        <f t="shared" ca="1" si="41"/>
        <v>0</v>
      </c>
      <c r="S473" s="82">
        <f ca="1">SUM(R$22:$R473)</f>
        <v>1203.5999999999997</v>
      </c>
      <c r="W473" s="60">
        <v>452</v>
      </c>
      <c r="X473" s="82">
        <f ca="1"/>
        <v>2729.2000000000071</v>
      </c>
    </row>
    <row r="474" spans="7:24" x14ac:dyDescent="0.2">
      <c r="G474" s="60">
        <v>453</v>
      </c>
      <c r="H474" s="82">
        <f ca="1"/>
        <v>1</v>
      </c>
      <c r="I474" s="82">
        <f t="shared" ca="1" si="42"/>
        <v>272</v>
      </c>
      <c r="J474" s="83">
        <f t="shared" ca="1" si="40"/>
        <v>0.60044150110375272</v>
      </c>
      <c r="N474" s="60">
        <v>453</v>
      </c>
      <c r="O474" s="82">
        <f ca="1">IF(AND(N474&lt;=U$22,RAND()&lt;=$H$7),1,0)</f>
        <v>0</v>
      </c>
      <c r="P474" s="82">
        <f t="shared" ca="1" si="43"/>
        <v>0</v>
      </c>
      <c r="Q474" s="84">
        <f t="shared" ca="1" si="44"/>
        <v>1</v>
      </c>
      <c r="R474" s="82">
        <f t="shared" ca="1" si="41"/>
        <v>0</v>
      </c>
      <c r="S474" s="82">
        <f ca="1">SUM(R$22:$R474)</f>
        <v>1203.5999999999997</v>
      </c>
      <c r="W474" s="60">
        <v>453</v>
      </c>
      <c r="X474" s="82">
        <f ca="1"/>
        <v>2668.8000000000075</v>
      </c>
    </row>
    <row r="475" spans="7:24" x14ac:dyDescent="0.2">
      <c r="G475" s="60">
        <v>454</v>
      </c>
      <c r="H475" s="82">
        <f ca="1"/>
        <v>0</v>
      </c>
      <c r="I475" s="82">
        <f t="shared" ca="1" si="42"/>
        <v>272</v>
      </c>
      <c r="J475" s="83">
        <f t="shared" ca="1" si="40"/>
        <v>0.59911894273127753</v>
      </c>
      <c r="N475" s="60">
        <v>454</v>
      </c>
      <c r="O475" s="82">
        <f ca="1">IF(AND(N475&lt;=U$22,RAND()&lt;=$H$7),1,0)</f>
        <v>0</v>
      </c>
      <c r="P475" s="82">
        <f t="shared" ca="1" si="43"/>
        <v>0</v>
      </c>
      <c r="Q475" s="84">
        <f t="shared" ca="1" si="44"/>
        <v>1</v>
      </c>
      <c r="R475" s="82">
        <f t="shared" ca="1" si="41"/>
        <v>0</v>
      </c>
      <c r="S475" s="82">
        <f ca="1">SUM(R$22:$R475)</f>
        <v>1203.5999999999997</v>
      </c>
      <c r="W475" s="60">
        <v>454</v>
      </c>
      <c r="X475" s="82">
        <f ca="1"/>
        <v>2746.0000000000077</v>
      </c>
    </row>
    <row r="476" spans="7:24" x14ac:dyDescent="0.2">
      <c r="G476" s="60">
        <v>455</v>
      </c>
      <c r="H476" s="82">
        <f ca="1"/>
        <v>1</v>
      </c>
      <c r="I476" s="82">
        <f t="shared" ca="1" si="42"/>
        <v>273</v>
      </c>
      <c r="J476" s="83">
        <f t="shared" ca="1" si="40"/>
        <v>0.6</v>
      </c>
      <c r="N476" s="60">
        <v>455</v>
      </c>
      <c r="O476" s="82">
        <f ca="1">IF(AND(N476&lt;=U$22,RAND()&lt;=$H$7),1,0)</f>
        <v>1</v>
      </c>
      <c r="P476" s="82">
        <f t="shared" ca="1" si="43"/>
        <v>0</v>
      </c>
      <c r="Q476" s="84">
        <f t="shared" ca="1" si="44"/>
        <v>1</v>
      </c>
      <c r="R476" s="82">
        <f t="shared" ca="1" si="41"/>
        <v>4</v>
      </c>
      <c r="S476" s="82">
        <f ca="1">SUM(R$22:$R476)</f>
        <v>1207.5999999999997</v>
      </c>
      <c r="W476" s="60">
        <v>455</v>
      </c>
      <c r="X476" s="82">
        <f ca="1"/>
        <v>2720.4000000000078</v>
      </c>
    </row>
    <row r="477" spans="7:24" x14ac:dyDescent="0.2">
      <c r="G477" s="60">
        <v>456</v>
      </c>
      <c r="H477" s="82">
        <f ca="1"/>
        <v>0</v>
      </c>
      <c r="I477" s="82">
        <f t="shared" ca="1" si="42"/>
        <v>273</v>
      </c>
      <c r="J477" s="83">
        <f t="shared" ca="1" si="40"/>
        <v>0.59868421052631582</v>
      </c>
      <c r="N477" s="60">
        <v>456</v>
      </c>
      <c r="O477" s="82">
        <f ca="1">IF(AND(N477&lt;=U$22,RAND()&lt;=$H$7),1,0)</f>
        <v>1</v>
      </c>
      <c r="P477" s="82">
        <f t="shared" ca="1" si="43"/>
        <v>1</v>
      </c>
      <c r="Q477" s="84">
        <f t="shared" ca="1" si="44"/>
        <v>1</v>
      </c>
      <c r="R477" s="82">
        <f t="shared" ca="1" si="41"/>
        <v>4</v>
      </c>
      <c r="S477" s="82">
        <f ca="1">SUM(R$22:$R477)</f>
        <v>1211.5999999999997</v>
      </c>
      <c r="W477" s="60">
        <v>456</v>
      </c>
      <c r="X477" s="82">
        <f ca="1"/>
        <v>2717.6000000000058</v>
      </c>
    </row>
    <row r="478" spans="7:24" x14ac:dyDescent="0.2">
      <c r="G478" s="60">
        <v>457</v>
      </c>
      <c r="H478" s="82">
        <f ca="1"/>
        <v>0</v>
      </c>
      <c r="I478" s="82">
        <f t="shared" ca="1" si="42"/>
        <v>273</v>
      </c>
      <c r="J478" s="83">
        <f t="shared" ca="1" si="40"/>
        <v>0.59737417943107218</v>
      </c>
      <c r="N478" s="60">
        <v>457</v>
      </c>
      <c r="O478" s="82">
        <f ca="1">IF(AND(N478&lt;=U$22,RAND()&lt;=$H$7),1,0)</f>
        <v>1</v>
      </c>
      <c r="P478" s="82">
        <f t="shared" ca="1" si="43"/>
        <v>2</v>
      </c>
      <c r="Q478" s="84">
        <f t="shared" ca="1" si="44"/>
        <v>1.1000000000000001</v>
      </c>
      <c r="R478" s="82">
        <f t="shared" ca="1" si="41"/>
        <v>4.4000000000000004</v>
      </c>
      <c r="S478" s="82">
        <f ca="1">SUM(R$22:$R478)</f>
        <v>1215.9999999999998</v>
      </c>
      <c r="W478" s="60">
        <v>457</v>
      </c>
      <c r="X478" s="82">
        <f ca="1"/>
        <v>2809.2000000000089</v>
      </c>
    </row>
    <row r="479" spans="7:24" x14ac:dyDescent="0.2">
      <c r="G479" s="60">
        <v>458</v>
      </c>
      <c r="H479" s="82">
        <f ca="1"/>
        <v>1</v>
      </c>
      <c r="I479" s="82">
        <f t="shared" ca="1" si="42"/>
        <v>274</v>
      </c>
      <c r="J479" s="83">
        <f t="shared" ca="1" si="40"/>
        <v>0.59825327510917026</v>
      </c>
      <c r="N479" s="60">
        <v>458</v>
      </c>
      <c r="O479" s="82">
        <f ca="1">IF(AND(N479&lt;=U$22,RAND()&lt;=$H$7),1,0)</f>
        <v>1</v>
      </c>
      <c r="P479" s="82">
        <f t="shared" ca="1" si="43"/>
        <v>3</v>
      </c>
      <c r="Q479" s="84">
        <f t="shared" ca="1" si="44"/>
        <v>1.2</v>
      </c>
      <c r="R479" s="82">
        <f t="shared" ca="1" si="41"/>
        <v>4.8</v>
      </c>
      <c r="S479" s="82">
        <f ca="1">SUM(R$22:$R479)</f>
        <v>1220.7999999999997</v>
      </c>
      <c r="W479" s="60">
        <v>458</v>
      </c>
      <c r="X479" s="82">
        <f ca="1"/>
        <v>2867.6000000000063</v>
      </c>
    </row>
    <row r="480" spans="7:24" x14ac:dyDescent="0.2">
      <c r="G480" s="60">
        <v>459</v>
      </c>
      <c r="H480" s="82">
        <f ca="1"/>
        <v>1</v>
      </c>
      <c r="I480" s="82">
        <f t="shared" ca="1" si="42"/>
        <v>275</v>
      </c>
      <c r="J480" s="83">
        <f t="shared" ca="1" si="40"/>
        <v>0.59912854030501095</v>
      </c>
      <c r="N480" s="60">
        <v>459</v>
      </c>
      <c r="O480" s="82">
        <f ca="1">IF(AND(N480&lt;=U$22,RAND()&lt;=$H$7),1,0)</f>
        <v>0</v>
      </c>
      <c r="P480" s="82">
        <f t="shared" ca="1" si="43"/>
        <v>0</v>
      </c>
      <c r="Q480" s="84">
        <f t="shared" ca="1" si="44"/>
        <v>1</v>
      </c>
      <c r="R480" s="82">
        <f t="shared" ca="1" si="41"/>
        <v>0</v>
      </c>
      <c r="S480" s="82">
        <f ca="1">SUM(R$22:$R480)</f>
        <v>1220.7999999999997</v>
      </c>
      <c r="W480" s="60">
        <v>459</v>
      </c>
      <c r="X480" s="82">
        <f ca="1"/>
        <v>2602.400000000006</v>
      </c>
    </row>
    <row r="481" spans="7:24" x14ac:dyDescent="0.2">
      <c r="G481" s="60">
        <v>460</v>
      </c>
      <c r="H481" s="82">
        <f ca="1"/>
        <v>1</v>
      </c>
      <c r="I481" s="82">
        <f t="shared" ca="1" si="42"/>
        <v>276</v>
      </c>
      <c r="J481" s="83">
        <f t="shared" ca="1" si="40"/>
        <v>0.6</v>
      </c>
      <c r="N481" s="60">
        <v>460</v>
      </c>
      <c r="O481" s="82">
        <f ca="1">IF(AND(N481&lt;=U$22,RAND()&lt;=$H$7),1,0)</f>
        <v>0</v>
      </c>
      <c r="P481" s="82">
        <f t="shared" ca="1" si="43"/>
        <v>0</v>
      </c>
      <c r="Q481" s="84">
        <f t="shared" ca="1" si="44"/>
        <v>1</v>
      </c>
      <c r="R481" s="82">
        <f t="shared" ca="1" si="41"/>
        <v>0</v>
      </c>
      <c r="S481" s="82">
        <f ca="1">SUM(R$22:$R481)</f>
        <v>1220.7999999999997</v>
      </c>
      <c r="W481" s="60">
        <v>460</v>
      </c>
      <c r="X481" s="82">
        <f ca="1"/>
        <v>2499.2000000000053</v>
      </c>
    </row>
    <row r="482" spans="7:24" x14ac:dyDescent="0.2">
      <c r="G482" s="60">
        <v>461</v>
      </c>
      <c r="H482" s="82">
        <f ca="1"/>
        <v>0</v>
      </c>
      <c r="I482" s="82">
        <f t="shared" ca="1" si="42"/>
        <v>276</v>
      </c>
      <c r="J482" s="83">
        <f t="shared" ca="1" si="40"/>
        <v>0.59869848156182215</v>
      </c>
      <c r="N482" s="60">
        <v>461</v>
      </c>
      <c r="O482" s="82">
        <f ca="1">IF(AND(N482&lt;=U$22,RAND()&lt;=$H$7),1,0)</f>
        <v>0</v>
      </c>
      <c r="P482" s="82">
        <f t="shared" ca="1" si="43"/>
        <v>0</v>
      </c>
      <c r="Q482" s="84">
        <f t="shared" ca="1" si="44"/>
        <v>1</v>
      </c>
      <c r="R482" s="82">
        <f t="shared" ca="1" si="41"/>
        <v>0</v>
      </c>
      <c r="S482" s="82">
        <f ca="1">SUM(R$22:$R482)</f>
        <v>1220.7999999999997</v>
      </c>
      <c r="W482" s="60">
        <v>461</v>
      </c>
      <c r="X482" s="82">
        <f ca="1"/>
        <v>2875.6000000000085</v>
      </c>
    </row>
    <row r="483" spans="7:24" x14ac:dyDescent="0.2">
      <c r="G483" s="60">
        <v>462</v>
      </c>
      <c r="H483" s="82">
        <f ca="1"/>
        <v>0</v>
      </c>
      <c r="I483" s="82">
        <f t="shared" ca="1" si="42"/>
        <v>276</v>
      </c>
      <c r="J483" s="83">
        <f t="shared" ca="1" si="40"/>
        <v>0.59740259740259738</v>
      </c>
      <c r="N483" s="60">
        <v>462</v>
      </c>
      <c r="O483" s="82">
        <f ca="1">IF(AND(N483&lt;=U$22,RAND()&lt;=$H$7),1,0)</f>
        <v>1</v>
      </c>
      <c r="P483" s="82">
        <f t="shared" ca="1" si="43"/>
        <v>0</v>
      </c>
      <c r="Q483" s="84">
        <f t="shared" ca="1" si="44"/>
        <v>1</v>
      </c>
      <c r="R483" s="82">
        <f t="shared" ca="1" si="41"/>
        <v>4</v>
      </c>
      <c r="S483" s="82">
        <f ca="1">SUM(R$22:$R483)</f>
        <v>1224.7999999999997</v>
      </c>
      <c r="W483" s="60">
        <v>462</v>
      </c>
      <c r="X483" s="82">
        <f ca="1"/>
        <v>2586.400000000006</v>
      </c>
    </row>
    <row r="484" spans="7:24" x14ac:dyDescent="0.2">
      <c r="G484" s="60">
        <v>463</v>
      </c>
      <c r="H484" s="82">
        <f ca="1"/>
        <v>0</v>
      </c>
      <c r="I484" s="82">
        <f t="shared" ca="1" si="42"/>
        <v>276</v>
      </c>
      <c r="J484" s="83">
        <f t="shared" ca="1" si="40"/>
        <v>0.59611231101511875</v>
      </c>
      <c r="N484" s="60">
        <v>463</v>
      </c>
      <c r="O484" s="82">
        <f ca="1">IF(AND(N484&lt;=U$22,RAND()&lt;=$H$7),1,0)</f>
        <v>1</v>
      </c>
      <c r="P484" s="82">
        <f t="shared" ca="1" si="43"/>
        <v>1</v>
      </c>
      <c r="Q484" s="84">
        <f t="shared" ca="1" si="44"/>
        <v>1</v>
      </c>
      <c r="R484" s="82">
        <f t="shared" ca="1" si="41"/>
        <v>4</v>
      </c>
      <c r="S484" s="82">
        <f ca="1">SUM(R$22:$R484)</f>
        <v>1228.7999999999997</v>
      </c>
      <c r="W484" s="60">
        <v>463</v>
      </c>
      <c r="X484" s="82">
        <f ca="1"/>
        <v>2741.2000000000075</v>
      </c>
    </row>
    <row r="485" spans="7:24" x14ac:dyDescent="0.2">
      <c r="G485" s="60">
        <v>464</v>
      </c>
      <c r="H485" s="82">
        <f ca="1"/>
        <v>0</v>
      </c>
      <c r="I485" s="82">
        <f t="shared" ca="1" si="42"/>
        <v>276</v>
      </c>
      <c r="J485" s="83">
        <f t="shared" ca="1" si="40"/>
        <v>0.59482758620689657</v>
      </c>
      <c r="N485" s="60">
        <v>464</v>
      </c>
      <c r="O485" s="82">
        <f ca="1">IF(AND(N485&lt;=U$22,RAND()&lt;=$H$7),1,0)</f>
        <v>1</v>
      </c>
      <c r="P485" s="82">
        <f t="shared" ca="1" si="43"/>
        <v>2</v>
      </c>
      <c r="Q485" s="84">
        <f t="shared" ca="1" si="44"/>
        <v>1.1000000000000001</v>
      </c>
      <c r="R485" s="82">
        <f t="shared" ca="1" si="41"/>
        <v>4.4000000000000004</v>
      </c>
      <c r="S485" s="82">
        <f ca="1">SUM(R$22:$R485)</f>
        <v>1233.1999999999998</v>
      </c>
      <c r="W485" s="60">
        <v>464</v>
      </c>
      <c r="X485" s="82">
        <f ca="1"/>
        <v>2652.0000000000068</v>
      </c>
    </row>
    <row r="486" spans="7:24" x14ac:dyDescent="0.2">
      <c r="G486" s="60">
        <v>465</v>
      </c>
      <c r="H486" s="82">
        <f ca="1"/>
        <v>1</v>
      </c>
      <c r="I486" s="82">
        <f t="shared" ca="1" si="42"/>
        <v>277</v>
      </c>
      <c r="J486" s="83">
        <f t="shared" ca="1" si="40"/>
        <v>0.5956989247311828</v>
      </c>
      <c r="N486" s="60">
        <v>465</v>
      </c>
      <c r="O486" s="82">
        <f ca="1">IF(AND(N486&lt;=U$22,RAND()&lt;=$H$7),1,0)</f>
        <v>0</v>
      </c>
      <c r="P486" s="82">
        <f t="shared" ca="1" si="43"/>
        <v>0</v>
      </c>
      <c r="Q486" s="84">
        <f t="shared" ca="1" si="44"/>
        <v>1</v>
      </c>
      <c r="R486" s="82">
        <f t="shared" ca="1" si="41"/>
        <v>0</v>
      </c>
      <c r="S486" s="82">
        <f ca="1">SUM(R$22:$R486)</f>
        <v>1233.1999999999998</v>
      </c>
      <c r="W486" s="60">
        <v>465</v>
      </c>
      <c r="X486" s="82">
        <f ca="1"/>
        <v>2768.0000000000073</v>
      </c>
    </row>
    <row r="487" spans="7:24" x14ac:dyDescent="0.2">
      <c r="G487" s="60">
        <v>466</v>
      </c>
      <c r="H487" s="82">
        <f ca="1"/>
        <v>1</v>
      </c>
      <c r="I487" s="82">
        <f t="shared" ca="1" si="42"/>
        <v>278</v>
      </c>
      <c r="J487" s="83">
        <f t="shared" ca="1" si="40"/>
        <v>0.59656652360515017</v>
      </c>
      <c r="N487" s="60">
        <v>466</v>
      </c>
      <c r="O487" s="82">
        <f ca="1">IF(AND(N487&lt;=U$22,RAND()&lt;=$H$7),1,0)</f>
        <v>0</v>
      </c>
      <c r="P487" s="82">
        <f t="shared" ca="1" si="43"/>
        <v>0</v>
      </c>
      <c r="Q487" s="84">
        <f t="shared" ca="1" si="44"/>
        <v>1</v>
      </c>
      <c r="R487" s="82">
        <f t="shared" ca="1" si="41"/>
        <v>0</v>
      </c>
      <c r="S487" s="82">
        <f ca="1">SUM(R$22:$R487)</f>
        <v>1233.1999999999998</v>
      </c>
      <c r="W487" s="60">
        <v>466</v>
      </c>
      <c r="X487" s="82">
        <f ca="1"/>
        <v>2717.6000000000058</v>
      </c>
    </row>
    <row r="488" spans="7:24" x14ac:dyDescent="0.2">
      <c r="G488" s="60">
        <v>467</v>
      </c>
      <c r="H488" s="82">
        <f ca="1"/>
        <v>0</v>
      </c>
      <c r="I488" s="82">
        <f t="shared" ca="1" si="42"/>
        <v>278</v>
      </c>
      <c r="J488" s="83">
        <f t="shared" ca="1" si="40"/>
        <v>0.59528907922912211</v>
      </c>
      <c r="N488" s="60">
        <v>467</v>
      </c>
      <c r="O488" s="82">
        <f ca="1">IF(AND(N488&lt;=U$22,RAND()&lt;=$H$7),1,0)</f>
        <v>0</v>
      </c>
      <c r="P488" s="82">
        <f t="shared" ca="1" si="43"/>
        <v>0</v>
      </c>
      <c r="Q488" s="84">
        <f t="shared" ca="1" si="44"/>
        <v>1</v>
      </c>
      <c r="R488" s="82">
        <f t="shared" ca="1" si="41"/>
        <v>0</v>
      </c>
      <c r="S488" s="82">
        <f ca="1">SUM(R$22:$R488)</f>
        <v>1233.1999999999998</v>
      </c>
      <c r="W488" s="60">
        <v>467</v>
      </c>
      <c r="X488" s="82">
        <f ca="1"/>
        <v>2666.8000000000052</v>
      </c>
    </row>
    <row r="489" spans="7:24" x14ac:dyDescent="0.2">
      <c r="G489" s="60">
        <v>468</v>
      </c>
      <c r="H489" s="82">
        <f ca="1"/>
        <v>1</v>
      </c>
      <c r="I489" s="82">
        <f t="shared" ca="1" si="42"/>
        <v>279</v>
      </c>
      <c r="J489" s="83">
        <f t="shared" ca="1" si="40"/>
        <v>0.59615384615384615</v>
      </c>
      <c r="N489" s="60">
        <v>468</v>
      </c>
      <c r="O489" s="82">
        <f ca="1">IF(AND(N489&lt;=U$22,RAND()&lt;=$H$7),1,0)</f>
        <v>0</v>
      </c>
      <c r="P489" s="82">
        <f t="shared" ca="1" si="43"/>
        <v>0</v>
      </c>
      <c r="Q489" s="84">
        <f t="shared" ca="1" si="44"/>
        <v>1</v>
      </c>
      <c r="R489" s="82">
        <f t="shared" ca="1" si="41"/>
        <v>0</v>
      </c>
      <c r="S489" s="82">
        <f ca="1">SUM(R$22:$R489)</f>
        <v>1233.1999999999998</v>
      </c>
      <c r="W489" s="60">
        <v>468</v>
      </c>
      <c r="X489" s="82">
        <f ca="1"/>
        <v>2626.4000000000074</v>
      </c>
    </row>
    <row r="490" spans="7:24" x14ac:dyDescent="0.2">
      <c r="G490" s="60">
        <v>469</v>
      </c>
      <c r="H490" s="82">
        <f ca="1"/>
        <v>0</v>
      </c>
      <c r="I490" s="82">
        <f t="shared" ca="1" si="42"/>
        <v>279</v>
      </c>
      <c r="J490" s="83">
        <f t="shared" ca="1" si="40"/>
        <v>0.59488272921108742</v>
      </c>
      <c r="N490" s="60">
        <v>469</v>
      </c>
      <c r="O490" s="82">
        <f ca="1">IF(AND(N490&lt;=U$22,RAND()&lt;=$H$7),1,0)</f>
        <v>1</v>
      </c>
      <c r="P490" s="82">
        <f t="shared" ca="1" si="43"/>
        <v>0</v>
      </c>
      <c r="Q490" s="84">
        <f t="shared" ca="1" si="44"/>
        <v>1</v>
      </c>
      <c r="R490" s="82">
        <f t="shared" ca="1" si="41"/>
        <v>4</v>
      </c>
      <c r="S490" s="82">
        <f ca="1">SUM(R$22:$R490)</f>
        <v>1237.1999999999998</v>
      </c>
      <c r="W490" s="60">
        <v>469</v>
      </c>
      <c r="X490" s="82">
        <f ca="1"/>
        <v>2794.400000000006</v>
      </c>
    </row>
    <row r="491" spans="7:24" x14ac:dyDescent="0.2">
      <c r="G491" s="60">
        <v>470</v>
      </c>
      <c r="H491" s="82">
        <f ca="1"/>
        <v>1</v>
      </c>
      <c r="I491" s="82">
        <f t="shared" ca="1" si="42"/>
        <v>280</v>
      </c>
      <c r="J491" s="83">
        <f t="shared" ca="1" si="40"/>
        <v>0.5957446808510638</v>
      </c>
      <c r="N491" s="60">
        <v>470</v>
      </c>
      <c r="O491" s="82">
        <f ca="1">IF(AND(N491&lt;=U$22,RAND()&lt;=$H$7),1,0)</f>
        <v>1</v>
      </c>
      <c r="P491" s="82">
        <f t="shared" ca="1" si="43"/>
        <v>1</v>
      </c>
      <c r="Q491" s="84">
        <f t="shared" ca="1" si="44"/>
        <v>1</v>
      </c>
      <c r="R491" s="82">
        <f t="shared" ca="1" si="41"/>
        <v>4</v>
      </c>
      <c r="S491" s="82">
        <f ca="1">SUM(R$22:$R491)</f>
        <v>1241.1999999999998</v>
      </c>
      <c r="W491" s="60">
        <v>470</v>
      </c>
      <c r="X491" s="82">
        <f ca="1"/>
        <v>2814.8000000000075</v>
      </c>
    </row>
    <row r="492" spans="7:24" x14ac:dyDescent="0.2">
      <c r="G492" s="60">
        <v>471</v>
      </c>
      <c r="H492" s="82">
        <f ca="1"/>
        <v>0</v>
      </c>
      <c r="I492" s="82">
        <f t="shared" ca="1" si="42"/>
        <v>280</v>
      </c>
      <c r="J492" s="83">
        <f t="shared" ca="1" si="40"/>
        <v>0.59447983014861994</v>
      </c>
      <c r="N492" s="60">
        <v>471</v>
      </c>
      <c r="O492" s="82">
        <f ca="1">IF(AND(N492&lt;=U$22,RAND()&lt;=$H$7),1,0)</f>
        <v>0</v>
      </c>
      <c r="P492" s="82">
        <f t="shared" ca="1" si="43"/>
        <v>0</v>
      </c>
      <c r="Q492" s="84">
        <f t="shared" ca="1" si="44"/>
        <v>1</v>
      </c>
      <c r="R492" s="82">
        <f t="shared" ca="1" si="41"/>
        <v>0</v>
      </c>
      <c r="S492" s="82">
        <f ca="1">SUM(R$22:$R492)</f>
        <v>1241.1999999999998</v>
      </c>
      <c r="W492" s="60">
        <v>471</v>
      </c>
      <c r="X492" s="82">
        <f ca="1"/>
        <v>2662.8000000000075</v>
      </c>
    </row>
    <row r="493" spans="7:24" x14ac:dyDescent="0.2">
      <c r="G493" s="60">
        <v>472</v>
      </c>
      <c r="H493" s="82">
        <f ca="1"/>
        <v>1</v>
      </c>
      <c r="I493" s="82">
        <f t="shared" ca="1" si="42"/>
        <v>281</v>
      </c>
      <c r="J493" s="83">
        <f t="shared" ca="1" si="40"/>
        <v>0.59533898305084743</v>
      </c>
      <c r="N493" s="60">
        <v>472</v>
      </c>
      <c r="O493" s="82">
        <f ca="1">IF(AND(N493&lt;=U$22,RAND()&lt;=$H$7),1,0)</f>
        <v>1</v>
      </c>
      <c r="P493" s="82">
        <f t="shared" ca="1" si="43"/>
        <v>0</v>
      </c>
      <c r="Q493" s="84">
        <f t="shared" ca="1" si="44"/>
        <v>1</v>
      </c>
      <c r="R493" s="82">
        <f t="shared" ca="1" si="41"/>
        <v>4</v>
      </c>
      <c r="S493" s="82">
        <f ca="1">SUM(R$22:$R493)</f>
        <v>1245.1999999999998</v>
      </c>
      <c r="W493" s="60">
        <v>472</v>
      </c>
      <c r="X493" s="82">
        <f ca="1"/>
        <v>2728.8000000000052</v>
      </c>
    </row>
    <row r="494" spans="7:24" x14ac:dyDescent="0.2">
      <c r="G494" s="60">
        <v>473</v>
      </c>
      <c r="H494" s="82">
        <f ca="1"/>
        <v>1</v>
      </c>
      <c r="I494" s="82">
        <f t="shared" ca="1" si="42"/>
        <v>282</v>
      </c>
      <c r="J494" s="83">
        <f t="shared" ca="1" si="40"/>
        <v>0.59619450317124734</v>
      </c>
      <c r="N494" s="60">
        <v>473</v>
      </c>
      <c r="O494" s="82">
        <f ca="1">IF(AND(N494&lt;=U$22,RAND()&lt;=$H$7),1,0)</f>
        <v>0</v>
      </c>
      <c r="P494" s="82">
        <f t="shared" ca="1" si="43"/>
        <v>0</v>
      </c>
      <c r="Q494" s="84">
        <f t="shared" ca="1" si="44"/>
        <v>1</v>
      </c>
      <c r="R494" s="82">
        <f t="shared" ca="1" si="41"/>
        <v>0</v>
      </c>
      <c r="S494" s="82">
        <f ca="1">SUM(R$22:$R494)</f>
        <v>1245.1999999999998</v>
      </c>
      <c r="W494" s="60">
        <v>473</v>
      </c>
      <c r="X494" s="82">
        <f ca="1"/>
        <v>2648.400000000006</v>
      </c>
    </row>
    <row r="495" spans="7:24" x14ac:dyDescent="0.2">
      <c r="G495" s="60">
        <v>474</v>
      </c>
      <c r="H495" s="82">
        <f ca="1"/>
        <v>1</v>
      </c>
      <c r="I495" s="82">
        <f t="shared" ca="1" si="42"/>
        <v>283</v>
      </c>
      <c r="J495" s="83">
        <f t="shared" ca="1" si="40"/>
        <v>0.59704641350210974</v>
      </c>
      <c r="N495" s="60">
        <v>474</v>
      </c>
      <c r="O495" s="82">
        <f ca="1">IF(AND(N495&lt;=U$22,RAND()&lt;=$H$7),1,0)</f>
        <v>0</v>
      </c>
      <c r="P495" s="82">
        <f t="shared" ca="1" si="43"/>
        <v>0</v>
      </c>
      <c r="Q495" s="84">
        <f t="shared" ca="1" si="44"/>
        <v>1</v>
      </c>
      <c r="R495" s="82">
        <f t="shared" ca="1" si="41"/>
        <v>0</v>
      </c>
      <c r="S495" s="82">
        <f ca="1">SUM(R$22:$R495)</f>
        <v>1245.1999999999998</v>
      </c>
      <c r="W495" s="60">
        <v>474</v>
      </c>
      <c r="X495" s="82">
        <f ca="1"/>
        <v>2688.0000000000055</v>
      </c>
    </row>
    <row r="496" spans="7:24" x14ac:dyDescent="0.2">
      <c r="G496" s="60">
        <v>475</v>
      </c>
      <c r="H496" s="82">
        <f ca="1"/>
        <v>1</v>
      </c>
      <c r="I496" s="82">
        <f t="shared" ca="1" si="42"/>
        <v>284</v>
      </c>
      <c r="J496" s="83">
        <f t="shared" ca="1" si="40"/>
        <v>0.59789473684210526</v>
      </c>
      <c r="N496" s="60">
        <v>475</v>
      </c>
      <c r="O496" s="82">
        <f ca="1">IF(AND(N496&lt;=U$22,RAND()&lt;=$H$7),1,0)</f>
        <v>0</v>
      </c>
      <c r="P496" s="82">
        <f t="shared" ca="1" si="43"/>
        <v>0</v>
      </c>
      <c r="Q496" s="84">
        <f t="shared" ca="1" si="44"/>
        <v>1</v>
      </c>
      <c r="R496" s="82">
        <f t="shared" ca="1" si="41"/>
        <v>0</v>
      </c>
      <c r="S496" s="82">
        <f ca="1">SUM(R$22:$R496)</f>
        <v>1245.1999999999998</v>
      </c>
      <c r="W496" s="60">
        <v>475</v>
      </c>
      <c r="X496" s="82">
        <f ca="1"/>
        <v>2870.0000000000086</v>
      </c>
    </row>
    <row r="497" spans="7:24" x14ac:dyDescent="0.2">
      <c r="G497" s="60">
        <v>476</v>
      </c>
      <c r="H497" s="82">
        <f ca="1"/>
        <v>1</v>
      </c>
      <c r="I497" s="82">
        <f t="shared" ca="1" si="42"/>
        <v>285</v>
      </c>
      <c r="J497" s="83">
        <f t="shared" ca="1" si="40"/>
        <v>0.59873949579831931</v>
      </c>
      <c r="N497" s="60">
        <v>476</v>
      </c>
      <c r="O497" s="82">
        <f ca="1">IF(AND(N497&lt;=U$22,RAND()&lt;=$H$7),1,0)</f>
        <v>1</v>
      </c>
      <c r="P497" s="82">
        <f t="shared" ca="1" si="43"/>
        <v>0</v>
      </c>
      <c r="Q497" s="84">
        <f t="shared" ca="1" si="44"/>
        <v>1</v>
      </c>
      <c r="R497" s="82">
        <f t="shared" ca="1" si="41"/>
        <v>4</v>
      </c>
      <c r="S497" s="82">
        <f ca="1">SUM(R$22:$R497)</f>
        <v>1249.1999999999998</v>
      </c>
      <c r="W497" s="60">
        <v>476</v>
      </c>
      <c r="X497" s="82">
        <f ca="1"/>
        <v>2759.6000000000067</v>
      </c>
    </row>
    <row r="498" spans="7:24" x14ac:dyDescent="0.2">
      <c r="G498" s="60">
        <v>477</v>
      </c>
      <c r="H498" s="82">
        <f ca="1"/>
        <v>1</v>
      </c>
      <c r="I498" s="82">
        <f t="shared" ca="1" si="42"/>
        <v>286</v>
      </c>
      <c r="J498" s="83">
        <f t="shared" ca="1" si="40"/>
        <v>0.59958071278825997</v>
      </c>
      <c r="N498" s="60">
        <v>477</v>
      </c>
      <c r="O498" s="82">
        <f ca="1">IF(AND(N498&lt;=U$22,RAND()&lt;=$H$7),1,0)</f>
        <v>1</v>
      </c>
      <c r="P498" s="82">
        <f t="shared" ca="1" si="43"/>
        <v>1</v>
      </c>
      <c r="Q498" s="84">
        <f t="shared" ca="1" si="44"/>
        <v>1</v>
      </c>
      <c r="R498" s="82">
        <f t="shared" ca="1" si="41"/>
        <v>4</v>
      </c>
      <c r="S498" s="82">
        <f ca="1">SUM(R$22:$R498)</f>
        <v>1253.1999999999998</v>
      </c>
      <c r="W498" s="60">
        <v>477</v>
      </c>
      <c r="X498" s="82">
        <f ca="1"/>
        <v>2777.200000000008</v>
      </c>
    </row>
    <row r="499" spans="7:24" x14ac:dyDescent="0.2">
      <c r="G499" s="60">
        <v>478</v>
      </c>
      <c r="H499" s="82">
        <f ca="1"/>
        <v>0</v>
      </c>
      <c r="I499" s="82">
        <f t="shared" ca="1" si="42"/>
        <v>286</v>
      </c>
      <c r="J499" s="83">
        <f t="shared" ca="1" si="40"/>
        <v>0.59832635983263593</v>
      </c>
      <c r="N499" s="60">
        <v>478</v>
      </c>
      <c r="O499" s="82">
        <f ca="1">IF(AND(N499&lt;=U$22,RAND()&lt;=$H$7),1,0)</f>
        <v>0</v>
      </c>
      <c r="P499" s="82">
        <f t="shared" ca="1" si="43"/>
        <v>0</v>
      </c>
      <c r="Q499" s="84">
        <f t="shared" ca="1" si="44"/>
        <v>1</v>
      </c>
      <c r="R499" s="82">
        <f t="shared" ca="1" si="41"/>
        <v>0</v>
      </c>
      <c r="S499" s="82">
        <f ca="1">SUM(R$22:$R499)</f>
        <v>1253.1999999999998</v>
      </c>
      <c r="W499" s="60">
        <v>478</v>
      </c>
      <c r="X499" s="82">
        <f ca="1"/>
        <v>2846.400000000006</v>
      </c>
    </row>
    <row r="500" spans="7:24" x14ac:dyDescent="0.2">
      <c r="G500" s="60">
        <v>479</v>
      </c>
      <c r="H500" s="82">
        <f ca="1"/>
        <v>0</v>
      </c>
      <c r="I500" s="82">
        <f t="shared" ca="1" si="42"/>
        <v>286</v>
      </c>
      <c r="J500" s="83">
        <f t="shared" ca="1" si="40"/>
        <v>0.59707724425887265</v>
      </c>
      <c r="N500" s="60">
        <v>479</v>
      </c>
      <c r="O500" s="82">
        <f ca="1">IF(AND(N500&lt;=U$22,RAND()&lt;=$H$7),1,0)</f>
        <v>1</v>
      </c>
      <c r="P500" s="82">
        <f t="shared" ca="1" si="43"/>
        <v>0</v>
      </c>
      <c r="Q500" s="84">
        <f t="shared" ca="1" si="44"/>
        <v>1</v>
      </c>
      <c r="R500" s="82">
        <f t="shared" ca="1" si="41"/>
        <v>4</v>
      </c>
      <c r="S500" s="82">
        <f ca="1">SUM(R$22:$R500)</f>
        <v>1257.1999999999998</v>
      </c>
      <c r="W500" s="60">
        <v>479</v>
      </c>
      <c r="X500" s="82">
        <f ca="1"/>
        <v>2718.0000000000068</v>
      </c>
    </row>
    <row r="501" spans="7:24" x14ac:dyDescent="0.2">
      <c r="G501" s="60">
        <v>480</v>
      </c>
      <c r="H501" s="82">
        <f ca="1"/>
        <v>0</v>
      </c>
      <c r="I501" s="82">
        <f t="shared" ca="1" si="42"/>
        <v>286</v>
      </c>
      <c r="J501" s="83">
        <f t="shared" ca="1" si="40"/>
        <v>0.59583333333333333</v>
      </c>
      <c r="N501" s="60">
        <v>480</v>
      </c>
      <c r="O501" s="82">
        <f ca="1">IF(AND(N501&lt;=U$22,RAND()&lt;=$H$7),1,0)</f>
        <v>1</v>
      </c>
      <c r="P501" s="82">
        <f t="shared" ca="1" si="43"/>
        <v>1</v>
      </c>
      <c r="Q501" s="84">
        <f t="shared" ca="1" si="44"/>
        <v>1</v>
      </c>
      <c r="R501" s="82">
        <f t="shared" ca="1" si="41"/>
        <v>4</v>
      </c>
      <c r="S501" s="82">
        <f ca="1">SUM(R$22:$R501)</f>
        <v>1261.1999999999998</v>
      </c>
      <c r="W501" s="60">
        <v>480</v>
      </c>
      <c r="X501" s="82">
        <f ca="1"/>
        <v>2795.2000000000066</v>
      </c>
    </row>
    <row r="502" spans="7:24" x14ac:dyDescent="0.2">
      <c r="G502" s="60">
        <v>481</v>
      </c>
      <c r="H502" s="82">
        <f ca="1"/>
        <v>1</v>
      </c>
      <c r="I502" s="82">
        <f t="shared" ca="1" si="42"/>
        <v>287</v>
      </c>
      <c r="J502" s="83">
        <f t="shared" ca="1" si="40"/>
        <v>0.59667359667359665</v>
      </c>
      <c r="N502" s="60">
        <v>481</v>
      </c>
      <c r="O502" s="82">
        <f ca="1">IF(AND(N502&lt;=U$22,RAND()&lt;=$H$7),1,0)</f>
        <v>1</v>
      </c>
      <c r="P502" s="82">
        <f t="shared" ca="1" si="43"/>
        <v>2</v>
      </c>
      <c r="Q502" s="84">
        <f t="shared" ca="1" si="44"/>
        <v>1.1000000000000001</v>
      </c>
      <c r="R502" s="82">
        <f t="shared" ca="1" si="41"/>
        <v>4.4000000000000004</v>
      </c>
      <c r="S502" s="82">
        <f ca="1">SUM(R$22:$R502)</f>
        <v>1265.5999999999999</v>
      </c>
      <c r="W502" s="60">
        <v>481</v>
      </c>
      <c r="X502" s="82">
        <f ca="1"/>
        <v>2665.6000000000099</v>
      </c>
    </row>
    <row r="503" spans="7:24" x14ac:dyDescent="0.2">
      <c r="G503" s="60">
        <v>482</v>
      </c>
      <c r="H503" s="82">
        <f ca="1"/>
        <v>0</v>
      </c>
      <c r="I503" s="82">
        <f t="shared" ca="1" si="42"/>
        <v>287</v>
      </c>
      <c r="J503" s="83">
        <f t="shared" ca="1" si="40"/>
        <v>0.5954356846473029</v>
      </c>
      <c r="N503" s="60">
        <v>482</v>
      </c>
      <c r="O503" s="82">
        <f ca="1">IF(AND(N503&lt;=U$22,RAND()&lt;=$H$7),1,0)</f>
        <v>1</v>
      </c>
      <c r="P503" s="82">
        <f t="shared" ca="1" si="43"/>
        <v>3</v>
      </c>
      <c r="Q503" s="84">
        <f t="shared" ca="1" si="44"/>
        <v>1.2</v>
      </c>
      <c r="R503" s="82">
        <f t="shared" ca="1" si="41"/>
        <v>4.8</v>
      </c>
      <c r="S503" s="82">
        <f ca="1">SUM(R$22:$R503)</f>
        <v>1270.3999999999999</v>
      </c>
      <c r="W503" s="60">
        <v>482</v>
      </c>
      <c r="X503" s="82">
        <f ca="1"/>
        <v>2716.800000000007</v>
      </c>
    </row>
    <row r="504" spans="7:24" x14ac:dyDescent="0.2">
      <c r="G504" s="60">
        <v>483</v>
      </c>
      <c r="H504" s="82">
        <f ca="1"/>
        <v>1</v>
      </c>
      <c r="I504" s="82">
        <f t="shared" ca="1" si="42"/>
        <v>288</v>
      </c>
      <c r="J504" s="83">
        <f t="shared" ca="1" si="40"/>
        <v>0.59627329192546585</v>
      </c>
      <c r="N504" s="60">
        <v>483</v>
      </c>
      <c r="O504" s="82">
        <f ca="1">IF(AND(N504&lt;=U$22,RAND()&lt;=$H$7),1,0)</f>
        <v>0</v>
      </c>
      <c r="P504" s="82">
        <f t="shared" ca="1" si="43"/>
        <v>0</v>
      </c>
      <c r="Q504" s="84">
        <f t="shared" ca="1" si="44"/>
        <v>1</v>
      </c>
      <c r="R504" s="82">
        <f t="shared" ca="1" si="41"/>
        <v>0</v>
      </c>
      <c r="S504" s="82">
        <f ca="1">SUM(R$22:$R504)</f>
        <v>1270.3999999999999</v>
      </c>
      <c r="W504" s="60">
        <v>483</v>
      </c>
      <c r="X504" s="82">
        <f ca="1"/>
        <v>2833.6000000000063</v>
      </c>
    </row>
    <row r="505" spans="7:24" x14ac:dyDescent="0.2">
      <c r="G505" s="60">
        <v>484</v>
      </c>
      <c r="H505" s="82">
        <f ca="1"/>
        <v>0</v>
      </c>
      <c r="I505" s="82">
        <f t="shared" ca="1" si="42"/>
        <v>288</v>
      </c>
      <c r="J505" s="83">
        <f t="shared" ca="1" si="40"/>
        <v>0.5950413223140496</v>
      </c>
      <c r="N505" s="60">
        <v>484</v>
      </c>
      <c r="O505" s="82">
        <f ca="1">IF(AND(N505&lt;=U$22,RAND()&lt;=$H$7),1,0)</f>
        <v>1</v>
      </c>
      <c r="P505" s="82">
        <f t="shared" ca="1" si="43"/>
        <v>0</v>
      </c>
      <c r="Q505" s="84">
        <f t="shared" ca="1" si="44"/>
        <v>1</v>
      </c>
      <c r="R505" s="82">
        <f t="shared" ca="1" si="41"/>
        <v>4</v>
      </c>
      <c r="S505" s="82">
        <f ca="1">SUM(R$22:$R505)</f>
        <v>1274.3999999999999</v>
      </c>
      <c r="W505" s="60">
        <v>484</v>
      </c>
      <c r="X505" s="82">
        <f ca="1"/>
        <v>2724.8000000000075</v>
      </c>
    </row>
    <row r="506" spans="7:24" x14ac:dyDescent="0.2">
      <c r="G506" s="60">
        <v>485</v>
      </c>
      <c r="H506" s="82">
        <f ca="1"/>
        <v>1</v>
      </c>
      <c r="I506" s="82">
        <f t="shared" ca="1" si="42"/>
        <v>289</v>
      </c>
      <c r="J506" s="83">
        <f t="shared" ca="1" si="40"/>
        <v>0.59587628865979381</v>
      </c>
      <c r="N506" s="60">
        <v>485</v>
      </c>
      <c r="O506" s="82">
        <f ca="1">IF(AND(N506&lt;=U$22,RAND()&lt;=$H$7),1,0)</f>
        <v>1</v>
      </c>
      <c r="P506" s="82">
        <f t="shared" ca="1" si="43"/>
        <v>1</v>
      </c>
      <c r="Q506" s="84">
        <f t="shared" ca="1" si="44"/>
        <v>1</v>
      </c>
      <c r="R506" s="82">
        <f t="shared" ca="1" si="41"/>
        <v>4</v>
      </c>
      <c r="S506" s="82">
        <f ca="1">SUM(R$22:$R506)</f>
        <v>1278.3999999999999</v>
      </c>
      <c r="W506" s="60">
        <v>485</v>
      </c>
      <c r="X506" s="82">
        <f ca="1"/>
        <v>2668.4000000000069</v>
      </c>
    </row>
    <row r="507" spans="7:24" x14ac:dyDescent="0.2">
      <c r="G507" s="60">
        <v>486</v>
      </c>
      <c r="H507" s="82">
        <f ca="1"/>
        <v>1</v>
      </c>
      <c r="I507" s="82">
        <f t="shared" ca="1" si="42"/>
        <v>290</v>
      </c>
      <c r="J507" s="83">
        <f t="shared" ca="1" si="40"/>
        <v>0.5967078189300411</v>
      </c>
      <c r="N507" s="60">
        <v>486</v>
      </c>
      <c r="O507" s="82">
        <f ca="1">IF(AND(N507&lt;=U$22,RAND()&lt;=$H$7),1,0)</f>
        <v>1</v>
      </c>
      <c r="P507" s="82">
        <f t="shared" ca="1" si="43"/>
        <v>2</v>
      </c>
      <c r="Q507" s="84">
        <f t="shared" ca="1" si="44"/>
        <v>1.1000000000000001</v>
      </c>
      <c r="R507" s="82">
        <f t="shared" ca="1" si="41"/>
        <v>4.4000000000000004</v>
      </c>
      <c r="S507" s="82">
        <f ca="1">SUM(R$22:$R507)</f>
        <v>1282.8</v>
      </c>
      <c r="W507" s="60">
        <v>486</v>
      </c>
      <c r="X507" s="82">
        <f ca="1"/>
        <v>2719.2000000000075</v>
      </c>
    </row>
    <row r="508" spans="7:24" x14ac:dyDescent="0.2">
      <c r="G508" s="60">
        <v>487</v>
      </c>
      <c r="H508" s="82">
        <f ca="1"/>
        <v>1</v>
      </c>
      <c r="I508" s="82">
        <f t="shared" ca="1" si="42"/>
        <v>291</v>
      </c>
      <c r="J508" s="83">
        <f t="shared" ca="1" si="40"/>
        <v>0.59753593429158114</v>
      </c>
      <c r="N508" s="60">
        <v>487</v>
      </c>
      <c r="O508" s="82">
        <f ca="1">IF(AND(N508&lt;=U$22,RAND()&lt;=$H$7),1,0)</f>
        <v>0</v>
      </c>
      <c r="P508" s="82">
        <f t="shared" ca="1" si="43"/>
        <v>0</v>
      </c>
      <c r="Q508" s="84">
        <f t="shared" ca="1" si="44"/>
        <v>1</v>
      </c>
      <c r="R508" s="82">
        <f t="shared" ca="1" si="41"/>
        <v>0</v>
      </c>
      <c r="S508" s="82">
        <f ca="1">SUM(R$22:$R508)</f>
        <v>1282.8</v>
      </c>
      <c r="W508" s="60">
        <v>487</v>
      </c>
      <c r="X508" s="82">
        <f ca="1"/>
        <v>2672.8000000000079</v>
      </c>
    </row>
    <row r="509" spans="7:24" x14ac:dyDescent="0.2">
      <c r="G509" s="60">
        <v>488</v>
      </c>
      <c r="H509" s="82">
        <f ca="1"/>
        <v>1</v>
      </c>
      <c r="I509" s="82">
        <f t="shared" ca="1" si="42"/>
        <v>292</v>
      </c>
      <c r="J509" s="83">
        <f t="shared" ca="1" si="40"/>
        <v>0.59836065573770492</v>
      </c>
      <c r="N509" s="60">
        <v>488</v>
      </c>
      <c r="O509" s="82">
        <f ca="1">IF(AND(N509&lt;=U$22,RAND()&lt;=$H$7),1,0)</f>
        <v>0</v>
      </c>
      <c r="P509" s="82">
        <f t="shared" ca="1" si="43"/>
        <v>0</v>
      </c>
      <c r="Q509" s="84">
        <f t="shared" ca="1" si="44"/>
        <v>1</v>
      </c>
      <c r="R509" s="82">
        <f t="shared" ca="1" si="41"/>
        <v>0</v>
      </c>
      <c r="S509" s="82">
        <f ca="1">SUM(R$22:$R509)</f>
        <v>1282.8</v>
      </c>
      <c r="W509" s="60">
        <v>488</v>
      </c>
      <c r="X509" s="82">
        <f ca="1"/>
        <v>2576.800000000007</v>
      </c>
    </row>
    <row r="510" spans="7:24" x14ac:dyDescent="0.2">
      <c r="G510" s="60">
        <v>489</v>
      </c>
      <c r="H510" s="82">
        <f ca="1"/>
        <v>1</v>
      </c>
      <c r="I510" s="82">
        <f t="shared" ca="1" si="42"/>
        <v>293</v>
      </c>
      <c r="J510" s="83">
        <f t="shared" ca="1" si="40"/>
        <v>0.59918200408997957</v>
      </c>
      <c r="N510" s="60">
        <v>489</v>
      </c>
      <c r="O510" s="82">
        <f ca="1">IF(AND(N510&lt;=U$22,RAND()&lt;=$H$7),1,0)</f>
        <v>1</v>
      </c>
      <c r="P510" s="82">
        <f t="shared" ca="1" si="43"/>
        <v>0</v>
      </c>
      <c r="Q510" s="84">
        <f t="shared" ca="1" si="44"/>
        <v>1</v>
      </c>
      <c r="R510" s="82">
        <f t="shared" ca="1" si="41"/>
        <v>4</v>
      </c>
      <c r="S510" s="82">
        <f ca="1">SUM(R$22:$R510)</f>
        <v>1286.8</v>
      </c>
      <c r="W510" s="60">
        <v>489</v>
      </c>
      <c r="X510" s="82">
        <f ca="1"/>
        <v>2656.0000000000073</v>
      </c>
    </row>
    <row r="511" spans="7:24" x14ac:dyDescent="0.2">
      <c r="G511" s="60">
        <v>490</v>
      </c>
      <c r="H511" s="82">
        <f ca="1"/>
        <v>1</v>
      </c>
      <c r="I511" s="82">
        <f t="shared" ca="1" si="42"/>
        <v>294</v>
      </c>
      <c r="J511" s="83">
        <f t="shared" ca="1" si="40"/>
        <v>0.6</v>
      </c>
      <c r="N511" s="60">
        <v>490</v>
      </c>
      <c r="O511" s="82">
        <f ca="1">IF(AND(N511&lt;=U$22,RAND()&lt;=$H$7),1,0)</f>
        <v>1</v>
      </c>
      <c r="P511" s="82">
        <f t="shared" ca="1" si="43"/>
        <v>1</v>
      </c>
      <c r="Q511" s="84">
        <f t="shared" ca="1" si="44"/>
        <v>1</v>
      </c>
      <c r="R511" s="82">
        <f t="shared" ca="1" si="41"/>
        <v>4</v>
      </c>
      <c r="S511" s="82">
        <f ca="1">SUM(R$22:$R511)</f>
        <v>1290.8</v>
      </c>
      <c r="W511" s="60">
        <v>490</v>
      </c>
      <c r="X511" s="82">
        <f ca="1"/>
        <v>2661.6000000000063</v>
      </c>
    </row>
    <row r="512" spans="7:24" x14ac:dyDescent="0.2">
      <c r="G512" s="60">
        <v>491</v>
      </c>
      <c r="H512" s="82">
        <f ca="1"/>
        <v>1</v>
      </c>
      <c r="I512" s="82">
        <f t="shared" ca="1" si="42"/>
        <v>295</v>
      </c>
      <c r="J512" s="83">
        <f t="shared" ca="1" si="40"/>
        <v>0.60081466395112015</v>
      </c>
      <c r="N512" s="60">
        <v>491</v>
      </c>
      <c r="O512" s="82">
        <f ca="1">IF(AND(N512&lt;=U$22,RAND()&lt;=$H$7),1,0)</f>
        <v>1</v>
      </c>
      <c r="P512" s="82">
        <f t="shared" ca="1" si="43"/>
        <v>2</v>
      </c>
      <c r="Q512" s="84">
        <f t="shared" ca="1" si="44"/>
        <v>1.1000000000000001</v>
      </c>
      <c r="R512" s="82">
        <f t="shared" ca="1" si="41"/>
        <v>4.4000000000000004</v>
      </c>
      <c r="S512" s="82">
        <f ca="1">SUM(R$22:$R512)</f>
        <v>1295.2</v>
      </c>
      <c r="W512" s="60">
        <v>491</v>
      </c>
      <c r="X512" s="82">
        <f ca="1"/>
        <v>2800.4000000000074</v>
      </c>
    </row>
    <row r="513" spans="7:24" x14ac:dyDescent="0.2">
      <c r="G513" s="60">
        <v>492</v>
      </c>
      <c r="H513" s="82">
        <f ca="1"/>
        <v>1</v>
      </c>
      <c r="I513" s="82">
        <f t="shared" ca="1" si="42"/>
        <v>296</v>
      </c>
      <c r="J513" s="83">
        <f t="shared" ca="1" si="40"/>
        <v>0.60162601626016265</v>
      </c>
      <c r="N513" s="60">
        <v>492</v>
      </c>
      <c r="O513" s="82">
        <f ca="1">IF(AND(N513&lt;=U$22,RAND()&lt;=$H$7),1,0)</f>
        <v>1</v>
      </c>
      <c r="P513" s="82">
        <f t="shared" ca="1" si="43"/>
        <v>3</v>
      </c>
      <c r="Q513" s="84">
        <f t="shared" ca="1" si="44"/>
        <v>1.2</v>
      </c>
      <c r="R513" s="82">
        <f t="shared" ca="1" si="41"/>
        <v>4.8</v>
      </c>
      <c r="S513" s="82">
        <f ca="1">SUM(R$22:$R513)</f>
        <v>1300</v>
      </c>
      <c r="W513" s="60">
        <v>492</v>
      </c>
      <c r="X513" s="82">
        <f ca="1"/>
        <v>2716.0000000000073</v>
      </c>
    </row>
    <row r="514" spans="7:24" x14ac:dyDescent="0.2">
      <c r="G514" s="60">
        <v>493</v>
      </c>
      <c r="H514" s="82">
        <f ca="1"/>
        <v>1</v>
      </c>
      <c r="I514" s="82">
        <f t="shared" ca="1" si="42"/>
        <v>297</v>
      </c>
      <c r="J514" s="83">
        <f t="shared" ca="1" si="40"/>
        <v>0.60243407707910746</v>
      </c>
      <c r="N514" s="60">
        <v>493</v>
      </c>
      <c r="O514" s="82">
        <f ca="1">IF(AND(N514&lt;=U$22,RAND()&lt;=$H$7),1,0)</f>
        <v>1</v>
      </c>
      <c r="P514" s="82">
        <f t="shared" ca="1" si="43"/>
        <v>4</v>
      </c>
      <c r="Q514" s="84">
        <f t="shared" ca="1" si="44"/>
        <v>1.3</v>
      </c>
      <c r="R514" s="82">
        <f t="shared" ca="1" si="41"/>
        <v>5.2</v>
      </c>
      <c r="S514" s="82">
        <f ca="1">SUM(R$22:$R514)</f>
        <v>1305.2</v>
      </c>
      <c r="W514" s="60">
        <v>493</v>
      </c>
      <c r="X514" s="82">
        <f ca="1"/>
        <v>2800.8000000000065</v>
      </c>
    </row>
    <row r="515" spans="7:24" x14ac:dyDescent="0.2">
      <c r="G515" s="60">
        <v>494</v>
      </c>
      <c r="H515" s="82">
        <f ca="1"/>
        <v>1</v>
      </c>
      <c r="I515" s="82">
        <f t="shared" ca="1" si="42"/>
        <v>298</v>
      </c>
      <c r="J515" s="83">
        <f t="shared" ca="1" si="40"/>
        <v>0.60323886639676116</v>
      </c>
      <c r="N515" s="60">
        <v>494</v>
      </c>
      <c r="O515" s="82">
        <f ca="1">IF(AND(N515&lt;=U$22,RAND()&lt;=$H$7),1,0)</f>
        <v>1</v>
      </c>
      <c r="P515" s="82">
        <f t="shared" ca="1" si="43"/>
        <v>5</v>
      </c>
      <c r="Q515" s="84">
        <f t="shared" ca="1" si="44"/>
        <v>1.4</v>
      </c>
      <c r="R515" s="82">
        <f t="shared" ca="1" si="41"/>
        <v>5.6</v>
      </c>
      <c r="S515" s="82">
        <f ca="1">SUM(R$22:$R515)</f>
        <v>1310.8</v>
      </c>
      <c r="W515" s="60">
        <v>494</v>
      </c>
      <c r="X515" s="82">
        <f ca="1"/>
        <v>2780.4000000000078</v>
      </c>
    </row>
    <row r="516" spans="7:24" x14ac:dyDescent="0.2">
      <c r="G516" s="60">
        <v>495</v>
      </c>
      <c r="H516" s="82">
        <f ca="1"/>
        <v>0</v>
      </c>
      <c r="I516" s="82">
        <f t="shared" ca="1" si="42"/>
        <v>298</v>
      </c>
      <c r="J516" s="83">
        <f t="shared" ca="1" si="40"/>
        <v>0.60202020202020201</v>
      </c>
      <c r="N516" s="60">
        <v>495</v>
      </c>
      <c r="O516" s="82">
        <f ca="1">IF(AND(N516&lt;=U$22,RAND()&lt;=$H$7),1,0)</f>
        <v>1</v>
      </c>
      <c r="P516" s="82">
        <f t="shared" ca="1" si="43"/>
        <v>6</v>
      </c>
      <c r="Q516" s="84">
        <f t="shared" ca="1" si="44"/>
        <v>1.5</v>
      </c>
      <c r="R516" s="82">
        <f t="shared" ca="1" si="41"/>
        <v>6</v>
      </c>
      <c r="S516" s="82">
        <f ca="1">SUM(R$22:$R516)</f>
        <v>1316.8</v>
      </c>
      <c r="W516" s="60">
        <v>495</v>
      </c>
      <c r="X516" s="82">
        <f ca="1"/>
        <v>2717.2000000000075</v>
      </c>
    </row>
    <row r="517" spans="7:24" x14ac:dyDescent="0.2">
      <c r="G517" s="60">
        <v>496</v>
      </c>
      <c r="H517" s="82">
        <f ca="1"/>
        <v>1</v>
      </c>
      <c r="I517" s="82">
        <f t="shared" ca="1" si="42"/>
        <v>299</v>
      </c>
      <c r="J517" s="83">
        <f t="shared" ca="1" si="40"/>
        <v>0.60282258064516125</v>
      </c>
      <c r="N517" s="60">
        <v>496</v>
      </c>
      <c r="O517" s="82">
        <f ca="1">IF(AND(N517&lt;=U$22,RAND()&lt;=$H$7),1,0)</f>
        <v>1</v>
      </c>
      <c r="P517" s="82">
        <f t="shared" ca="1" si="43"/>
        <v>7</v>
      </c>
      <c r="Q517" s="84">
        <f t="shared" ca="1" si="44"/>
        <v>1.6</v>
      </c>
      <c r="R517" s="82">
        <f t="shared" ca="1" si="41"/>
        <v>6.4</v>
      </c>
      <c r="S517" s="82">
        <f ca="1">SUM(R$22:$R517)</f>
        <v>1323.2</v>
      </c>
      <c r="W517" s="60">
        <v>496</v>
      </c>
      <c r="X517" s="82">
        <f ca="1"/>
        <v>2808.400000000006</v>
      </c>
    </row>
    <row r="518" spans="7:24" x14ac:dyDescent="0.2">
      <c r="G518" s="60">
        <v>497</v>
      </c>
      <c r="H518" s="82">
        <f ca="1"/>
        <v>1</v>
      </c>
      <c r="I518" s="82">
        <f t="shared" ca="1" si="42"/>
        <v>300</v>
      </c>
      <c r="J518" s="83">
        <f t="shared" ca="1" si="40"/>
        <v>0.60362173038229372</v>
      </c>
      <c r="N518" s="60">
        <v>497</v>
      </c>
      <c r="O518" s="82">
        <f ca="1">IF(AND(N518&lt;=U$22,RAND()&lt;=$H$7),1,0)</f>
        <v>0</v>
      </c>
      <c r="P518" s="82">
        <f t="shared" ca="1" si="43"/>
        <v>0</v>
      </c>
      <c r="Q518" s="84">
        <f t="shared" ca="1" si="44"/>
        <v>1</v>
      </c>
      <c r="R518" s="82">
        <f t="shared" ca="1" si="41"/>
        <v>0</v>
      </c>
      <c r="S518" s="82">
        <f ca="1">SUM(R$22:$R518)</f>
        <v>1323.2</v>
      </c>
      <c r="W518" s="60">
        <v>497</v>
      </c>
      <c r="X518" s="82">
        <f ca="1"/>
        <v>2721.2000000000071</v>
      </c>
    </row>
    <row r="519" spans="7:24" x14ac:dyDescent="0.2">
      <c r="G519" s="60">
        <v>498</v>
      </c>
      <c r="H519" s="82">
        <f ca="1"/>
        <v>1</v>
      </c>
      <c r="I519" s="82">
        <f t="shared" ca="1" si="42"/>
        <v>301</v>
      </c>
      <c r="J519" s="83">
        <f t="shared" ca="1" si="40"/>
        <v>0.60441767068273089</v>
      </c>
      <c r="N519" s="60">
        <v>498</v>
      </c>
      <c r="O519" s="82">
        <f ca="1">IF(AND(N519&lt;=U$22,RAND()&lt;=$H$7),1,0)</f>
        <v>1</v>
      </c>
      <c r="P519" s="82">
        <f t="shared" ca="1" si="43"/>
        <v>0</v>
      </c>
      <c r="Q519" s="84">
        <f t="shared" ca="1" si="44"/>
        <v>1</v>
      </c>
      <c r="R519" s="82">
        <f t="shared" ca="1" si="41"/>
        <v>4</v>
      </c>
      <c r="S519" s="82">
        <f ca="1">SUM(R$22:$R519)</f>
        <v>1327.2</v>
      </c>
      <c r="W519" s="60">
        <v>498</v>
      </c>
      <c r="X519" s="82">
        <f ca="1"/>
        <v>2902.8000000000084</v>
      </c>
    </row>
    <row r="520" spans="7:24" x14ac:dyDescent="0.2">
      <c r="G520" s="60">
        <v>499</v>
      </c>
      <c r="H520" s="82">
        <f ca="1"/>
        <v>1</v>
      </c>
      <c r="I520" s="82">
        <f t="shared" ca="1" si="42"/>
        <v>302</v>
      </c>
      <c r="J520" s="83">
        <f t="shared" ca="1" si="40"/>
        <v>0.60521042084168342</v>
      </c>
      <c r="N520" s="60">
        <v>499</v>
      </c>
      <c r="O520" s="82">
        <f ca="1">IF(AND(N520&lt;=U$22,RAND()&lt;=$H$7),1,0)</f>
        <v>1</v>
      </c>
      <c r="P520" s="82">
        <f t="shared" ca="1" si="43"/>
        <v>1</v>
      </c>
      <c r="Q520" s="84">
        <f t="shared" ca="1" si="44"/>
        <v>1</v>
      </c>
      <c r="R520" s="82">
        <f t="shared" ca="1" si="41"/>
        <v>4</v>
      </c>
      <c r="S520" s="82">
        <f ca="1">SUM(R$22:$R520)</f>
        <v>1331.2</v>
      </c>
      <c r="W520" s="60">
        <v>499</v>
      </c>
      <c r="X520" s="82">
        <f ca="1"/>
        <v>2820.8000000000084</v>
      </c>
    </row>
    <row r="521" spans="7:24" x14ac:dyDescent="0.2">
      <c r="G521" s="60">
        <v>500</v>
      </c>
      <c r="H521" s="82">
        <f ca="1"/>
        <v>0</v>
      </c>
      <c r="I521" s="82">
        <f t="shared" ca="1" si="42"/>
        <v>302</v>
      </c>
      <c r="J521" s="83">
        <f t="shared" ca="1" si="40"/>
        <v>0.60399999999999998</v>
      </c>
      <c r="N521" s="60">
        <v>500</v>
      </c>
      <c r="O521" s="82">
        <f ca="1">IF(AND(N521&lt;=U$22,RAND()&lt;=$H$7),1,0)</f>
        <v>1</v>
      </c>
      <c r="P521" s="82">
        <f t="shared" ca="1" si="43"/>
        <v>2</v>
      </c>
      <c r="Q521" s="84">
        <f t="shared" ca="1" si="44"/>
        <v>1.1000000000000001</v>
      </c>
      <c r="R521" s="82">
        <f t="shared" ca="1" si="41"/>
        <v>4.4000000000000004</v>
      </c>
      <c r="S521" s="82">
        <f ca="1">SUM(R$22:$R521)</f>
        <v>1335.6000000000001</v>
      </c>
      <c r="W521" s="60">
        <v>500</v>
      </c>
      <c r="X521" s="82">
        <f ca="1"/>
        <v>2866.4000000000078</v>
      </c>
    </row>
    <row r="522" spans="7:24" x14ac:dyDescent="0.2">
      <c r="G522" s="60">
        <v>501</v>
      </c>
      <c r="H522" s="82">
        <f ca="1"/>
        <v>1</v>
      </c>
      <c r="I522" s="82">
        <f t="shared" ca="1" si="42"/>
        <v>303</v>
      </c>
      <c r="J522" s="83">
        <f t="shared" ca="1" si="40"/>
        <v>0.60479041916167664</v>
      </c>
      <c r="N522" s="60">
        <v>501</v>
      </c>
      <c r="O522" s="82">
        <f ca="1">IF(AND(N522&lt;=U$22,RAND()&lt;=$H$7),1,0)</f>
        <v>1</v>
      </c>
      <c r="P522" s="82">
        <f t="shared" ca="1" si="43"/>
        <v>3</v>
      </c>
      <c r="Q522" s="84">
        <f t="shared" ca="1" si="44"/>
        <v>1.2</v>
      </c>
      <c r="R522" s="82">
        <f t="shared" ca="1" si="41"/>
        <v>4.8</v>
      </c>
      <c r="S522" s="82">
        <f ca="1">SUM(R$22:$R522)</f>
        <v>1340.4</v>
      </c>
      <c r="W522" s="60">
        <v>501</v>
      </c>
      <c r="X522" s="82">
        <f ca="1"/>
        <v>2814.400000000006</v>
      </c>
    </row>
    <row r="523" spans="7:24" x14ac:dyDescent="0.2">
      <c r="G523" s="60">
        <v>502</v>
      </c>
      <c r="H523" s="82">
        <f ca="1"/>
        <v>1</v>
      </c>
      <c r="I523" s="82">
        <f t="shared" ca="1" si="42"/>
        <v>304</v>
      </c>
      <c r="J523" s="83">
        <f t="shared" ca="1" si="40"/>
        <v>0.60557768924302791</v>
      </c>
      <c r="N523" s="60">
        <v>502</v>
      </c>
      <c r="O523" s="82">
        <f ca="1">IF(AND(N523&lt;=U$22,RAND()&lt;=$H$7),1,0)</f>
        <v>1</v>
      </c>
      <c r="P523" s="82">
        <f t="shared" ca="1" si="43"/>
        <v>4</v>
      </c>
      <c r="Q523" s="84">
        <f t="shared" ca="1" si="44"/>
        <v>1.3</v>
      </c>
      <c r="R523" s="82">
        <f t="shared" ca="1" si="41"/>
        <v>5.2</v>
      </c>
      <c r="S523" s="82">
        <f ca="1">SUM(R$22:$R523)</f>
        <v>1345.6000000000001</v>
      </c>
      <c r="W523" s="60">
        <v>502</v>
      </c>
      <c r="X523" s="82">
        <f ca="1"/>
        <v>2754.400000000006</v>
      </c>
    </row>
    <row r="524" spans="7:24" x14ac:dyDescent="0.2">
      <c r="G524" s="60">
        <v>503</v>
      </c>
      <c r="H524" s="82">
        <f ca="1"/>
        <v>0</v>
      </c>
      <c r="I524" s="82">
        <f t="shared" ca="1" si="42"/>
        <v>304</v>
      </c>
      <c r="J524" s="83">
        <f t="shared" ca="1" si="40"/>
        <v>0.60437375745526833</v>
      </c>
      <c r="N524" s="60">
        <v>503</v>
      </c>
      <c r="O524" s="82">
        <f ca="1">IF(AND(N524&lt;=U$22,RAND()&lt;=$H$7),1,0)</f>
        <v>0</v>
      </c>
      <c r="P524" s="82">
        <f t="shared" ca="1" si="43"/>
        <v>0</v>
      </c>
      <c r="Q524" s="84">
        <f t="shared" ca="1" si="44"/>
        <v>1</v>
      </c>
      <c r="R524" s="82">
        <f t="shared" ca="1" si="41"/>
        <v>0</v>
      </c>
      <c r="S524" s="82">
        <f ca="1">SUM(R$22:$R524)</f>
        <v>1345.6000000000001</v>
      </c>
      <c r="W524" s="60">
        <v>503</v>
      </c>
      <c r="X524" s="82">
        <f ca="1"/>
        <v>2935.6000000000081</v>
      </c>
    </row>
    <row r="525" spans="7:24" x14ac:dyDescent="0.2">
      <c r="G525" s="60">
        <v>504</v>
      </c>
      <c r="H525" s="82">
        <f ca="1"/>
        <v>0</v>
      </c>
      <c r="I525" s="82">
        <f t="shared" ca="1" si="42"/>
        <v>304</v>
      </c>
      <c r="J525" s="83">
        <f t="shared" ca="1" si="40"/>
        <v>0.60317460317460314</v>
      </c>
      <c r="N525" s="60">
        <v>504</v>
      </c>
      <c r="O525" s="82">
        <f ca="1">IF(AND(N525&lt;=U$22,RAND()&lt;=$H$7),1,0)</f>
        <v>1</v>
      </c>
      <c r="P525" s="82">
        <f t="shared" ca="1" si="43"/>
        <v>0</v>
      </c>
      <c r="Q525" s="84">
        <f t="shared" ca="1" si="44"/>
        <v>1</v>
      </c>
      <c r="R525" s="82">
        <f t="shared" ca="1" si="41"/>
        <v>4</v>
      </c>
      <c r="S525" s="82">
        <f ca="1">SUM(R$22:$R525)</f>
        <v>1349.6000000000001</v>
      </c>
      <c r="W525" s="60">
        <v>504</v>
      </c>
      <c r="X525" s="82">
        <f ca="1"/>
        <v>2662.0000000000068</v>
      </c>
    </row>
    <row r="526" spans="7:24" x14ac:dyDescent="0.2">
      <c r="G526" s="60">
        <v>505</v>
      </c>
      <c r="H526" s="82">
        <f ca="1"/>
        <v>1</v>
      </c>
      <c r="I526" s="82">
        <f t="shared" ca="1" si="42"/>
        <v>305</v>
      </c>
      <c r="J526" s="83">
        <f t="shared" ca="1" si="40"/>
        <v>0.60396039603960394</v>
      </c>
      <c r="N526" s="60">
        <v>505</v>
      </c>
      <c r="O526" s="82">
        <f ca="1">IF(AND(N526&lt;=U$22,RAND()&lt;=$H$7),1,0)</f>
        <v>1</v>
      </c>
      <c r="P526" s="82">
        <f t="shared" ca="1" si="43"/>
        <v>1</v>
      </c>
      <c r="Q526" s="84">
        <f t="shared" ca="1" si="44"/>
        <v>1</v>
      </c>
      <c r="R526" s="82">
        <f t="shared" ca="1" si="41"/>
        <v>4</v>
      </c>
      <c r="S526" s="82">
        <f ca="1">SUM(R$22:$R526)</f>
        <v>1353.6000000000001</v>
      </c>
      <c r="W526" s="60">
        <v>505</v>
      </c>
      <c r="X526" s="82">
        <f ca="1"/>
        <v>2810.8000000000056</v>
      </c>
    </row>
    <row r="527" spans="7:24" x14ac:dyDescent="0.2">
      <c r="G527" s="60">
        <v>506</v>
      </c>
      <c r="H527" s="82">
        <f ca="1"/>
        <v>1</v>
      </c>
      <c r="I527" s="82">
        <f t="shared" ca="1" si="42"/>
        <v>306</v>
      </c>
      <c r="J527" s="83">
        <f t="shared" ca="1" si="40"/>
        <v>0.60474308300395252</v>
      </c>
      <c r="N527" s="60">
        <v>506</v>
      </c>
      <c r="O527" s="82">
        <f ca="1">IF(AND(N527&lt;=U$22,RAND()&lt;=$H$7),1,0)</f>
        <v>1</v>
      </c>
      <c r="P527" s="82">
        <f t="shared" ca="1" si="43"/>
        <v>2</v>
      </c>
      <c r="Q527" s="84">
        <f t="shared" ca="1" si="44"/>
        <v>1.1000000000000001</v>
      </c>
      <c r="R527" s="82">
        <f t="shared" ca="1" si="41"/>
        <v>4.4000000000000004</v>
      </c>
      <c r="S527" s="82">
        <f ca="1">SUM(R$22:$R527)</f>
        <v>1358.0000000000002</v>
      </c>
      <c r="W527" s="60">
        <v>506</v>
      </c>
      <c r="X527" s="82">
        <f ca="1"/>
        <v>2597.6000000000054</v>
      </c>
    </row>
    <row r="528" spans="7:24" x14ac:dyDescent="0.2">
      <c r="G528" s="60">
        <v>507</v>
      </c>
      <c r="H528" s="82">
        <f ca="1"/>
        <v>1</v>
      </c>
      <c r="I528" s="82">
        <f t="shared" ca="1" si="42"/>
        <v>307</v>
      </c>
      <c r="J528" s="83">
        <f t="shared" ca="1" si="40"/>
        <v>0.60552268244575935</v>
      </c>
      <c r="N528" s="60">
        <v>507</v>
      </c>
      <c r="O528" s="82">
        <f ca="1">IF(AND(N528&lt;=U$22,RAND()&lt;=$H$7),1,0)</f>
        <v>0</v>
      </c>
      <c r="P528" s="82">
        <f t="shared" ca="1" si="43"/>
        <v>0</v>
      </c>
      <c r="Q528" s="84">
        <f t="shared" ca="1" si="44"/>
        <v>1</v>
      </c>
      <c r="R528" s="82">
        <f t="shared" ca="1" si="41"/>
        <v>0</v>
      </c>
      <c r="S528" s="82">
        <f ca="1">SUM(R$22:$R528)</f>
        <v>1358.0000000000002</v>
      </c>
      <c r="W528" s="60">
        <v>507</v>
      </c>
      <c r="X528" s="82">
        <f ca="1"/>
        <v>2880.4000000000074</v>
      </c>
    </row>
    <row r="529" spans="7:24" x14ac:dyDescent="0.2">
      <c r="G529" s="60">
        <v>508</v>
      </c>
      <c r="H529" s="82">
        <f ca="1"/>
        <v>0</v>
      </c>
      <c r="I529" s="82">
        <f t="shared" ca="1" si="42"/>
        <v>307</v>
      </c>
      <c r="J529" s="83">
        <f t="shared" ca="1" si="40"/>
        <v>0.60433070866141736</v>
      </c>
      <c r="N529" s="60">
        <v>508</v>
      </c>
      <c r="O529" s="82">
        <f ca="1">IF(AND(N529&lt;=U$22,RAND()&lt;=$H$7),1,0)</f>
        <v>1</v>
      </c>
      <c r="P529" s="82">
        <f t="shared" ca="1" si="43"/>
        <v>0</v>
      </c>
      <c r="Q529" s="84">
        <f t="shared" ca="1" si="44"/>
        <v>1</v>
      </c>
      <c r="R529" s="82">
        <f t="shared" ca="1" si="41"/>
        <v>4</v>
      </c>
      <c r="S529" s="82">
        <f ca="1">SUM(R$22:$R529)</f>
        <v>1362.0000000000002</v>
      </c>
      <c r="W529" s="60">
        <v>508</v>
      </c>
      <c r="X529" s="82">
        <f ca="1"/>
        <v>2763.2000000000071</v>
      </c>
    </row>
    <row r="530" spans="7:24" x14ac:dyDescent="0.2">
      <c r="G530" s="60">
        <v>509</v>
      </c>
      <c r="H530" s="82">
        <f ca="1"/>
        <v>0</v>
      </c>
      <c r="I530" s="82">
        <f t="shared" ca="1" si="42"/>
        <v>307</v>
      </c>
      <c r="J530" s="83">
        <f t="shared" ca="1" si="40"/>
        <v>0.60314341846758346</v>
      </c>
      <c r="N530" s="60">
        <v>509</v>
      </c>
      <c r="O530" s="82">
        <f ca="1">IF(AND(N530&lt;=U$22,RAND()&lt;=$H$7),1,0)</f>
        <v>1</v>
      </c>
      <c r="P530" s="82">
        <f t="shared" ca="1" si="43"/>
        <v>1</v>
      </c>
      <c r="Q530" s="84">
        <f t="shared" ca="1" si="44"/>
        <v>1</v>
      </c>
      <c r="R530" s="82">
        <f t="shared" ca="1" si="41"/>
        <v>4</v>
      </c>
      <c r="S530" s="82">
        <f ca="1">SUM(R$22:$R530)</f>
        <v>1366.0000000000002</v>
      </c>
      <c r="W530" s="60">
        <v>509</v>
      </c>
      <c r="X530" s="82">
        <f ca="1"/>
        <v>2753.200000000008</v>
      </c>
    </row>
    <row r="531" spans="7:24" x14ac:dyDescent="0.2">
      <c r="G531" s="60">
        <v>510</v>
      </c>
      <c r="H531" s="82">
        <f ca="1"/>
        <v>1</v>
      </c>
      <c r="I531" s="82">
        <f t="shared" ca="1" si="42"/>
        <v>308</v>
      </c>
      <c r="J531" s="83">
        <f t="shared" ca="1" si="40"/>
        <v>0.60392156862745094</v>
      </c>
      <c r="N531" s="60">
        <v>510</v>
      </c>
      <c r="O531" s="82">
        <f ca="1">IF(AND(N531&lt;=U$22,RAND()&lt;=$H$7),1,0)</f>
        <v>1</v>
      </c>
      <c r="P531" s="82">
        <f t="shared" ca="1" si="43"/>
        <v>2</v>
      </c>
      <c r="Q531" s="84">
        <f t="shared" ca="1" si="44"/>
        <v>1.1000000000000001</v>
      </c>
      <c r="R531" s="82">
        <f t="shared" ca="1" si="41"/>
        <v>4.4000000000000004</v>
      </c>
      <c r="S531" s="82">
        <f ca="1">SUM(R$22:$R531)</f>
        <v>1370.4000000000003</v>
      </c>
      <c r="W531" s="60">
        <v>510</v>
      </c>
      <c r="X531" s="82">
        <f ca="1"/>
        <v>2883.2000000000075</v>
      </c>
    </row>
    <row r="532" spans="7:24" x14ac:dyDescent="0.2">
      <c r="G532" s="60">
        <v>511</v>
      </c>
      <c r="H532" s="82">
        <f ca="1"/>
        <v>0</v>
      </c>
      <c r="I532" s="82">
        <f t="shared" ca="1" si="42"/>
        <v>308</v>
      </c>
      <c r="J532" s="83">
        <f t="shared" ca="1" si="40"/>
        <v>0.60273972602739723</v>
      </c>
      <c r="N532" s="60">
        <v>511</v>
      </c>
      <c r="O532" s="82">
        <f ca="1">IF(AND(N532&lt;=U$22,RAND()&lt;=$H$7),1,0)</f>
        <v>1</v>
      </c>
      <c r="P532" s="82">
        <f t="shared" ca="1" si="43"/>
        <v>3</v>
      </c>
      <c r="Q532" s="84">
        <f t="shared" ca="1" si="44"/>
        <v>1.2</v>
      </c>
      <c r="R532" s="82">
        <f t="shared" ca="1" si="41"/>
        <v>4.8</v>
      </c>
      <c r="S532" s="82">
        <f ca="1">SUM(R$22:$R532)</f>
        <v>1375.2000000000003</v>
      </c>
      <c r="W532" s="60">
        <v>511</v>
      </c>
      <c r="X532" s="82">
        <f ca="1"/>
        <v>2750.0000000000086</v>
      </c>
    </row>
    <row r="533" spans="7:24" x14ac:dyDescent="0.2">
      <c r="G533" s="60">
        <v>512</v>
      </c>
      <c r="H533" s="82">
        <f ca="1"/>
        <v>0</v>
      </c>
      <c r="I533" s="82">
        <f t="shared" ca="1" si="42"/>
        <v>308</v>
      </c>
      <c r="J533" s="83">
        <f t="shared" ca="1" si="40"/>
        <v>0.6015625</v>
      </c>
      <c r="N533" s="60">
        <v>512</v>
      </c>
      <c r="O533" s="82">
        <f ca="1">IF(AND(N533&lt;=U$22,RAND()&lt;=$H$7),1,0)</f>
        <v>0</v>
      </c>
      <c r="P533" s="82">
        <f t="shared" ca="1" si="43"/>
        <v>0</v>
      </c>
      <c r="Q533" s="84">
        <f t="shared" ca="1" si="44"/>
        <v>1</v>
      </c>
      <c r="R533" s="82">
        <f t="shared" ca="1" si="41"/>
        <v>0</v>
      </c>
      <c r="S533" s="82">
        <f ca="1">SUM(R$22:$R533)</f>
        <v>1375.2000000000003</v>
      </c>
      <c r="W533" s="60">
        <v>512</v>
      </c>
      <c r="X533" s="82">
        <f ca="1"/>
        <v>2701.6000000000058</v>
      </c>
    </row>
    <row r="534" spans="7:24" x14ac:dyDescent="0.2">
      <c r="G534" s="60">
        <v>513</v>
      </c>
      <c r="H534" s="82">
        <f ca="1"/>
        <v>1</v>
      </c>
      <c r="I534" s="82">
        <f t="shared" ca="1" si="42"/>
        <v>309</v>
      </c>
      <c r="J534" s="83">
        <f t="shared" ca="1" si="40"/>
        <v>0.60233918128654973</v>
      </c>
      <c r="N534" s="60">
        <v>513</v>
      </c>
      <c r="O534" s="82">
        <f ca="1">IF(AND(N534&lt;=U$22,RAND()&lt;=$H$7),1,0)</f>
        <v>1</v>
      </c>
      <c r="P534" s="82">
        <f t="shared" ca="1" si="43"/>
        <v>0</v>
      </c>
      <c r="Q534" s="84">
        <f t="shared" ca="1" si="44"/>
        <v>1</v>
      </c>
      <c r="R534" s="82">
        <f t="shared" ca="1" si="41"/>
        <v>4</v>
      </c>
      <c r="S534" s="82">
        <f ca="1">SUM(R$22:$R534)</f>
        <v>1379.2000000000003</v>
      </c>
      <c r="W534" s="60">
        <v>513</v>
      </c>
      <c r="X534" s="82">
        <f ca="1"/>
        <v>2707.2000000000066</v>
      </c>
    </row>
    <row r="535" spans="7:24" x14ac:dyDescent="0.2">
      <c r="G535" s="60">
        <v>514</v>
      </c>
      <c r="H535" s="82">
        <f ca="1"/>
        <v>1</v>
      </c>
      <c r="I535" s="82">
        <f t="shared" ca="1" si="42"/>
        <v>310</v>
      </c>
      <c r="J535" s="83">
        <f t="shared" ref="J535:J598" ca="1" si="45">I535/G535</f>
        <v>0.60311284046692604</v>
      </c>
      <c r="N535" s="60">
        <v>514</v>
      </c>
      <c r="O535" s="82">
        <f ca="1">IF(AND(N535&lt;=U$22,RAND()&lt;=$H$7),1,0)</f>
        <v>1</v>
      </c>
      <c r="P535" s="82">
        <f t="shared" ca="1" si="43"/>
        <v>1</v>
      </c>
      <c r="Q535" s="84">
        <f t="shared" ca="1" si="44"/>
        <v>1</v>
      </c>
      <c r="R535" s="82">
        <f t="shared" ref="R535:R598" ca="1" si="46">Q535*$I$7*O535</f>
        <v>4</v>
      </c>
      <c r="S535" s="82">
        <f ca="1">SUM(R$22:$R535)</f>
        <v>1383.2000000000003</v>
      </c>
      <c r="W535" s="60">
        <v>514</v>
      </c>
      <c r="X535" s="82">
        <f ca="1"/>
        <v>2664.800000000007</v>
      </c>
    </row>
    <row r="536" spans="7:24" x14ac:dyDescent="0.2">
      <c r="G536" s="60">
        <v>515</v>
      </c>
      <c r="H536" s="82">
        <f ca="1"/>
        <v>0</v>
      </c>
      <c r="I536" s="82">
        <f t="shared" ref="I536:I599" ca="1" si="47">H536+I535</f>
        <v>310</v>
      </c>
      <c r="J536" s="83">
        <f t="shared" ca="1" si="45"/>
        <v>0.60194174757281549</v>
      </c>
      <c r="N536" s="60">
        <v>515</v>
      </c>
      <c r="O536" s="82">
        <f ca="1">IF(AND(N536&lt;=U$22,RAND()&lt;=$H$7),1,0)</f>
        <v>0</v>
      </c>
      <c r="P536" s="82">
        <f t="shared" ref="P536:P599" ca="1" si="48">IF(AND(O535=1,O536=1),P535+1,0)</f>
        <v>0</v>
      </c>
      <c r="Q536" s="84">
        <f t="shared" ref="Q536:Q599" ca="1" si="49">IF(P536&gt;1,1+(P536-1)*0.1,1)</f>
        <v>1</v>
      </c>
      <c r="R536" s="82">
        <f t="shared" ca="1" si="46"/>
        <v>0</v>
      </c>
      <c r="S536" s="82">
        <f ca="1">SUM(R$22:$R536)</f>
        <v>1383.2000000000003</v>
      </c>
      <c r="W536" s="60">
        <v>515</v>
      </c>
      <c r="X536" s="82">
        <f ca="1"/>
        <v>2719.2000000000057</v>
      </c>
    </row>
    <row r="537" spans="7:24" x14ac:dyDescent="0.2">
      <c r="G537" s="60">
        <v>516</v>
      </c>
      <c r="H537" s="82">
        <f ca="1"/>
        <v>1</v>
      </c>
      <c r="I537" s="82">
        <f t="shared" ca="1" si="47"/>
        <v>311</v>
      </c>
      <c r="J537" s="83">
        <f t="shared" ca="1" si="45"/>
        <v>0.6027131782945736</v>
      </c>
      <c r="N537" s="60">
        <v>516</v>
      </c>
      <c r="O537" s="82">
        <f ca="1">IF(AND(N537&lt;=U$22,RAND()&lt;=$H$7),1,0)</f>
        <v>1</v>
      </c>
      <c r="P537" s="82">
        <f t="shared" ca="1" si="48"/>
        <v>0</v>
      </c>
      <c r="Q537" s="84">
        <f t="shared" ca="1" si="49"/>
        <v>1</v>
      </c>
      <c r="R537" s="82">
        <f t="shared" ca="1" si="46"/>
        <v>4</v>
      </c>
      <c r="S537" s="82">
        <f ca="1">SUM(R$22:$R537)</f>
        <v>1387.2000000000003</v>
      </c>
      <c r="W537" s="60">
        <v>516</v>
      </c>
      <c r="X537" s="82">
        <f ca="1"/>
        <v>2640.8000000000065</v>
      </c>
    </row>
    <row r="538" spans="7:24" x14ac:dyDescent="0.2">
      <c r="G538" s="60">
        <v>517</v>
      </c>
      <c r="H538" s="82">
        <f ca="1"/>
        <v>1</v>
      </c>
      <c r="I538" s="82">
        <f t="shared" ca="1" si="47"/>
        <v>312</v>
      </c>
      <c r="J538" s="83">
        <f t="shared" ca="1" si="45"/>
        <v>0.60348162475822054</v>
      </c>
      <c r="N538" s="60">
        <v>517</v>
      </c>
      <c r="O538" s="82">
        <f ca="1">IF(AND(N538&lt;=U$22,RAND()&lt;=$H$7),1,0)</f>
        <v>1</v>
      </c>
      <c r="P538" s="82">
        <f t="shared" ca="1" si="48"/>
        <v>1</v>
      </c>
      <c r="Q538" s="84">
        <f t="shared" ca="1" si="49"/>
        <v>1</v>
      </c>
      <c r="R538" s="82">
        <f t="shared" ca="1" si="46"/>
        <v>4</v>
      </c>
      <c r="S538" s="82">
        <f ca="1">SUM(R$22:$R538)</f>
        <v>1391.2000000000003</v>
      </c>
      <c r="W538" s="60">
        <v>517</v>
      </c>
      <c r="X538" s="82">
        <f ca="1"/>
        <v>2453.2000000000066</v>
      </c>
    </row>
    <row r="539" spans="7:24" x14ac:dyDescent="0.2">
      <c r="G539" s="60">
        <v>518</v>
      </c>
      <c r="H539" s="82">
        <f ca="1"/>
        <v>1</v>
      </c>
      <c r="I539" s="82">
        <f t="shared" ca="1" si="47"/>
        <v>313</v>
      </c>
      <c r="J539" s="83">
        <f t="shared" ca="1" si="45"/>
        <v>0.60424710424710426</v>
      </c>
      <c r="N539" s="60">
        <v>518</v>
      </c>
      <c r="O539" s="82">
        <f ca="1">IF(AND(N539&lt;=U$22,RAND()&lt;=$H$7),1,0)</f>
        <v>0</v>
      </c>
      <c r="P539" s="82">
        <f t="shared" ca="1" si="48"/>
        <v>0</v>
      </c>
      <c r="Q539" s="84">
        <f t="shared" ca="1" si="49"/>
        <v>1</v>
      </c>
      <c r="R539" s="82">
        <f t="shared" ca="1" si="46"/>
        <v>0</v>
      </c>
      <c r="S539" s="82">
        <f ca="1">SUM(R$22:$R539)</f>
        <v>1391.2000000000003</v>
      </c>
      <c r="W539" s="60">
        <v>518</v>
      </c>
      <c r="X539" s="82">
        <f ca="1"/>
        <v>2656.0000000000059</v>
      </c>
    </row>
    <row r="540" spans="7:24" x14ac:dyDescent="0.2">
      <c r="G540" s="60">
        <v>519</v>
      </c>
      <c r="H540" s="82">
        <f ca="1"/>
        <v>0</v>
      </c>
      <c r="I540" s="82">
        <f t="shared" ca="1" si="47"/>
        <v>313</v>
      </c>
      <c r="J540" s="83">
        <f t="shared" ca="1" si="45"/>
        <v>0.60308285163776498</v>
      </c>
      <c r="N540" s="60">
        <v>519</v>
      </c>
      <c r="O540" s="82">
        <f ca="1">IF(AND(N540&lt;=U$22,RAND()&lt;=$H$7),1,0)</f>
        <v>0</v>
      </c>
      <c r="P540" s="82">
        <f t="shared" ca="1" si="48"/>
        <v>0</v>
      </c>
      <c r="Q540" s="84">
        <f t="shared" ca="1" si="49"/>
        <v>1</v>
      </c>
      <c r="R540" s="82">
        <f t="shared" ca="1" si="46"/>
        <v>0</v>
      </c>
      <c r="S540" s="82">
        <f ca="1">SUM(R$22:$R540)</f>
        <v>1391.2000000000003</v>
      </c>
      <c r="W540" s="60">
        <v>519</v>
      </c>
      <c r="X540" s="82">
        <f ca="1"/>
        <v>2694.8000000000056</v>
      </c>
    </row>
    <row r="541" spans="7:24" x14ac:dyDescent="0.2">
      <c r="G541" s="60">
        <v>520</v>
      </c>
      <c r="H541" s="82">
        <f ca="1"/>
        <v>0</v>
      </c>
      <c r="I541" s="82">
        <f t="shared" ca="1" si="47"/>
        <v>313</v>
      </c>
      <c r="J541" s="83">
        <f t="shared" ca="1" si="45"/>
        <v>0.60192307692307689</v>
      </c>
      <c r="N541" s="60">
        <v>520</v>
      </c>
      <c r="O541" s="82">
        <f ca="1">IF(AND(N541&lt;=U$22,RAND()&lt;=$H$7),1,0)</f>
        <v>1</v>
      </c>
      <c r="P541" s="82">
        <f t="shared" ca="1" si="48"/>
        <v>0</v>
      </c>
      <c r="Q541" s="84">
        <f t="shared" ca="1" si="49"/>
        <v>1</v>
      </c>
      <c r="R541" s="82">
        <f t="shared" ca="1" si="46"/>
        <v>4</v>
      </c>
      <c r="S541" s="82">
        <f ca="1">SUM(R$22:$R541)</f>
        <v>1395.2000000000003</v>
      </c>
      <c r="W541" s="60">
        <v>520</v>
      </c>
      <c r="X541" s="82">
        <f ca="1"/>
        <v>2550.0000000000064</v>
      </c>
    </row>
    <row r="542" spans="7:24" x14ac:dyDescent="0.2">
      <c r="G542" s="60">
        <v>521</v>
      </c>
      <c r="H542" s="82">
        <f ca="1"/>
        <v>1</v>
      </c>
      <c r="I542" s="82">
        <f t="shared" ca="1" si="47"/>
        <v>314</v>
      </c>
      <c r="J542" s="83">
        <f t="shared" ca="1" si="45"/>
        <v>0.60268714011516311</v>
      </c>
      <c r="N542" s="60">
        <v>521</v>
      </c>
      <c r="O542" s="82">
        <f ca="1">IF(AND(N542&lt;=U$22,RAND()&lt;=$H$7),1,0)</f>
        <v>0</v>
      </c>
      <c r="P542" s="82">
        <f t="shared" ca="1" si="48"/>
        <v>0</v>
      </c>
      <c r="Q542" s="84">
        <f t="shared" ca="1" si="49"/>
        <v>1</v>
      </c>
      <c r="R542" s="82">
        <f t="shared" ca="1" si="46"/>
        <v>0</v>
      </c>
      <c r="S542" s="82">
        <f ca="1">SUM(R$22:$R542)</f>
        <v>1395.2000000000003</v>
      </c>
      <c r="W542" s="60">
        <v>521</v>
      </c>
      <c r="X542" s="82">
        <f ca="1"/>
        <v>2975.200000000008</v>
      </c>
    </row>
    <row r="543" spans="7:24" x14ac:dyDescent="0.2">
      <c r="G543" s="60">
        <v>522</v>
      </c>
      <c r="H543" s="82">
        <f ca="1"/>
        <v>0</v>
      </c>
      <c r="I543" s="82">
        <f t="shared" ca="1" si="47"/>
        <v>314</v>
      </c>
      <c r="J543" s="83">
        <f t="shared" ca="1" si="45"/>
        <v>0.6015325670498084</v>
      </c>
      <c r="N543" s="60">
        <v>522</v>
      </c>
      <c r="O543" s="82">
        <f ca="1">IF(AND(N543&lt;=U$22,RAND()&lt;=$H$7),1,0)</f>
        <v>1</v>
      </c>
      <c r="P543" s="82">
        <f t="shared" ca="1" si="48"/>
        <v>0</v>
      </c>
      <c r="Q543" s="84">
        <f t="shared" ca="1" si="49"/>
        <v>1</v>
      </c>
      <c r="R543" s="82">
        <f t="shared" ca="1" si="46"/>
        <v>4</v>
      </c>
      <c r="S543" s="82">
        <f ca="1">SUM(R$22:$R543)</f>
        <v>1399.2000000000003</v>
      </c>
      <c r="W543" s="60">
        <v>522</v>
      </c>
      <c r="X543" s="82">
        <f ca="1"/>
        <v>2764.8000000000084</v>
      </c>
    </row>
    <row r="544" spans="7:24" x14ac:dyDescent="0.2">
      <c r="G544" s="60">
        <v>523</v>
      </c>
      <c r="H544" s="82">
        <f ca="1"/>
        <v>1</v>
      </c>
      <c r="I544" s="82">
        <f t="shared" ca="1" si="47"/>
        <v>315</v>
      </c>
      <c r="J544" s="83">
        <f t="shared" ca="1" si="45"/>
        <v>0.60229445506692159</v>
      </c>
      <c r="N544" s="60">
        <v>523</v>
      </c>
      <c r="O544" s="82">
        <f ca="1">IF(AND(N544&lt;=U$22,RAND()&lt;=$H$7),1,0)</f>
        <v>1</v>
      </c>
      <c r="P544" s="82">
        <f t="shared" ca="1" si="48"/>
        <v>1</v>
      </c>
      <c r="Q544" s="84">
        <f t="shared" ca="1" si="49"/>
        <v>1</v>
      </c>
      <c r="R544" s="82">
        <f t="shared" ca="1" si="46"/>
        <v>4</v>
      </c>
      <c r="S544" s="82">
        <f ca="1">SUM(R$22:$R544)</f>
        <v>1403.2000000000003</v>
      </c>
      <c r="W544" s="60">
        <v>523</v>
      </c>
      <c r="X544" s="82">
        <f ca="1"/>
        <v>2773.6000000000081</v>
      </c>
    </row>
    <row r="545" spans="7:24" x14ac:dyDescent="0.2">
      <c r="G545" s="60">
        <v>524</v>
      </c>
      <c r="H545" s="82">
        <f ca="1"/>
        <v>1</v>
      </c>
      <c r="I545" s="82">
        <f t="shared" ca="1" si="47"/>
        <v>316</v>
      </c>
      <c r="J545" s="83">
        <f t="shared" ca="1" si="45"/>
        <v>0.60305343511450382</v>
      </c>
      <c r="N545" s="60">
        <v>524</v>
      </c>
      <c r="O545" s="82">
        <f ca="1">IF(AND(N545&lt;=U$22,RAND()&lt;=$H$7),1,0)</f>
        <v>0</v>
      </c>
      <c r="P545" s="82">
        <f t="shared" ca="1" si="48"/>
        <v>0</v>
      </c>
      <c r="Q545" s="84">
        <f t="shared" ca="1" si="49"/>
        <v>1</v>
      </c>
      <c r="R545" s="82">
        <f t="shared" ca="1" si="46"/>
        <v>0</v>
      </c>
      <c r="S545" s="82">
        <f ca="1">SUM(R$22:$R545)</f>
        <v>1403.2000000000003</v>
      </c>
      <c r="W545" s="60">
        <v>524</v>
      </c>
      <c r="X545" s="82">
        <f ca="1"/>
        <v>2566.0000000000073</v>
      </c>
    </row>
    <row r="546" spans="7:24" x14ac:dyDescent="0.2">
      <c r="G546" s="60">
        <v>525</v>
      </c>
      <c r="H546" s="82">
        <f ca="1"/>
        <v>0</v>
      </c>
      <c r="I546" s="82">
        <f t="shared" ca="1" si="47"/>
        <v>316</v>
      </c>
      <c r="J546" s="83">
        <f t="shared" ca="1" si="45"/>
        <v>0.60190476190476194</v>
      </c>
      <c r="N546" s="60">
        <v>525</v>
      </c>
      <c r="O546" s="82">
        <f ca="1">IF(AND(N546&lt;=U$22,RAND()&lt;=$H$7),1,0)</f>
        <v>1</v>
      </c>
      <c r="P546" s="82">
        <f t="shared" ca="1" si="48"/>
        <v>0</v>
      </c>
      <c r="Q546" s="84">
        <f t="shared" ca="1" si="49"/>
        <v>1</v>
      </c>
      <c r="R546" s="82">
        <f t="shared" ca="1" si="46"/>
        <v>4</v>
      </c>
      <c r="S546" s="82">
        <f ca="1">SUM(R$22:$R546)</f>
        <v>1407.2000000000003</v>
      </c>
      <c r="W546" s="60">
        <v>525</v>
      </c>
      <c r="X546" s="82">
        <f ca="1"/>
        <v>2752.4000000000083</v>
      </c>
    </row>
    <row r="547" spans="7:24" x14ac:dyDescent="0.2">
      <c r="G547" s="60">
        <v>526</v>
      </c>
      <c r="H547" s="82">
        <f ca="1"/>
        <v>0</v>
      </c>
      <c r="I547" s="82">
        <f t="shared" ca="1" si="47"/>
        <v>316</v>
      </c>
      <c r="J547" s="83">
        <f t="shared" ca="1" si="45"/>
        <v>0.60076045627376429</v>
      </c>
      <c r="N547" s="60">
        <v>526</v>
      </c>
      <c r="O547" s="82">
        <f ca="1">IF(AND(N547&lt;=U$22,RAND()&lt;=$H$7),1,0)</f>
        <v>1</v>
      </c>
      <c r="P547" s="82">
        <f t="shared" ca="1" si="48"/>
        <v>1</v>
      </c>
      <c r="Q547" s="84">
        <f t="shared" ca="1" si="49"/>
        <v>1</v>
      </c>
      <c r="R547" s="82">
        <f t="shared" ca="1" si="46"/>
        <v>4</v>
      </c>
      <c r="S547" s="82">
        <f ca="1">SUM(R$22:$R547)</f>
        <v>1411.2000000000003</v>
      </c>
      <c r="W547" s="60">
        <v>526</v>
      </c>
      <c r="X547" s="82">
        <f ca="1"/>
        <v>2932.800000000007</v>
      </c>
    </row>
    <row r="548" spans="7:24" x14ac:dyDescent="0.2">
      <c r="G548" s="60">
        <v>527</v>
      </c>
      <c r="H548" s="82">
        <f ca="1"/>
        <v>0</v>
      </c>
      <c r="I548" s="82">
        <f t="shared" ca="1" si="47"/>
        <v>316</v>
      </c>
      <c r="J548" s="83">
        <f t="shared" ca="1" si="45"/>
        <v>0.59962049335863377</v>
      </c>
      <c r="N548" s="60">
        <v>527</v>
      </c>
      <c r="O548" s="82">
        <f ca="1">IF(AND(N548&lt;=U$22,RAND()&lt;=$H$7),1,0)</f>
        <v>0</v>
      </c>
      <c r="P548" s="82">
        <f t="shared" ca="1" si="48"/>
        <v>0</v>
      </c>
      <c r="Q548" s="84">
        <f t="shared" ca="1" si="49"/>
        <v>1</v>
      </c>
      <c r="R548" s="82">
        <f t="shared" ca="1" si="46"/>
        <v>0</v>
      </c>
      <c r="S548" s="82">
        <f ca="1">SUM(R$22:$R548)</f>
        <v>1411.2000000000003</v>
      </c>
      <c r="W548" s="60">
        <v>527</v>
      </c>
      <c r="X548" s="82">
        <f ca="1"/>
        <v>2666.4000000000069</v>
      </c>
    </row>
    <row r="549" spans="7:24" x14ac:dyDescent="0.2">
      <c r="G549" s="60">
        <v>528</v>
      </c>
      <c r="H549" s="82">
        <f ca="1"/>
        <v>1</v>
      </c>
      <c r="I549" s="82">
        <f t="shared" ca="1" si="47"/>
        <v>317</v>
      </c>
      <c r="J549" s="83">
        <f t="shared" ca="1" si="45"/>
        <v>0.60037878787878785</v>
      </c>
      <c r="N549" s="60">
        <v>528</v>
      </c>
      <c r="O549" s="82">
        <f ca="1">IF(AND(N549&lt;=U$22,RAND()&lt;=$H$7),1,0)</f>
        <v>1</v>
      </c>
      <c r="P549" s="82">
        <f t="shared" ca="1" si="48"/>
        <v>0</v>
      </c>
      <c r="Q549" s="84">
        <f t="shared" ca="1" si="49"/>
        <v>1</v>
      </c>
      <c r="R549" s="82">
        <f t="shared" ca="1" si="46"/>
        <v>4</v>
      </c>
      <c r="S549" s="82">
        <f ca="1">SUM(R$22:$R549)</f>
        <v>1415.2000000000003</v>
      </c>
      <c r="W549" s="60">
        <v>528</v>
      </c>
      <c r="X549" s="82">
        <f ca="1"/>
        <v>2720.8000000000061</v>
      </c>
    </row>
    <row r="550" spans="7:24" x14ac:dyDescent="0.2">
      <c r="G550" s="60">
        <v>529</v>
      </c>
      <c r="H550" s="82">
        <f ca="1"/>
        <v>0</v>
      </c>
      <c r="I550" s="82">
        <f t="shared" ca="1" si="47"/>
        <v>317</v>
      </c>
      <c r="J550" s="83">
        <f t="shared" ca="1" si="45"/>
        <v>0.59924385633270316</v>
      </c>
      <c r="N550" s="60">
        <v>529</v>
      </c>
      <c r="O550" s="82">
        <f ca="1">IF(AND(N550&lt;=U$22,RAND()&lt;=$H$7),1,0)</f>
        <v>1</v>
      </c>
      <c r="P550" s="82">
        <f t="shared" ca="1" si="48"/>
        <v>1</v>
      </c>
      <c r="Q550" s="84">
        <f t="shared" ca="1" si="49"/>
        <v>1</v>
      </c>
      <c r="R550" s="82">
        <f t="shared" ca="1" si="46"/>
        <v>4</v>
      </c>
      <c r="S550" s="82">
        <f ca="1">SUM(R$22:$R550)</f>
        <v>1419.2000000000003</v>
      </c>
      <c r="W550" s="60">
        <v>529</v>
      </c>
      <c r="X550" s="82">
        <f ca="1"/>
        <v>2672.8000000000065</v>
      </c>
    </row>
    <row r="551" spans="7:24" x14ac:dyDescent="0.2">
      <c r="G551" s="60">
        <v>530</v>
      </c>
      <c r="H551" s="82">
        <f ca="1"/>
        <v>1</v>
      </c>
      <c r="I551" s="82">
        <f t="shared" ca="1" si="47"/>
        <v>318</v>
      </c>
      <c r="J551" s="83">
        <f t="shared" ca="1" si="45"/>
        <v>0.6</v>
      </c>
      <c r="N551" s="60">
        <v>530</v>
      </c>
      <c r="O551" s="82">
        <f ca="1">IF(AND(N551&lt;=U$22,RAND()&lt;=$H$7),1,0)</f>
        <v>0</v>
      </c>
      <c r="P551" s="82">
        <f t="shared" ca="1" si="48"/>
        <v>0</v>
      </c>
      <c r="Q551" s="84">
        <f t="shared" ca="1" si="49"/>
        <v>1</v>
      </c>
      <c r="R551" s="82">
        <f t="shared" ca="1" si="46"/>
        <v>0</v>
      </c>
      <c r="S551" s="82">
        <f ca="1">SUM(R$22:$R551)</f>
        <v>1419.2000000000003</v>
      </c>
      <c r="W551" s="60">
        <v>530</v>
      </c>
      <c r="X551" s="82">
        <f ca="1"/>
        <v>2783.2000000000071</v>
      </c>
    </row>
    <row r="552" spans="7:24" x14ac:dyDescent="0.2">
      <c r="G552" s="60">
        <v>531</v>
      </c>
      <c r="H552" s="82">
        <f ca="1"/>
        <v>1</v>
      </c>
      <c r="I552" s="82">
        <f t="shared" ca="1" si="47"/>
        <v>319</v>
      </c>
      <c r="J552" s="83">
        <f t="shared" ca="1" si="45"/>
        <v>0.60075329566854996</v>
      </c>
      <c r="N552" s="60">
        <v>531</v>
      </c>
      <c r="O552" s="82">
        <f ca="1">IF(AND(N552&lt;=U$22,RAND()&lt;=$H$7),1,0)</f>
        <v>0</v>
      </c>
      <c r="P552" s="82">
        <f t="shared" ca="1" si="48"/>
        <v>0</v>
      </c>
      <c r="Q552" s="84">
        <f t="shared" ca="1" si="49"/>
        <v>1</v>
      </c>
      <c r="R552" s="82">
        <f t="shared" ca="1" si="46"/>
        <v>0</v>
      </c>
      <c r="S552" s="82">
        <f ca="1">SUM(R$22:$R552)</f>
        <v>1419.2000000000003</v>
      </c>
      <c r="W552" s="60">
        <v>531</v>
      </c>
      <c r="X552" s="82">
        <f ca="1"/>
        <v>3035.6000000000085</v>
      </c>
    </row>
    <row r="553" spans="7:24" x14ac:dyDescent="0.2">
      <c r="G553" s="60">
        <v>532</v>
      </c>
      <c r="H553" s="82">
        <f ca="1"/>
        <v>0</v>
      </c>
      <c r="I553" s="82">
        <f t="shared" ca="1" si="47"/>
        <v>319</v>
      </c>
      <c r="J553" s="83">
        <f t="shared" ca="1" si="45"/>
        <v>0.59962406015037595</v>
      </c>
      <c r="N553" s="60">
        <v>532</v>
      </c>
      <c r="O553" s="82">
        <f ca="1">IF(AND(N553&lt;=U$22,RAND()&lt;=$H$7),1,0)</f>
        <v>0</v>
      </c>
      <c r="P553" s="82">
        <f t="shared" ca="1" si="48"/>
        <v>0</v>
      </c>
      <c r="Q553" s="84">
        <f t="shared" ca="1" si="49"/>
        <v>1</v>
      </c>
      <c r="R553" s="82">
        <f t="shared" ca="1" si="46"/>
        <v>0</v>
      </c>
      <c r="S553" s="82">
        <f ca="1">SUM(R$22:$R553)</f>
        <v>1419.2000000000003</v>
      </c>
      <c r="W553" s="60">
        <v>532</v>
      </c>
      <c r="X553" s="82">
        <f ca="1"/>
        <v>2938.8000000000097</v>
      </c>
    </row>
    <row r="554" spans="7:24" x14ac:dyDescent="0.2">
      <c r="G554" s="60">
        <v>533</v>
      </c>
      <c r="H554" s="82">
        <f ca="1"/>
        <v>1</v>
      </c>
      <c r="I554" s="82">
        <f t="shared" ca="1" si="47"/>
        <v>320</v>
      </c>
      <c r="J554" s="83">
        <f t="shared" ca="1" si="45"/>
        <v>0.60037523452157604</v>
      </c>
      <c r="N554" s="60">
        <v>533</v>
      </c>
      <c r="O554" s="82">
        <f ca="1">IF(AND(N554&lt;=U$22,RAND()&lt;=$H$7),1,0)</f>
        <v>0</v>
      </c>
      <c r="P554" s="82">
        <f t="shared" ca="1" si="48"/>
        <v>0</v>
      </c>
      <c r="Q554" s="84">
        <f t="shared" ca="1" si="49"/>
        <v>1</v>
      </c>
      <c r="R554" s="82">
        <f t="shared" ca="1" si="46"/>
        <v>0</v>
      </c>
      <c r="S554" s="82">
        <f ca="1">SUM(R$22:$R554)</f>
        <v>1419.2000000000003</v>
      </c>
      <c r="W554" s="60">
        <v>533</v>
      </c>
      <c r="X554" s="82">
        <f ca="1"/>
        <v>2782.4000000000069</v>
      </c>
    </row>
    <row r="555" spans="7:24" x14ac:dyDescent="0.2">
      <c r="G555" s="60">
        <v>534</v>
      </c>
      <c r="H555" s="82">
        <f ca="1"/>
        <v>1</v>
      </c>
      <c r="I555" s="82">
        <f t="shared" ca="1" si="47"/>
        <v>321</v>
      </c>
      <c r="J555" s="83">
        <f t="shared" ca="1" si="45"/>
        <v>0.601123595505618</v>
      </c>
      <c r="N555" s="60">
        <v>534</v>
      </c>
      <c r="O555" s="82">
        <f ca="1">IF(AND(N555&lt;=U$22,RAND()&lt;=$H$7),1,0)</f>
        <v>1</v>
      </c>
      <c r="P555" s="82">
        <f t="shared" ca="1" si="48"/>
        <v>0</v>
      </c>
      <c r="Q555" s="84">
        <f t="shared" ca="1" si="49"/>
        <v>1</v>
      </c>
      <c r="R555" s="82">
        <f t="shared" ca="1" si="46"/>
        <v>4</v>
      </c>
      <c r="S555" s="82">
        <f ca="1">SUM(R$22:$R555)</f>
        <v>1423.2000000000003</v>
      </c>
      <c r="W555" s="60">
        <v>534</v>
      </c>
      <c r="X555" s="82">
        <f ca="1"/>
        <v>2672.4000000000065</v>
      </c>
    </row>
    <row r="556" spans="7:24" x14ac:dyDescent="0.2">
      <c r="G556" s="60">
        <v>535</v>
      </c>
      <c r="H556" s="82">
        <f ca="1"/>
        <v>1</v>
      </c>
      <c r="I556" s="82">
        <f t="shared" ca="1" si="47"/>
        <v>322</v>
      </c>
      <c r="J556" s="83">
        <f t="shared" ca="1" si="45"/>
        <v>0.60186915887850467</v>
      </c>
      <c r="N556" s="60">
        <v>535</v>
      </c>
      <c r="O556" s="82">
        <f ca="1">IF(AND(N556&lt;=U$22,RAND()&lt;=$H$7),1,0)</f>
        <v>0</v>
      </c>
      <c r="P556" s="82">
        <f t="shared" ca="1" si="48"/>
        <v>0</v>
      </c>
      <c r="Q556" s="84">
        <f t="shared" ca="1" si="49"/>
        <v>1</v>
      </c>
      <c r="R556" s="82">
        <f t="shared" ca="1" si="46"/>
        <v>0</v>
      </c>
      <c r="S556" s="82">
        <f ca="1">SUM(R$22:$R556)</f>
        <v>1423.2000000000003</v>
      </c>
      <c r="W556" s="60">
        <v>535</v>
      </c>
      <c r="X556" s="82">
        <f ca="1"/>
        <v>2707.2000000000066</v>
      </c>
    </row>
    <row r="557" spans="7:24" x14ac:dyDescent="0.2">
      <c r="G557" s="60">
        <v>536</v>
      </c>
      <c r="H557" s="82">
        <f ca="1"/>
        <v>1</v>
      </c>
      <c r="I557" s="82">
        <f t="shared" ca="1" si="47"/>
        <v>323</v>
      </c>
      <c r="J557" s="83">
        <f t="shared" ca="1" si="45"/>
        <v>0.60261194029850751</v>
      </c>
      <c r="N557" s="60">
        <v>536</v>
      </c>
      <c r="O557" s="82">
        <f ca="1">IF(AND(N557&lt;=U$22,RAND()&lt;=$H$7),1,0)</f>
        <v>0</v>
      </c>
      <c r="P557" s="82">
        <f t="shared" ca="1" si="48"/>
        <v>0</v>
      </c>
      <c r="Q557" s="84">
        <f t="shared" ca="1" si="49"/>
        <v>1</v>
      </c>
      <c r="R557" s="82">
        <f t="shared" ca="1" si="46"/>
        <v>0</v>
      </c>
      <c r="S557" s="82">
        <f ca="1">SUM(R$22:$R557)</f>
        <v>1423.2000000000003</v>
      </c>
      <c r="W557" s="60">
        <v>536</v>
      </c>
      <c r="X557" s="82">
        <f ca="1"/>
        <v>2762.4000000000065</v>
      </c>
    </row>
    <row r="558" spans="7:24" x14ac:dyDescent="0.2">
      <c r="G558" s="60">
        <v>537</v>
      </c>
      <c r="H558" s="82">
        <f ca="1"/>
        <v>0</v>
      </c>
      <c r="I558" s="82">
        <f t="shared" ca="1" si="47"/>
        <v>323</v>
      </c>
      <c r="J558" s="83">
        <f t="shared" ca="1" si="45"/>
        <v>0.6014897579143389</v>
      </c>
      <c r="N558" s="60">
        <v>537</v>
      </c>
      <c r="O558" s="82">
        <f ca="1">IF(AND(N558&lt;=U$22,RAND()&lt;=$H$7),1,0)</f>
        <v>1</v>
      </c>
      <c r="P558" s="82">
        <f t="shared" ca="1" si="48"/>
        <v>0</v>
      </c>
      <c r="Q558" s="84">
        <f t="shared" ca="1" si="49"/>
        <v>1</v>
      </c>
      <c r="R558" s="82">
        <f t="shared" ca="1" si="46"/>
        <v>4</v>
      </c>
      <c r="S558" s="82">
        <f ca="1">SUM(R$22:$R558)</f>
        <v>1427.2000000000003</v>
      </c>
      <c r="W558" s="60">
        <v>537</v>
      </c>
      <c r="X558" s="82">
        <f ca="1"/>
        <v>2905.2000000000089</v>
      </c>
    </row>
    <row r="559" spans="7:24" x14ac:dyDescent="0.2">
      <c r="G559" s="60">
        <v>538</v>
      </c>
      <c r="H559" s="82">
        <f ca="1"/>
        <v>1</v>
      </c>
      <c r="I559" s="82">
        <f t="shared" ca="1" si="47"/>
        <v>324</v>
      </c>
      <c r="J559" s="83">
        <f t="shared" ca="1" si="45"/>
        <v>0.60223048327137552</v>
      </c>
      <c r="N559" s="60">
        <v>538</v>
      </c>
      <c r="O559" s="82">
        <f ca="1">IF(AND(N559&lt;=U$22,RAND()&lt;=$H$7),1,0)</f>
        <v>1</v>
      </c>
      <c r="P559" s="82">
        <f t="shared" ca="1" si="48"/>
        <v>1</v>
      </c>
      <c r="Q559" s="84">
        <f t="shared" ca="1" si="49"/>
        <v>1</v>
      </c>
      <c r="R559" s="82">
        <f t="shared" ca="1" si="46"/>
        <v>4</v>
      </c>
      <c r="S559" s="82">
        <f ca="1">SUM(R$22:$R559)</f>
        <v>1431.2000000000003</v>
      </c>
      <c r="W559" s="60">
        <v>538</v>
      </c>
      <c r="X559" s="82">
        <f ca="1"/>
        <v>2787.2000000000062</v>
      </c>
    </row>
    <row r="560" spans="7:24" x14ac:dyDescent="0.2">
      <c r="G560" s="60">
        <v>539</v>
      </c>
      <c r="H560" s="82">
        <f ca="1"/>
        <v>1</v>
      </c>
      <c r="I560" s="82">
        <f t="shared" ca="1" si="47"/>
        <v>325</v>
      </c>
      <c r="J560" s="83">
        <f t="shared" ca="1" si="45"/>
        <v>0.60296846011131722</v>
      </c>
      <c r="N560" s="60">
        <v>539</v>
      </c>
      <c r="O560" s="82">
        <f ca="1">IF(AND(N560&lt;=U$22,RAND()&lt;=$H$7),1,0)</f>
        <v>0</v>
      </c>
      <c r="P560" s="82">
        <f t="shared" ca="1" si="48"/>
        <v>0</v>
      </c>
      <c r="Q560" s="84">
        <f t="shared" ca="1" si="49"/>
        <v>1</v>
      </c>
      <c r="R560" s="82">
        <f t="shared" ca="1" si="46"/>
        <v>0</v>
      </c>
      <c r="S560" s="82">
        <f ca="1">SUM(R$22:$R560)</f>
        <v>1431.2000000000003</v>
      </c>
      <c r="W560" s="60">
        <v>539</v>
      </c>
      <c r="X560" s="82">
        <f ca="1"/>
        <v>2733.600000000009</v>
      </c>
    </row>
    <row r="561" spans="7:24" x14ac:dyDescent="0.2">
      <c r="G561" s="60">
        <v>540</v>
      </c>
      <c r="H561" s="82">
        <f ca="1"/>
        <v>0</v>
      </c>
      <c r="I561" s="82">
        <f t="shared" ca="1" si="47"/>
        <v>325</v>
      </c>
      <c r="J561" s="83">
        <f t="shared" ca="1" si="45"/>
        <v>0.60185185185185186</v>
      </c>
      <c r="N561" s="60">
        <v>540</v>
      </c>
      <c r="O561" s="82">
        <f ca="1">IF(AND(N561&lt;=U$22,RAND()&lt;=$H$7),1,0)</f>
        <v>1</v>
      </c>
      <c r="P561" s="82">
        <f t="shared" ca="1" si="48"/>
        <v>0</v>
      </c>
      <c r="Q561" s="84">
        <f t="shared" ca="1" si="49"/>
        <v>1</v>
      </c>
      <c r="R561" s="82">
        <f t="shared" ca="1" si="46"/>
        <v>4</v>
      </c>
      <c r="S561" s="82">
        <f ca="1">SUM(R$22:$R561)</f>
        <v>1435.2000000000003</v>
      </c>
      <c r="W561" s="60">
        <v>540</v>
      </c>
      <c r="X561" s="82">
        <f ca="1"/>
        <v>2663.6000000000081</v>
      </c>
    </row>
    <row r="562" spans="7:24" x14ac:dyDescent="0.2">
      <c r="G562" s="60">
        <v>541</v>
      </c>
      <c r="H562" s="82">
        <f ca="1"/>
        <v>0</v>
      </c>
      <c r="I562" s="82">
        <f t="shared" ca="1" si="47"/>
        <v>325</v>
      </c>
      <c r="J562" s="83">
        <f t="shared" ca="1" si="45"/>
        <v>0.60073937153419599</v>
      </c>
      <c r="N562" s="60">
        <v>541</v>
      </c>
      <c r="O562" s="82">
        <f ca="1">IF(AND(N562&lt;=U$22,RAND()&lt;=$H$7),1,0)</f>
        <v>1</v>
      </c>
      <c r="P562" s="82">
        <f t="shared" ca="1" si="48"/>
        <v>1</v>
      </c>
      <c r="Q562" s="84">
        <f t="shared" ca="1" si="49"/>
        <v>1</v>
      </c>
      <c r="R562" s="82">
        <f t="shared" ca="1" si="46"/>
        <v>4</v>
      </c>
      <c r="S562" s="82">
        <f ca="1">SUM(R$22:$R562)</f>
        <v>1439.2000000000003</v>
      </c>
      <c r="W562" s="60">
        <v>541</v>
      </c>
      <c r="X562" s="82">
        <f ca="1"/>
        <v>2692.4000000000074</v>
      </c>
    </row>
    <row r="563" spans="7:24" x14ac:dyDescent="0.2">
      <c r="G563" s="60">
        <v>542</v>
      </c>
      <c r="H563" s="82">
        <f ca="1"/>
        <v>0</v>
      </c>
      <c r="I563" s="82">
        <f t="shared" ca="1" si="47"/>
        <v>325</v>
      </c>
      <c r="J563" s="83">
        <f t="shared" ca="1" si="45"/>
        <v>0.59963099630996308</v>
      </c>
      <c r="N563" s="60">
        <v>542</v>
      </c>
      <c r="O563" s="82">
        <f ca="1">IF(AND(N563&lt;=U$22,RAND()&lt;=$H$7),1,0)</f>
        <v>1</v>
      </c>
      <c r="P563" s="82">
        <f t="shared" ca="1" si="48"/>
        <v>2</v>
      </c>
      <c r="Q563" s="84">
        <f t="shared" ca="1" si="49"/>
        <v>1.1000000000000001</v>
      </c>
      <c r="R563" s="82">
        <f t="shared" ca="1" si="46"/>
        <v>4.4000000000000004</v>
      </c>
      <c r="S563" s="82">
        <f ca="1">SUM(R$22:$R563)</f>
        <v>1443.6000000000004</v>
      </c>
      <c r="W563" s="60">
        <v>542</v>
      </c>
      <c r="X563" s="82">
        <f ca="1"/>
        <v>2782.4000000000069</v>
      </c>
    </row>
    <row r="564" spans="7:24" x14ac:dyDescent="0.2">
      <c r="G564" s="60">
        <v>543</v>
      </c>
      <c r="H564" s="82">
        <f ca="1"/>
        <v>1</v>
      </c>
      <c r="I564" s="82">
        <f t="shared" ca="1" si="47"/>
        <v>326</v>
      </c>
      <c r="J564" s="83">
        <f t="shared" ca="1" si="45"/>
        <v>0.60036832412523022</v>
      </c>
      <c r="N564" s="60">
        <v>543</v>
      </c>
      <c r="O564" s="82">
        <f ca="1">IF(AND(N564&lt;=U$22,RAND()&lt;=$H$7),1,0)</f>
        <v>0</v>
      </c>
      <c r="P564" s="82">
        <f t="shared" ca="1" si="48"/>
        <v>0</v>
      </c>
      <c r="Q564" s="84">
        <f t="shared" ca="1" si="49"/>
        <v>1</v>
      </c>
      <c r="R564" s="82">
        <f t="shared" ca="1" si="46"/>
        <v>0</v>
      </c>
      <c r="S564" s="82">
        <f ca="1">SUM(R$22:$R564)</f>
        <v>1443.6000000000004</v>
      </c>
      <c r="W564" s="60">
        <v>543</v>
      </c>
      <c r="X564" s="82">
        <f ca="1"/>
        <v>2856.0000000000077</v>
      </c>
    </row>
    <row r="565" spans="7:24" x14ac:dyDescent="0.2">
      <c r="G565" s="60">
        <v>544</v>
      </c>
      <c r="H565" s="82">
        <f ca="1"/>
        <v>1</v>
      </c>
      <c r="I565" s="82">
        <f t="shared" ca="1" si="47"/>
        <v>327</v>
      </c>
      <c r="J565" s="83">
        <f t="shared" ca="1" si="45"/>
        <v>0.60110294117647056</v>
      </c>
      <c r="N565" s="60">
        <v>544</v>
      </c>
      <c r="O565" s="82">
        <f ca="1">IF(AND(N565&lt;=U$22,RAND()&lt;=$H$7),1,0)</f>
        <v>1</v>
      </c>
      <c r="P565" s="82">
        <f t="shared" ca="1" si="48"/>
        <v>0</v>
      </c>
      <c r="Q565" s="84">
        <f t="shared" ca="1" si="49"/>
        <v>1</v>
      </c>
      <c r="R565" s="82">
        <f t="shared" ca="1" si="46"/>
        <v>4</v>
      </c>
      <c r="S565" s="82">
        <f ca="1">SUM(R$22:$R565)</f>
        <v>1447.6000000000004</v>
      </c>
      <c r="W565" s="60">
        <v>544</v>
      </c>
      <c r="X565" s="82">
        <f ca="1"/>
        <v>2822.0000000000068</v>
      </c>
    </row>
    <row r="566" spans="7:24" x14ac:dyDescent="0.2">
      <c r="G566" s="60">
        <v>545</v>
      </c>
      <c r="H566" s="82">
        <f ca="1"/>
        <v>1</v>
      </c>
      <c r="I566" s="82">
        <f t="shared" ca="1" si="47"/>
        <v>328</v>
      </c>
      <c r="J566" s="83">
        <f t="shared" ca="1" si="45"/>
        <v>0.60183486238532113</v>
      </c>
      <c r="N566" s="60">
        <v>545</v>
      </c>
      <c r="O566" s="82">
        <f ca="1">IF(AND(N566&lt;=U$22,RAND()&lt;=$H$7),1,0)</f>
        <v>0</v>
      </c>
      <c r="P566" s="82">
        <f t="shared" ca="1" si="48"/>
        <v>0</v>
      </c>
      <c r="Q566" s="84">
        <f t="shared" ca="1" si="49"/>
        <v>1</v>
      </c>
      <c r="R566" s="82">
        <f t="shared" ca="1" si="46"/>
        <v>0</v>
      </c>
      <c r="S566" s="82">
        <f ca="1">SUM(R$22:$R566)</f>
        <v>1447.6000000000004</v>
      </c>
      <c r="W566" s="60">
        <v>545</v>
      </c>
      <c r="X566" s="82">
        <f ca="1"/>
        <v>2596.0000000000064</v>
      </c>
    </row>
    <row r="567" spans="7:24" x14ac:dyDescent="0.2">
      <c r="G567" s="60">
        <v>546</v>
      </c>
      <c r="H567" s="82">
        <f ca="1"/>
        <v>0</v>
      </c>
      <c r="I567" s="82">
        <f t="shared" ca="1" si="47"/>
        <v>328</v>
      </c>
      <c r="J567" s="83">
        <f t="shared" ca="1" si="45"/>
        <v>0.60073260073260071</v>
      </c>
      <c r="N567" s="60">
        <v>546</v>
      </c>
      <c r="O567" s="82">
        <f ca="1">IF(AND(N567&lt;=U$22,RAND()&lt;=$H$7),1,0)</f>
        <v>0</v>
      </c>
      <c r="P567" s="82">
        <f t="shared" ca="1" si="48"/>
        <v>0</v>
      </c>
      <c r="Q567" s="84">
        <f t="shared" ca="1" si="49"/>
        <v>1</v>
      </c>
      <c r="R567" s="82">
        <f t="shared" ca="1" si="46"/>
        <v>0</v>
      </c>
      <c r="S567" s="82">
        <f ca="1">SUM(R$22:$R567)</f>
        <v>1447.6000000000004</v>
      </c>
      <c r="W567" s="60">
        <v>546</v>
      </c>
      <c r="X567" s="82">
        <f ca="1"/>
        <v>2777.6000000000085</v>
      </c>
    </row>
    <row r="568" spans="7:24" x14ac:dyDescent="0.2">
      <c r="G568" s="60">
        <v>547</v>
      </c>
      <c r="H568" s="82">
        <f ca="1"/>
        <v>1</v>
      </c>
      <c r="I568" s="82">
        <f t="shared" ca="1" si="47"/>
        <v>329</v>
      </c>
      <c r="J568" s="83">
        <f t="shared" ca="1" si="45"/>
        <v>0.60146252285191959</v>
      </c>
      <c r="N568" s="60">
        <v>547</v>
      </c>
      <c r="O568" s="82">
        <f ca="1">IF(AND(N568&lt;=U$22,RAND()&lt;=$H$7),1,0)</f>
        <v>0</v>
      </c>
      <c r="P568" s="82">
        <f t="shared" ca="1" si="48"/>
        <v>0</v>
      </c>
      <c r="Q568" s="84">
        <f t="shared" ca="1" si="49"/>
        <v>1</v>
      </c>
      <c r="R568" s="82">
        <f t="shared" ca="1" si="46"/>
        <v>0</v>
      </c>
      <c r="S568" s="82">
        <f ca="1">SUM(R$22:$R568)</f>
        <v>1447.6000000000004</v>
      </c>
      <c r="W568" s="60">
        <v>547</v>
      </c>
      <c r="X568" s="82">
        <f ca="1"/>
        <v>2802.0000000000073</v>
      </c>
    </row>
    <row r="569" spans="7:24" x14ac:dyDescent="0.2">
      <c r="G569" s="60">
        <v>548</v>
      </c>
      <c r="H569" s="82">
        <f ca="1"/>
        <v>0</v>
      </c>
      <c r="I569" s="82">
        <f t="shared" ca="1" si="47"/>
        <v>329</v>
      </c>
      <c r="J569" s="83">
        <f t="shared" ca="1" si="45"/>
        <v>0.60036496350364965</v>
      </c>
      <c r="N569" s="60">
        <v>548</v>
      </c>
      <c r="O569" s="82">
        <f ca="1">IF(AND(N569&lt;=U$22,RAND()&lt;=$H$7),1,0)</f>
        <v>0</v>
      </c>
      <c r="P569" s="82">
        <f t="shared" ca="1" si="48"/>
        <v>0</v>
      </c>
      <c r="Q569" s="84">
        <f t="shared" ca="1" si="49"/>
        <v>1</v>
      </c>
      <c r="R569" s="82">
        <f t="shared" ca="1" si="46"/>
        <v>0</v>
      </c>
      <c r="S569" s="82">
        <f ca="1">SUM(R$22:$R569)</f>
        <v>1447.6000000000004</v>
      </c>
      <c r="W569" s="60">
        <v>548</v>
      </c>
      <c r="X569" s="82">
        <f ca="1"/>
        <v>2760.0000000000077</v>
      </c>
    </row>
    <row r="570" spans="7:24" x14ac:dyDescent="0.2">
      <c r="G570" s="60">
        <v>549</v>
      </c>
      <c r="H570" s="82">
        <f ca="1"/>
        <v>1</v>
      </c>
      <c r="I570" s="82">
        <f t="shared" ca="1" si="47"/>
        <v>330</v>
      </c>
      <c r="J570" s="83">
        <f t="shared" ca="1" si="45"/>
        <v>0.60109289617486339</v>
      </c>
      <c r="N570" s="60">
        <v>549</v>
      </c>
      <c r="O570" s="82">
        <f ca="1">IF(AND(N570&lt;=U$22,RAND()&lt;=$H$7),1,0)</f>
        <v>0</v>
      </c>
      <c r="P570" s="82">
        <f t="shared" ca="1" si="48"/>
        <v>0</v>
      </c>
      <c r="Q570" s="84">
        <f t="shared" ca="1" si="49"/>
        <v>1</v>
      </c>
      <c r="R570" s="82">
        <f t="shared" ca="1" si="46"/>
        <v>0</v>
      </c>
      <c r="S570" s="82">
        <f ca="1">SUM(R$22:$R570)</f>
        <v>1447.6000000000004</v>
      </c>
      <c r="W570" s="60">
        <v>549</v>
      </c>
      <c r="X570" s="82">
        <f ca="1"/>
        <v>2759.200000000008</v>
      </c>
    </row>
    <row r="571" spans="7:24" x14ac:dyDescent="0.2">
      <c r="G571" s="60">
        <v>550</v>
      </c>
      <c r="H571" s="82">
        <f ca="1"/>
        <v>1</v>
      </c>
      <c r="I571" s="82">
        <f t="shared" ca="1" si="47"/>
        <v>331</v>
      </c>
      <c r="J571" s="83">
        <f t="shared" ca="1" si="45"/>
        <v>0.60181818181818181</v>
      </c>
      <c r="N571" s="60">
        <v>550</v>
      </c>
      <c r="O571" s="82">
        <f ca="1">IF(AND(N571&lt;=U$22,RAND()&lt;=$H$7),1,0)</f>
        <v>1</v>
      </c>
      <c r="P571" s="82">
        <f t="shared" ca="1" si="48"/>
        <v>0</v>
      </c>
      <c r="Q571" s="84">
        <f t="shared" ca="1" si="49"/>
        <v>1</v>
      </c>
      <c r="R571" s="82">
        <f t="shared" ca="1" si="46"/>
        <v>4</v>
      </c>
      <c r="S571" s="82">
        <f ca="1">SUM(R$22:$R571)</f>
        <v>1451.6000000000004</v>
      </c>
      <c r="W571" s="60">
        <v>550</v>
      </c>
      <c r="X571" s="82">
        <f ca="1"/>
        <v>2740.4000000000083</v>
      </c>
    </row>
    <row r="572" spans="7:24" x14ac:dyDescent="0.2">
      <c r="G572" s="60">
        <v>551</v>
      </c>
      <c r="H572" s="82">
        <f ca="1"/>
        <v>1</v>
      </c>
      <c r="I572" s="82">
        <f t="shared" ca="1" si="47"/>
        <v>332</v>
      </c>
      <c r="J572" s="83">
        <f t="shared" ca="1" si="45"/>
        <v>0.60254083484573506</v>
      </c>
      <c r="N572" s="60">
        <v>551</v>
      </c>
      <c r="O572" s="82">
        <f ca="1">IF(AND(N572&lt;=U$22,RAND()&lt;=$H$7),1,0)</f>
        <v>0</v>
      </c>
      <c r="P572" s="82">
        <f t="shared" ca="1" si="48"/>
        <v>0</v>
      </c>
      <c r="Q572" s="84">
        <f t="shared" ca="1" si="49"/>
        <v>1</v>
      </c>
      <c r="R572" s="82">
        <f t="shared" ca="1" si="46"/>
        <v>0</v>
      </c>
      <c r="S572" s="82">
        <f ca="1">SUM(R$22:$R572)</f>
        <v>1451.6000000000004</v>
      </c>
      <c r="W572" s="60">
        <v>551</v>
      </c>
      <c r="X572" s="82">
        <f ca="1"/>
        <v>2791.2000000000062</v>
      </c>
    </row>
    <row r="573" spans="7:24" x14ac:dyDescent="0.2">
      <c r="G573" s="60">
        <v>552</v>
      </c>
      <c r="H573" s="82">
        <f ca="1"/>
        <v>1</v>
      </c>
      <c r="I573" s="82">
        <f t="shared" ca="1" si="47"/>
        <v>333</v>
      </c>
      <c r="J573" s="83">
        <f t="shared" ca="1" si="45"/>
        <v>0.60326086956521741</v>
      </c>
      <c r="N573" s="60">
        <v>552</v>
      </c>
      <c r="O573" s="82">
        <f ca="1">IF(AND(N573&lt;=U$22,RAND()&lt;=$H$7),1,0)</f>
        <v>1</v>
      </c>
      <c r="P573" s="82">
        <f t="shared" ca="1" si="48"/>
        <v>0</v>
      </c>
      <c r="Q573" s="84">
        <f t="shared" ca="1" si="49"/>
        <v>1</v>
      </c>
      <c r="R573" s="82">
        <f t="shared" ca="1" si="46"/>
        <v>4</v>
      </c>
      <c r="S573" s="82">
        <f ca="1">SUM(R$22:$R573)</f>
        <v>1455.6000000000004</v>
      </c>
      <c r="W573" s="60">
        <v>552</v>
      </c>
      <c r="X573" s="82">
        <f ca="1"/>
        <v>2678.8000000000065</v>
      </c>
    </row>
    <row r="574" spans="7:24" x14ac:dyDescent="0.2">
      <c r="G574" s="60">
        <v>553</v>
      </c>
      <c r="H574" s="82">
        <f ca="1"/>
        <v>0</v>
      </c>
      <c r="I574" s="82">
        <f t="shared" ca="1" si="47"/>
        <v>333</v>
      </c>
      <c r="J574" s="83">
        <f t="shared" ca="1" si="45"/>
        <v>0.60216998191681737</v>
      </c>
      <c r="N574" s="60">
        <v>553</v>
      </c>
      <c r="O574" s="82">
        <f ca="1">IF(AND(N574&lt;=U$22,RAND()&lt;=$H$7),1,0)</f>
        <v>1</v>
      </c>
      <c r="P574" s="82">
        <f t="shared" ca="1" si="48"/>
        <v>1</v>
      </c>
      <c r="Q574" s="84">
        <f t="shared" ca="1" si="49"/>
        <v>1</v>
      </c>
      <c r="R574" s="82">
        <f t="shared" ca="1" si="46"/>
        <v>4</v>
      </c>
      <c r="S574" s="82">
        <f ca="1">SUM(R$22:$R574)</f>
        <v>1459.6000000000004</v>
      </c>
      <c r="W574" s="60">
        <v>553</v>
      </c>
      <c r="X574" s="82">
        <f ca="1"/>
        <v>2794.8000000000088</v>
      </c>
    </row>
    <row r="575" spans="7:24" x14ac:dyDescent="0.2">
      <c r="G575" s="60">
        <v>554</v>
      </c>
      <c r="H575" s="82">
        <f ca="1"/>
        <v>0</v>
      </c>
      <c r="I575" s="82">
        <f t="shared" ca="1" si="47"/>
        <v>333</v>
      </c>
      <c r="J575" s="83">
        <f t="shared" ca="1" si="45"/>
        <v>0.60108303249097472</v>
      </c>
      <c r="N575" s="60">
        <v>554</v>
      </c>
      <c r="O575" s="82">
        <f ca="1">IF(AND(N575&lt;=U$22,RAND()&lt;=$H$7),1,0)</f>
        <v>1</v>
      </c>
      <c r="P575" s="82">
        <f t="shared" ca="1" si="48"/>
        <v>2</v>
      </c>
      <c r="Q575" s="84">
        <f t="shared" ca="1" si="49"/>
        <v>1.1000000000000001</v>
      </c>
      <c r="R575" s="82">
        <f t="shared" ca="1" si="46"/>
        <v>4.4000000000000004</v>
      </c>
      <c r="S575" s="82">
        <f ca="1">SUM(R$22:$R575)</f>
        <v>1464.0000000000005</v>
      </c>
      <c r="W575" s="60">
        <v>554</v>
      </c>
      <c r="X575" s="82">
        <f ca="1"/>
        <v>2894.8000000000061</v>
      </c>
    </row>
    <row r="576" spans="7:24" x14ac:dyDescent="0.2">
      <c r="G576" s="60">
        <v>555</v>
      </c>
      <c r="H576" s="82">
        <f ca="1"/>
        <v>1</v>
      </c>
      <c r="I576" s="82">
        <f t="shared" ca="1" si="47"/>
        <v>334</v>
      </c>
      <c r="J576" s="83">
        <f t="shared" ca="1" si="45"/>
        <v>0.60180180180180176</v>
      </c>
      <c r="N576" s="60">
        <v>555</v>
      </c>
      <c r="O576" s="82">
        <f ca="1">IF(AND(N576&lt;=U$22,RAND()&lt;=$H$7),1,0)</f>
        <v>1</v>
      </c>
      <c r="P576" s="82">
        <f t="shared" ca="1" si="48"/>
        <v>3</v>
      </c>
      <c r="Q576" s="84">
        <f t="shared" ca="1" si="49"/>
        <v>1.2</v>
      </c>
      <c r="R576" s="82">
        <f t="shared" ca="1" si="46"/>
        <v>4.8</v>
      </c>
      <c r="S576" s="82">
        <f ca="1">SUM(R$22:$R576)</f>
        <v>1468.8000000000004</v>
      </c>
      <c r="W576" s="60">
        <v>555</v>
      </c>
      <c r="X576" s="82">
        <f ca="1"/>
        <v>2856.8000000000065</v>
      </c>
    </row>
    <row r="577" spans="7:24" x14ac:dyDescent="0.2">
      <c r="G577" s="60">
        <v>556</v>
      </c>
      <c r="H577" s="82">
        <f ca="1"/>
        <v>1</v>
      </c>
      <c r="I577" s="82">
        <f t="shared" ca="1" si="47"/>
        <v>335</v>
      </c>
      <c r="J577" s="83">
        <f t="shared" ca="1" si="45"/>
        <v>0.60251798561151082</v>
      </c>
      <c r="N577" s="60">
        <v>556</v>
      </c>
      <c r="O577" s="82">
        <f ca="1">IF(AND(N577&lt;=U$22,RAND()&lt;=$H$7),1,0)</f>
        <v>0</v>
      </c>
      <c r="P577" s="82">
        <f t="shared" ca="1" si="48"/>
        <v>0</v>
      </c>
      <c r="Q577" s="84">
        <f t="shared" ca="1" si="49"/>
        <v>1</v>
      </c>
      <c r="R577" s="82">
        <f t="shared" ca="1" si="46"/>
        <v>0</v>
      </c>
      <c r="S577" s="82">
        <f ca="1">SUM(R$22:$R577)</f>
        <v>1468.8000000000004</v>
      </c>
      <c r="W577" s="60">
        <v>556</v>
      </c>
      <c r="X577" s="82">
        <f ca="1"/>
        <v>2719.2000000000057</v>
      </c>
    </row>
    <row r="578" spans="7:24" x14ac:dyDescent="0.2">
      <c r="G578" s="60">
        <v>557</v>
      </c>
      <c r="H578" s="82">
        <f ca="1"/>
        <v>1</v>
      </c>
      <c r="I578" s="82">
        <f t="shared" ca="1" si="47"/>
        <v>336</v>
      </c>
      <c r="J578" s="83">
        <f t="shared" ca="1" si="45"/>
        <v>0.60323159784560143</v>
      </c>
      <c r="N578" s="60">
        <v>557</v>
      </c>
      <c r="O578" s="82">
        <f ca="1">IF(AND(N578&lt;=U$22,RAND()&lt;=$H$7),1,0)</f>
        <v>0</v>
      </c>
      <c r="P578" s="82">
        <f t="shared" ca="1" si="48"/>
        <v>0</v>
      </c>
      <c r="Q578" s="84">
        <f t="shared" ca="1" si="49"/>
        <v>1</v>
      </c>
      <c r="R578" s="82">
        <f t="shared" ca="1" si="46"/>
        <v>0</v>
      </c>
      <c r="S578" s="82">
        <f ca="1">SUM(R$22:$R578)</f>
        <v>1468.8000000000004</v>
      </c>
      <c r="W578" s="60">
        <v>557</v>
      </c>
      <c r="X578" s="82">
        <f ca="1"/>
        <v>2658.4000000000055</v>
      </c>
    </row>
    <row r="579" spans="7:24" x14ac:dyDescent="0.2">
      <c r="G579" s="60">
        <v>558</v>
      </c>
      <c r="H579" s="82">
        <f ca="1"/>
        <v>1</v>
      </c>
      <c r="I579" s="82">
        <f t="shared" ca="1" si="47"/>
        <v>337</v>
      </c>
      <c r="J579" s="83">
        <f t="shared" ca="1" si="45"/>
        <v>0.60394265232974909</v>
      </c>
      <c r="N579" s="60">
        <v>558</v>
      </c>
      <c r="O579" s="82">
        <f ca="1">IF(AND(N579&lt;=U$22,RAND()&lt;=$H$7),1,0)</f>
        <v>0</v>
      </c>
      <c r="P579" s="82">
        <f t="shared" ca="1" si="48"/>
        <v>0</v>
      </c>
      <c r="Q579" s="84">
        <f t="shared" ca="1" si="49"/>
        <v>1</v>
      </c>
      <c r="R579" s="82">
        <f t="shared" ca="1" si="46"/>
        <v>0</v>
      </c>
      <c r="S579" s="82">
        <f ca="1">SUM(R$22:$R579)</f>
        <v>1468.8000000000004</v>
      </c>
      <c r="W579" s="60">
        <v>558</v>
      </c>
      <c r="X579" s="82">
        <f ca="1"/>
        <v>2767.6000000000072</v>
      </c>
    </row>
    <row r="580" spans="7:24" x14ac:dyDescent="0.2">
      <c r="G580" s="60">
        <v>559</v>
      </c>
      <c r="H580" s="82">
        <f ca="1"/>
        <v>1</v>
      </c>
      <c r="I580" s="82">
        <f t="shared" ca="1" si="47"/>
        <v>338</v>
      </c>
      <c r="J580" s="83">
        <f t="shared" ca="1" si="45"/>
        <v>0.60465116279069764</v>
      </c>
      <c r="N580" s="60">
        <v>559</v>
      </c>
      <c r="O580" s="82">
        <f ca="1">IF(AND(N580&lt;=U$22,RAND()&lt;=$H$7),1,0)</f>
        <v>0</v>
      </c>
      <c r="P580" s="82">
        <f t="shared" ca="1" si="48"/>
        <v>0</v>
      </c>
      <c r="Q580" s="84">
        <f t="shared" ca="1" si="49"/>
        <v>1</v>
      </c>
      <c r="R580" s="82">
        <f t="shared" ca="1" si="46"/>
        <v>0</v>
      </c>
      <c r="S580" s="82">
        <f ca="1">SUM(R$22:$R580)</f>
        <v>1468.8000000000004</v>
      </c>
      <c r="W580" s="60">
        <v>559</v>
      </c>
      <c r="X580" s="82">
        <f ca="1"/>
        <v>2764.8000000000075</v>
      </c>
    </row>
    <row r="581" spans="7:24" x14ac:dyDescent="0.2">
      <c r="G581" s="60">
        <v>560</v>
      </c>
      <c r="H581" s="82">
        <f ca="1"/>
        <v>0</v>
      </c>
      <c r="I581" s="82">
        <f t="shared" ca="1" si="47"/>
        <v>338</v>
      </c>
      <c r="J581" s="83">
        <f t="shared" ca="1" si="45"/>
        <v>0.60357142857142854</v>
      </c>
      <c r="N581" s="60">
        <v>560</v>
      </c>
      <c r="O581" s="82">
        <f ca="1">IF(AND(N581&lt;=U$22,RAND()&lt;=$H$7),1,0)</f>
        <v>1</v>
      </c>
      <c r="P581" s="82">
        <f t="shared" ca="1" si="48"/>
        <v>0</v>
      </c>
      <c r="Q581" s="84">
        <f t="shared" ca="1" si="49"/>
        <v>1</v>
      </c>
      <c r="R581" s="82">
        <f t="shared" ca="1" si="46"/>
        <v>4</v>
      </c>
      <c r="S581" s="82">
        <f ca="1">SUM(R$22:$R581)</f>
        <v>1472.8000000000004</v>
      </c>
      <c r="W581" s="60">
        <v>560</v>
      </c>
      <c r="X581" s="82">
        <f ca="1"/>
        <v>2661.2000000000071</v>
      </c>
    </row>
    <row r="582" spans="7:24" x14ac:dyDescent="0.2">
      <c r="G582" s="60">
        <v>561</v>
      </c>
      <c r="H582" s="82">
        <f ca="1"/>
        <v>0</v>
      </c>
      <c r="I582" s="82">
        <f t="shared" ca="1" si="47"/>
        <v>338</v>
      </c>
      <c r="J582" s="83">
        <f t="shared" ca="1" si="45"/>
        <v>0.6024955436720143</v>
      </c>
      <c r="N582" s="60">
        <v>561</v>
      </c>
      <c r="O582" s="82">
        <f ca="1">IF(AND(N582&lt;=U$22,RAND()&lt;=$H$7),1,0)</f>
        <v>1</v>
      </c>
      <c r="P582" s="82">
        <f t="shared" ca="1" si="48"/>
        <v>1</v>
      </c>
      <c r="Q582" s="84">
        <f t="shared" ca="1" si="49"/>
        <v>1</v>
      </c>
      <c r="R582" s="82">
        <f t="shared" ca="1" si="46"/>
        <v>4</v>
      </c>
      <c r="S582" s="82">
        <f ca="1">SUM(R$22:$R582)</f>
        <v>1476.8000000000004</v>
      </c>
      <c r="W582" s="60">
        <v>561</v>
      </c>
      <c r="X582" s="82">
        <f ca="1"/>
        <v>2767.2000000000085</v>
      </c>
    </row>
    <row r="583" spans="7:24" x14ac:dyDescent="0.2">
      <c r="G583" s="60">
        <v>562</v>
      </c>
      <c r="H583" s="82">
        <f ca="1"/>
        <v>0</v>
      </c>
      <c r="I583" s="82">
        <f t="shared" ca="1" si="47"/>
        <v>338</v>
      </c>
      <c r="J583" s="83">
        <f t="shared" ca="1" si="45"/>
        <v>0.60142348754448394</v>
      </c>
      <c r="N583" s="60">
        <v>562</v>
      </c>
      <c r="O583" s="82">
        <f ca="1">IF(AND(N583&lt;=U$22,RAND()&lt;=$H$7),1,0)</f>
        <v>1</v>
      </c>
      <c r="P583" s="82">
        <f t="shared" ca="1" si="48"/>
        <v>2</v>
      </c>
      <c r="Q583" s="84">
        <f t="shared" ca="1" si="49"/>
        <v>1.1000000000000001</v>
      </c>
      <c r="R583" s="82">
        <f t="shared" ca="1" si="46"/>
        <v>4.4000000000000004</v>
      </c>
      <c r="S583" s="82">
        <f ca="1">SUM(R$22:$R583)</f>
        <v>1481.2000000000005</v>
      </c>
      <c r="W583" s="60">
        <v>562</v>
      </c>
      <c r="X583" s="82">
        <f ca="1"/>
        <v>2801.2000000000075</v>
      </c>
    </row>
    <row r="584" spans="7:24" x14ac:dyDescent="0.2">
      <c r="G584" s="60">
        <v>563</v>
      </c>
      <c r="H584" s="82">
        <f ca="1"/>
        <v>0</v>
      </c>
      <c r="I584" s="82">
        <f t="shared" ca="1" si="47"/>
        <v>338</v>
      </c>
      <c r="J584" s="83">
        <f t="shared" ca="1" si="45"/>
        <v>0.60035523978685612</v>
      </c>
      <c r="N584" s="60">
        <v>563</v>
      </c>
      <c r="O584" s="82">
        <f ca="1">IF(AND(N584&lt;=U$22,RAND()&lt;=$H$7),1,0)</f>
        <v>1</v>
      </c>
      <c r="P584" s="82">
        <f t="shared" ca="1" si="48"/>
        <v>3</v>
      </c>
      <c r="Q584" s="84">
        <f t="shared" ca="1" si="49"/>
        <v>1.2</v>
      </c>
      <c r="R584" s="82">
        <f t="shared" ca="1" si="46"/>
        <v>4.8</v>
      </c>
      <c r="S584" s="82">
        <f ca="1">SUM(R$22:$R584)</f>
        <v>1486.0000000000005</v>
      </c>
      <c r="W584" s="60">
        <v>563</v>
      </c>
      <c r="X584" s="82">
        <f ca="1"/>
        <v>2830.800000000007</v>
      </c>
    </row>
    <row r="585" spans="7:24" x14ac:dyDescent="0.2">
      <c r="G585" s="60">
        <v>564</v>
      </c>
      <c r="H585" s="82">
        <f ca="1"/>
        <v>0</v>
      </c>
      <c r="I585" s="82">
        <f t="shared" ca="1" si="47"/>
        <v>338</v>
      </c>
      <c r="J585" s="83">
        <f t="shared" ca="1" si="45"/>
        <v>0.599290780141844</v>
      </c>
      <c r="N585" s="60">
        <v>564</v>
      </c>
      <c r="O585" s="82">
        <f ca="1">IF(AND(N585&lt;=U$22,RAND()&lt;=$H$7),1,0)</f>
        <v>0</v>
      </c>
      <c r="P585" s="82">
        <f t="shared" ca="1" si="48"/>
        <v>0</v>
      </c>
      <c r="Q585" s="84">
        <f t="shared" ca="1" si="49"/>
        <v>1</v>
      </c>
      <c r="R585" s="82">
        <f t="shared" ca="1" si="46"/>
        <v>0</v>
      </c>
      <c r="S585" s="82">
        <f ca="1">SUM(R$22:$R585)</f>
        <v>1486.0000000000005</v>
      </c>
      <c r="W585" s="60">
        <v>564</v>
      </c>
      <c r="X585" s="82">
        <f ca="1"/>
        <v>2810.4000000000069</v>
      </c>
    </row>
    <row r="586" spans="7:24" x14ac:dyDescent="0.2">
      <c r="G586" s="60">
        <v>565</v>
      </c>
      <c r="H586" s="82">
        <f ca="1"/>
        <v>0</v>
      </c>
      <c r="I586" s="82">
        <f t="shared" ca="1" si="47"/>
        <v>338</v>
      </c>
      <c r="J586" s="83">
        <f t="shared" ca="1" si="45"/>
        <v>0.59823008849557524</v>
      </c>
      <c r="N586" s="60">
        <v>565</v>
      </c>
      <c r="O586" s="82">
        <f ca="1">IF(AND(N586&lt;=U$22,RAND()&lt;=$H$7),1,0)</f>
        <v>1</v>
      </c>
      <c r="P586" s="82">
        <f t="shared" ca="1" si="48"/>
        <v>0</v>
      </c>
      <c r="Q586" s="84">
        <f t="shared" ca="1" si="49"/>
        <v>1</v>
      </c>
      <c r="R586" s="82">
        <f t="shared" ca="1" si="46"/>
        <v>4</v>
      </c>
      <c r="S586" s="82">
        <f ca="1">SUM(R$22:$R586)</f>
        <v>1490.0000000000005</v>
      </c>
      <c r="W586" s="60">
        <v>565</v>
      </c>
      <c r="X586" s="82">
        <f ca="1"/>
        <v>2680.400000000006</v>
      </c>
    </row>
    <row r="587" spans="7:24" x14ac:dyDescent="0.2">
      <c r="G587" s="60">
        <v>566</v>
      </c>
      <c r="H587" s="82">
        <f ca="1"/>
        <v>1</v>
      </c>
      <c r="I587" s="82">
        <f t="shared" ca="1" si="47"/>
        <v>339</v>
      </c>
      <c r="J587" s="83">
        <f t="shared" ca="1" si="45"/>
        <v>0.59893992932862195</v>
      </c>
      <c r="N587" s="60">
        <v>566</v>
      </c>
      <c r="O587" s="82">
        <f ca="1">IF(AND(N587&lt;=U$22,RAND()&lt;=$H$7),1,0)</f>
        <v>1</v>
      </c>
      <c r="P587" s="82">
        <f t="shared" ca="1" si="48"/>
        <v>1</v>
      </c>
      <c r="Q587" s="84">
        <f t="shared" ca="1" si="49"/>
        <v>1</v>
      </c>
      <c r="R587" s="82">
        <f t="shared" ca="1" si="46"/>
        <v>4</v>
      </c>
      <c r="S587" s="82">
        <f ca="1">SUM(R$22:$R587)</f>
        <v>1494.0000000000005</v>
      </c>
      <c r="W587" s="60">
        <v>566</v>
      </c>
      <c r="X587" s="82">
        <f ca="1"/>
        <v>2805.6000000000085</v>
      </c>
    </row>
    <row r="588" spans="7:24" x14ac:dyDescent="0.2">
      <c r="G588" s="60">
        <v>567</v>
      </c>
      <c r="H588" s="82">
        <f ca="1"/>
        <v>0</v>
      </c>
      <c r="I588" s="82">
        <f t="shared" ca="1" si="47"/>
        <v>339</v>
      </c>
      <c r="J588" s="83">
        <f t="shared" ca="1" si="45"/>
        <v>0.59788359788359791</v>
      </c>
      <c r="N588" s="60">
        <v>567</v>
      </c>
      <c r="O588" s="82">
        <f ca="1">IF(AND(N588&lt;=U$22,RAND()&lt;=$H$7),1,0)</f>
        <v>1</v>
      </c>
      <c r="P588" s="82">
        <f t="shared" ca="1" si="48"/>
        <v>2</v>
      </c>
      <c r="Q588" s="84">
        <f t="shared" ca="1" si="49"/>
        <v>1.1000000000000001</v>
      </c>
      <c r="R588" s="82">
        <f t="shared" ca="1" si="46"/>
        <v>4.4000000000000004</v>
      </c>
      <c r="S588" s="82">
        <f ca="1">SUM(R$22:$R588)</f>
        <v>1498.4000000000005</v>
      </c>
      <c r="W588" s="60">
        <v>567</v>
      </c>
      <c r="X588" s="82">
        <f ca="1"/>
        <v>2819.200000000008</v>
      </c>
    </row>
    <row r="589" spans="7:24" x14ac:dyDescent="0.2">
      <c r="G589" s="60">
        <v>568</v>
      </c>
      <c r="H589" s="82">
        <f ca="1"/>
        <v>0</v>
      </c>
      <c r="I589" s="82">
        <f t="shared" ca="1" si="47"/>
        <v>339</v>
      </c>
      <c r="J589" s="83">
        <f t="shared" ca="1" si="45"/>
        <v>0.596830985915493</v>
      </c>
      <c r="N589" s="60">
        <v>568</v>
      </c>
      <c r="O589" s="82">
        <f ca="1">IF(AND(N589&lt;=U$22,RAND()&lt;=$H$7),1,0)</f>
        <v>1</v>
      </c>
      <c r="P589" s="82">
        <f t="shared" ca="1" si="48"/>
        <v>3</v>
      </c>
      <c r="Q589" s="84">
        <f t="shared" ca="1" si="49"/>
        <v>1.2</v>
      </c>
      <c r="R589" s="82">
        <f t="shared" ca="1" si="46"/>
        <v>4.8</v>
      </c>
      <c r="S589" s="82">
        <f ca="1">SUM(R$22:$R589)</f>
        <v>1503.2000000000005</v>
      </c>
      <c r="W589" s="60">
        <v>568</v>
      </c>
      <c r="X589" s="82">
        <f ca="1"/>
        <v>2790.8000000000079</v>
      </c>
    </row>
    <row r="590" spans="7:24" x14ac:dyDescent="0.2">
      <c r="G590" s="60">
        <v>569</v>
      </c>
      <c r="H590" s="82">
        <f ca="1"/>
        <v>0</v>
      </c>
      <c r="I590" s="82">
        <f t="shared" ca="1" si="47"/>
        <v>339</v>
      </c>
      <c r="J590" s="83">
        <f t="shared" ca="1" si="45"/>
        <v>0.59578207381370829</v>
      </c>
      <c r="N590" s="60">
        <v>569</v>
      </c>
      <c r="O590" s="82">
        <f ca="1">IF(AND(N590&lt;=U$22,RAND()&lt;=$H$7),1,0)</f>
        <v>1</v>
      </c>
      <c r="P590" s="82">
        <f t="shared" ca="1" si="48"/>
        <v>4</v>
      </c>
      <c r="Q590" s="84">
        <f t="shared" ca="1" si="49"/>
        <v>1.3</v>
      </c>
      <c r="R590" s="82">
        <f t="shared" ca="1" si="46"/>
        <v>5.2</v>
      </c>
      <c r="S590" s="82">
        <f ca="1">SUM(R$22:$R590)</f>
        <v>1508.4000000000005</v>
      </c>
      <c r="W590" s="60">
        <v>569</v>
      </c>
      <c r="X590" s="82">
        <f ca="1"/>
        <v>2856.0000000000059</v>
      </c>
    </row>
    <row r="591" spans="7:24" x14ac:dyDescent="0.2">
      <c r="G591" s="60">
        <v>570</v>
      </c>
      <c r="H591" s="82">
        <f ca="1"/>
        <v>0</v>
      </c>
      <c r="I591" s="82">
        <f t="shared" ca="1" si="47"/>
        <v>339</v>
      </c>
      <c r="J591" s="83">
        <f t="shared" ca="1" si="45"/>
        <v>0.59473684210526312</v>
      </c>
      <c r="N591" s="60">
        <v>570</v>
      </c>
      <c r="O591" s="82">
        <f ca="1">IF(AND(N591&lt;=U$22,RAND()&lt;=$H$7),1,0)</f>
        <v>1</v>
      </c>
      <c r="P591" s="82">
        <f t="shared" ca="1" si="48"/>
        <v>5</v>
      </c>
      <c r="Q591" s="84">
        <f t="shared" ca="1" si="49"/>
        <v>1.4</v>
      </c>
      <c r="R591" s="82">
        <f t="shared" ca="1" si="46"/>
        <v>5.6</v>
      </c>
      <c r="S591" s="82">
        <f ca="1">SUM(R$22:$R591)</f>
        <v>1514.0000000000005</v>
      </c>
      <c r="W591" s="60">
        <v>570</v>
      </c>
      <c r="X591" s="82">
        <f ca="1"/>
        <v>2781.6000000000058</v>
      </c>
    </row>
    <row r="592" spans="7:24" x14ac:dyDescent="0.2">
      <c r="G592" s="60">
        <v>571</v>
      </c>
      <c r="H592" s="82">
        <f ca="1"/>
        <v>0</v>
      </c>
      <c r="I592" s="82">
        <f t="shared" ca="1" si="47"/>
        <v>339</v>
      </c>
      <c r="J592" s="83">
        <f t="shared" ca="1" si="45"/>
        <v>0.59369527145359025</v>
      </c>
      <c r="N592" s="60">
        <v>571</v>
      </c>
      <c r="O592" s="82">
        <f ca="1">IF(AND(N592&lt;=U$22,RAND()&lt;=$H$7),1,0)</f>
        <v>1</v>
      </c>
      <c r="P592" s="82">
        <f t="shared" ca="1" si="48"/>
        <v>6</v>
      </c>
      <c r="Q592" s="84">
        <f t="shared" ca="1" si="49"/>
        <v>1.5</v>
      </c>
      <c r="R592" s="82">
        <f t="shared" ca="1" si="46"/>
        <v>6</v>
      </c>
      <c r="S592" s="82">
        <f ca="1">SUM(R$22:$R592)</f>
        <v>1520.0000000000005</v>
      </c>
      <c r="W592" s="60">
        <v>571</v>
      </c>
      <c r="X592" s="82">
        <f ca="1"/>
        <v>2750.8000000000075</v>
      </c>
    </row>
    <row r="593" spans="7:24" x14ac:dyDescent="0.2">
      <c r="G593" s="60">
        <v>572</v>
      </c>
      <c r="H593" s="82">
        <f ca="1"/>
        <v>0</v>
      </c>
      <c r="I593" s="82">
        <f t="shared" ca="1" si="47"/>
        <v>339</v>
      </c>
      <c r="J593" s="83">
        <f t="shared" ca="1" si="45"/>
        <v>0.59265734265734271</v>
      </c>
      <c r="N593" s="60">
        <v>572</v>
      </c>
      <c r="O593" s="82">
        <f ca="1">IF(AND(N593&lt;=U$22,RAND()&lt;=$H$7),1,0)</f>
        <v>1</v>
      </c>
      <c r="P593" s="82">
        <f t="shared" ca="1" si="48"/>
        <v>7</v>
      </c>
      <c r="Q593" s="84">
        <f t="shared" ca="1" si="49"/>
        <v>1.6</v>
      </c>
      <c r="R593" s="82">
        <f t="shared" ca="1" si="46"/>
        <v>6.4</v>
      </c>
      <c r="S593" s="82">
        <f ca="1">SUM(R$22:$R593)</f>
        <v>1526.4000000000005</v>
      </c>
      <c r="W593" s="60">
        <v>572</v>
      </c>
      <c r="X593" s="82">
        <f ca="1"/>
        <v>2724.0000000000055</v>
      </c>
    </row>
    <row r="594" spans="7:24" x14ac:dyDescent="0.2">
      <c r="G594" s="60">
        <v>573</v>
      </c>
      <c r="H594" s="82">
        <f ca="1"/>
        <v>1</v>
      </c>
      <c r="I594" s="82">
        <f t="shared" ca="1" si="47"/>
        <v>340</v>
      </c>
      <c r="J594" s="83">
        <f t="shared" ca="1" si="45"/>
        <v>0.59336823734729494</v>
      </c>
      <c r="N594" s="60">
        <v>573</v>
      </c>
      <c r="O594" s="82">
        <f ca="1">IF(AND(N594&lt;=U$22,RAND()&lt;=$H$7),1,0)</f>
        <v>0</v>
      </c>
      <c r="P594" s="82">
        <f t="shared" ca="1" si="48"/>
        <v>0</v>
      </c>
      <c r="Q594" s="84">
        <f t="shared" ca="1" si="49"/>
        <v>1</v>
      </c>
      <c r="R594" s="82">
        <f t="shared" ca="1" si="46"/>
        <v>0</v>
      </c>
      <c r="S594" s="82">
        <f ca="1">SUM(R$22:$R594)</f>
        <v>1526.4000000000005</v>
      </c>
      <c r="W594" s="60">
        <v>573</v>
      </c>
      <c r="X594" s="82">
        <f ca="1"/>
        <v>2927.6000000000095</v>
      </c>
    </row>
    <row r="595" spans="7:24" x14ac:dyDescent="0.2">
      <c r="G595" s="60">
        <v>574</v>
      </c>
      <c r="H595" s="82">
        <f ca="1"/>
        <v>1</v>
      </c>
      <c r="I595" s="82">
        <f t="shared" ca="1" si="47"/>
        <v>341</v>
      </c>
      <c r="J595" s="83">
        <f t="shared" ca="1" si="45"/>
        <v>0.59407665505226481</v>
      </c>
      <c r="N595" s="60">
        <v>574</v>
      </c>
      <c r="O595" s="82">
        <f ca="1">IF(AND(N595&lt;=U$22,RAND()&lt;=$H$7),1,0)</f>
        <v>0</v>
      </c>
      <c r="P595" s="82">
        <f t="shared" ca="1" si="48"/>
        <v>0</v>
      </c>
      <c r="Q595" s="84">
        <f t="shared" ca="1" si="49"/>
        <v>1</v>
      </c>
      <c r="R595" s="82">
        <f t="shared" ca="1" si="46"/>
        <v>0</v>
      </c>
      <c r="S595" s="82">
        <f ca="1">SUM(R$22:$R595)</f>
        <v>1526.4000000000005</v>
      </c>
      <c r="W595" s="60">
        <v>574</v>
      </c>
      <c r="X595" s="82">
        <f ca="1"/>
        <v>2726.8000000000065</v>
      </c>
    </row>
    <row r="596" spans="7:24" x14ac:dyDescent="0.2">
      <c r="G596" s="60">
        <v>575</v>
      </c>
      <c r="H596" s="82">
        <f ca="1"/>
        <v>1</v>
      </c>
      <c r="I596" s="82">
        <f t="shared" ca="1" si="47"/>
        <v>342</v>
      </c>
      <c r="J596" s="83">
        <f t="shared" ca="1" si="45"/>
        <v>0.59478260869565214</v>
      </c>
      <c r="N596" s="60">
        <v>575</v>
      </c>
      <c r="O596" s="82">
        <f ca="1">IF(AND(N596&lt;=U$22,RAND()&lt;=$H$7),1,0)</f>
        <v>1</v>
      </c>
      <c r="P596" s="82">
        <f t="shared" ca="1" si="48"/>
        <v>0</v>
      </c>
      <c r="Q596" s="84">
        <f t="shared" ca="1" si="49"/>
        <v>1</v>
      </c>
      <c r="R596" s="82">
        <f t="shared" ca="1" si="46"/>
        <v>4</v>
      </c>
      <c r="S596" s="82">
        <f ca="1">SUM(R$22:$R596)</f>
        <v>1530.4000000000005</v>
      </c>
      <c r="W596" s="60">
        <v>575</v>
      </c>
      <c r="X596" s="82">
        <f ca="1"/>
        <v>2728.0000000000068</v>
      </c>
    </row>
    <row r="597" spans="7:24" x14ac:dyDescent="0.2">
      <c r="G597" s="60">
        <v>576</v>
      </c>
      <c r="H597" s="82">
        <f ca="1"/>
        <v>0</v>
      </c>
      <c r="I597" s="82">
        <f t="shared" ca="1" si="47"/>
        <v>342</v>
      </c>
      <c r="J597" s="83">
        <f t="shared" ca="1" si="45"/>
        <v>0.59375</v>
      </c>
      <c r="N597" s="60">
        <v>576</v>
      </c>
      <c r="O597" s="82">
        <f ca="1">IF(AND(N597&lt;=U$22,RAND()&lt;=$H$7),1,0)</f>
        <v>0</v>
      </c>
      <c r="P597" s="82">
        <f t="shared" ca="1" si="48"/>
        <v>0</v>
      </c>
      <c r="Q597" s="84">
        <f t="shared" ca="1" si="49"/>
        <v>1</v>
      </c>
      <c r="R597" s="82">
        <f t="shared" ca="1" si="46"/>
        <v>0</v>
      </c>
      <c r="S597" s="82">
        <f ca="1">SUM(R$22:$R597)</f>
        <v>1530.4000000000005</v>
      </c>
      <c r="W597" s="60">
        <v>576</v>
      </c>
      <c r="X597" s="82">
        <f ca="1"/>
        <v>2744.0000000000082</v>
      </c>
    </row>
    <row r="598" spans="7:24" x14ac:dyDescent="0.2">
      <c r="G598" s="60">
        <v>577</v>
      </c>
      <c r="H598" s="82">
        <f ca="1"/>
        <v>1</v>
      </c>
      <c r="I598" s="82">
        <f t="shared" ca="1" si="47"/>
        <v>343</v>
      </c>
      <c r="J598" s="83">
        <f t="shared" ca="1" si="45"/>
        <v>0.59445407279029461</v>
      </c>
      <c r="N598" s="60">
        <v>577</v>
      </c>
      <c r="O598" s="82">
        <f ca="1">IF(AND(N598&lt;=U$22,RAND()&lt;=$H$7),1,0)</f>
        <v>0</v>
      </c>
      <c r="P598" s="82">
        <f t="shared" ca="1" si="48"/>
        <v>0</v>
      </c>
      <c r="Q598" s="84">
        <f t="shared" ca="1" si="49"/>
        <v>1</v>
      </c>
      <c r="R598" s="82">
        <f t="shared" ca="1" si="46"/>
        <v>0</v>
      </c>
      <c r="S598" s="82">
        <f ca="1">SUM(R$22:$R598)</f>
        <v>1530.4000000000005</v>
      </c>
      <c r="W598" s="60">
        <v>577</v>
      </c>
      <c r="X598" s="82">
        <f ca="1"/>
        <v>2728.8000000000075</v>
      </c>
    </row>
    <row r="599" spans="7:24" x14ac:dyDescent="0.2">
      <c r="G599" s="60">
        <v>578</v>
      </c>
      <c r="H599" s="82">
        <f ca="1"/>
        <v>1</v>
      </c>
      <c r="I599" s="82">
        <f t="shared" ca="1" si="47"/>
        <v>344</v>
      </c>
      <c r="J599" s="83">
        <f t="shared" ref="J599:J662" ca="1" si="50">I599/G599</f>
        <v>0.59515570934256057</v>
      </c>
      <c r="N599" s="60">
        <v>578</v>
      </c>
      <c r="O599" s="82">
        <f ca="1">IF(AND(N599&lt;=U$22,RAND()&lt;=$H$7),1,0)</f>
        <v>1</v>
      </c>
      <c r="P599" s="82">
        <f t="shared" ca="1" si="48"/>
        <v>0</v>
      </c>
      <c r="Q599" s="84">
        <f t="shared" ca="1" si="49"/>
        <v>1</v>
      </c>
      <c r="R599" s="82">
        <f t="shared" ref="R599:R662" ca="1" si="51">Q599*$I$7*O599</f>
        <v>4</v>
      </c>
      <c r="S599" s="82">
        <f ca="1">SUM(R$22:$R599)</f>
        <v>1534.4000000000005</v>
      </c>
      <c r="W599" s="60">
        <v>578</v>
      </c>
      <c r="X599" s="82">
        <f ca="1"/>
        <v>2660.4000000000069</v>
      </c>
    </row>
    <row r="600" spans="7:24" x14ac:dyDescent="0.2">
      <c r="G600" s="60">
        <v>579</v>
      </c>
      <c r="H600" s="82">
        <f ca="1"/>
        <v>1</v>
      </c>
      <c r="I600" s="82">
        <f t="shared" ref="I600:I663" ca="1" si="52">H600+I599</f>
        <v>345</v>
      </c>
      <c r="J600" s="83">
        <f t="shared" ca="1" si="50"/>
        <v>0.59585492227979275</v>
      </c>
      <c r="N600" s="60">
        <v>579</v>
      </c>
      <c r="O600" s="82">
        <f ca="1">IF(AND(N600&lt;=U$22,RAND()&lt;=$H$7),1,0)</f>
        <v>0</v>
      </c>
      <c r="P600" s="82">
        <f t="shared" ref="P600:P663" ca="1" si="53">IF(AND(O599=1,O600=1),P599+1,0)</f>
        <v>0</v>
      </c>
      <c r="Q600" s="84">
        <f t="shared" ref="Q600:Q663" ca="1" si="54">IF(P600&gt;1,1+(P600-1)*0.1,1)</f>
        <v>1</v>
      </c>
      <c r="R600" s="82">
        <f t="shared" ca="1" si="51"/>
        <v>0</v>
      </c>
      <c r="S600" s="82">
        <f ca="1">SUM(R$22:$R600)</f>
        <v>1534.4000000000005</v>
      </c>
      <c r="W600" s="60">
        <v>579</v>
      </c>
      <c r="X600" s="82">
        <f ca="1"/>
        <v>2706.0000000000068</v>
      </c>
    </row>
    <row r="601" spans="7:24" x14ac:dyDescent="0.2">
      <c r="G601" s="60">
        <v>580</v>
      </c>
      <c r="H601" s="82">
        <f ca="1"/>
        <v>0</v>
      </c>
      <c r="I601" s="82">
        <f t="shared" ca="1" si="52"/>
        <v>345</v>
      </c>
      <c r="J601" s="83">
        <f t="shared" ca="1" si="50"/>
        <v>0.59482758620689657</v>
      </c>
      <c r="N601" s="60">
        <v>580</v>
      </c>
      <c r="O601" s="82">
        <f ca="1">IF(AND(N601&lt;=U$22,RAND()&lt;=$H$7),1,0)</f>
        <v>1</v>
      </c>
      <c r="P601" s="82">
        <f t="shared" ca="1" si="53"/>
        <v>0</v>
      </c>
      <c r="Q601" s="84">
        <f t="shared" ca="1" si="54"/>
        <v>1</v>
      </c>
      <c r="R601" s="82">
        <f t="shared" ca="1" si="51"/>
        <v>4</v>
      </c>
      <c r="S601" s="82">
        <f ca="1">SUM(R$22:$R601)</f>
        <v>1538.4000000000005</v>
      </c>
      <c r="W601" s="60">
        <v>580</v>
      </c>
      <c r="X601" s="82">
        <f ca="1"/>
        <v>2891.2000000000066</v>
      </c>
    </row>
    <row r="602" spans="7:24" x14ac:dyDescent="0.2">
      <c r="G602" s="60">
        <v>581</v>
      </c>
      <c r="H602" s="82">
        <f ca="1"/>
        <v>1</v>
      </c>
      <c r="I602" s="82">
        <f t="shared" ca="1" si="52"/>
        <v>346</v>
      </c>
      <c r="J602" s="83">
        <f t="shared" ca="1" si="50"/>
        <v>0.59552495697074015</v>
      </c>
      <c r="N602" s="60">
        <v>581</v>
      </c>
      <c r="O602" s="82">
        <f ca="1">IF(AND(N602&lt;=U$22,RAND()&lt;=$H$7),1,0)</f>
        <v>0</v>
      </c>
      <c r="P602" s="82">
        <f t="shared" ca="1" si="53"/>
        <v>0</v>
      </c>
      <c r="Q602" s="84">
        <f t="shared" ca="1" si="54"/>
        <v>1</v>
      </c>
      <c r="R602" s="82">
        <f t="shared" ca="1" si="51"/>
        <v>0</v>
      </c>
      <c r="S602" s="82">
        <f ca="1">SUM(R$22:$R602)</f>
        <v>1538.4000000000005</v>
      </c>
      <c r="W602" s="60">
        <v>581</v>
      </c>
      <c r="X602" s="82">
        <f ca="1"/>
        <v>2736.0000000000073</v>
      </c>
    </row>
    <row r="603" spans="7:24" x14ac:dyDescent="0.2">
      <c r="G603" s="60">
        <v>582</v>
      </c>
      <c r="H603" s="82">
        <f ca="1"/>
        <v>0</v>
      </c>
      <c r="I603" s="82">
        <f t="shared" ca="1" si="52"/>
        <v>346</v>
      </c>
      <c r="J603" s="83">
        <f t="shared" ca="1" si="50"/>
        <v>0.59450171821305842</v>
      </c>
      <c r="N603" s="60">
        <v>582</v>
      </c>
      <c r="O603" s="82">
        <f ca="1">IF(AND(N603&lt;=U$22,RAND()&lt;=$H$7),1,0)</f>
        <v>1</v>
      </c>
      <c r="P603" s="82">
        <f t="shared" ca="1" si="53"/>
        <v>0</v>
      </c>
      <c r="Q603" s="84">
        <f t="shared" ca="1" si="54"/>
        <v>1</v>
      </c>
      <c r="R603" s="82">
        <f t="shared" ca="1" si="51"/>
        <v>4</v>
      </c>
      <c r="S603" s="82">
        <f ca="1">SUM(R$22:$R603)</f>
        <v>1542.4000000000005</v>
      </c>
      <c r="W603" s="60">
        <v>582</v>
      </c>
      <c r="X603" s="82">
        <f ca="1"/>
        <v>2874.4000000000092</v>
      </c>
    </row>
    <row r="604" spans="7:24" x14ac:dyDescent="0.2">
      <c r="G604" s="60">
        <v>583</v>
      </c>
      <c r="H604" s="82">
        <f ca="1"/>
        <v>1</v>
      </c>
      <c r="I604" s="82">
        <f t="shared" ca="1" si="52"/>
        <v>347</v>
      </c>
      <c r="J604" s="83">
        <f t="shared" ca="1" si="50"/>
        <v>0.59519725557461411</v>
      </c>
      <c r="N604" s="60">
        <v>583</v>
      </c>
      <c r="O604" s="82">
        <f ca="1">IF(AND(N604&lt;=U$22,RAND()&lt;=$H$7),1,0)</f>
        <v>0</v>
      </c>
      <c r="P604" s="82">
        <f t="shared" ca="1" si="53"/>
        <v>0</v>
      </c>
      <c r="Q604" s="84">
        <f t="shared" ca="1" si="54"/>
        <v>1</v>
      </c>
      <c r="R604" s="82">
        <f t="shared" ca="1" si="51"/>
        <v>0</v>
      </c>
      <c r="S604" s="82">
        <f ca="1">SUM(R$22:$R604)</f>
        <v>1542.4000000000005</v>
      </c>
      <c r="W604" s="60">
        <v>583</v>
      </c>
      <c r="X604" s="82">
        <f ca="1"/>
        <v>2768.8000000000065</v>
      </c>
    </row>
    <row r="605" spans="7:24" x14ac:dyDescent="0.2">
      <c r="G605" s="60">
        <v>584</v>
      </c>
      <c r="H605" s="82">
        <f ca="1"/>
        <v>0</v>
      </c>
      <c r="I605" s="82">
        <f t="shared" ca="1" si="52"/>
        <v>347</v>
      </c>
      <c r="J605" s="83">
        <f t="shared" ca="1" si="50"/>
        <v>0.59417808219178081</v>
      </c>
      <c r="N605" s="60">
        <v>584</v>
      </c>
      <c r="O605" s="82">
        <f ca="1">IF(AND(N605&lt;=U$22,RAND()&lt;=$H$7),1,0)</f>
        <v>0</v>
      </c>
      <c r="P605" s="82">
        <f t="shared" ca="1" si="53"/>
        <v>0</v>
      </c>
      <c r="Q605" s="84">
        <f t="shared" ca="1" si="54"/>
        <v>1</v>
      </c>
      <c r="R605" s="82">
        <f t="shared" ca="1" si="51"/>
        <v>0</v>
      </c>
      <c r="S605" s="82">
        <f ca="1">SUM(R$22:$R605)</f>
        <v>1542.4000000000005</v>
      </c>
      <c r="W605" s="60">
        <v>584</v>
      </c>
      <c r="X605" s="82">
        <f ca="1"/>
        <v>2614.0000000000068</v>
      </c>
    </row>
    <row r="606" spans="7:24" x14ac:dyDescent="0.2">
      <c r="G606" s="60">
        <v>585</v>
      </c>
      <c r="H606" s="82">
        <f ca="1"/>
        <v>1</v>
      </c>
      <c r="I606" s="82">
        <f t="shared" ca="1" si="52"/>
        <v>348</v>
      </c>
      <c r="J606" s="83">
        <f t="shared" ca="1" si="50"/>
        <v>0.59487179487179487</v>
      </c>
      <c r="N606" s="60">
        <v>585</v>
      </c>
      <c r="O606" s="82">
        <f ca="1">IF(AND(N606&lt;=U$22,RAND()&lt;=$H$7),1,0)</f>
        <v>0</v>
      </c>
      <c r="P606" s="82">
        <f t="shared" ca="1" si="53"/>
        <v>0</v>
      </c>
      <c r="Q606" s="84">
        <f t="shared" ca="1" si="54"/>
        <v>1</v>
      </c>
      <c r="R606" s="82">
        <f t="shared" ca="1" si="51"/>
        <v>0</v>
      </c>
      <c r="S606" s="82">
        <f ca="1">SUM(R$22:$R606)</f>
        <v>1542.4000000000005</v>
      </c>
      <c r="W606" s="60">
        <v>585</v>
      </c>
      <c r="X606" s="82">
        <f ca="1"/>
        <v>2697.6000000000067</v>
      </c>
    </row>
    <row r="607" spans="7:24" x14ac:dyDescent="0.2">
      <c r="G607" s="60">
        <v>586</v>
      </c>
      <c r="H607" s="82">
        <f ca="1"/>
        <v>1</v>
      </c>
      <c r="I607" s="82">
        <f t="shared" ca="1" si="52"/>
        <v>349</v>
      </c>
      <c r="J607" s="83">
        <f t="shared" ca="1" si="50"/>
        <v>0.59556313993174059</v>
      </c>
      <c r="N607" s="60">
        <v>586</v>
      </c>
      <c r="O607" s="82">
        <f ca="1">IF(AND(N607&lt;=U$22,RAND()&lt;=$H$7),1,0)</f>
        <v>1</v>
      </c>
      <c r="P607" s="82">
        <f t="shared" ca="1" si="53"/>
        <v>0</v>
      </c>
      <c r="Q607" s="84">
        <f t="shared" ca="1" si="54"/>
        <v>1</v>
      </c>
      <c r="R607" s="82">
        <f t="shared" ca="1" si="51"/>
        <v>4</v>
      </c>
      <c r="S607" s="82">
        <f ca="1">SUM(R$22:$R607)</f>
        <v>1546.4000000000005</v>
      </c>
      <c r="W607" s="60">
        <v>586</v>
      </c>
      <c r="X607" s="82">
        <f ca="1"/>
        <v>2861.2000000000066</v>
      </c>
    </row>
    <row r="608" spans="7:24" x14ac:dyDescent="0.2">
      <c r="G608" s="60">
        <v>587</v>
      </c>
      <c r="H608" s="82">
        <f ca="1"/>
        <v>0</v>
      </c>
      <c r="I608" s="82">
        <f t="shared" ca="1" si="52"/>
        <v>349</v>
      </c>
      <c r="J608" s="83">
        <f t="shared" ca="1" si="50"/>
        <v>0.59454855195911416</v>
      </c>
      <c r="N608" s="60">
        <v>587</v>
      </c>
      <c r="O608" s="82">
        <f ca="1">IF(AND(N608&lt;=U$22,RAND()&lt;=$H$7),1,0)</f>
        <v>0</v>
      </c>
      <c r="P608" s="82">
        <f t="shared" ca="1" si="53"/>
        <v>0</v>
      </c>
      <c r="Q608" s="84">
        <f t="shared" ca="1" si="54"/>
        <v>1</v>
      </c>
      <c r="R608" s="82">
        <f t="shared" ca="1" si="51"/>
        <v>0</v>
      </c>
      <c r="S608" s="82">
        <f ca="1">SUM(R$22:$R608)</f>
        <v>1546.4000000000005</v>
      </c>
      <c r="W608" s="60">
        <v>587</v>
      </c>
      <c r="X608" s="82">
        <f ca="1"/>
        <v>2755.2000000000071</v>
      </c>
    </row>
    <row r="609" spans="7:24" x14ac:dyDescent="0.2">
      <c r="G609" s="60">
        <v>588</v>
      </c>
      <c r="H609" s="82">
        <f ca="1"/>
        <v>1</v>
      </c>
      <c r="I609" s="82">
        <f t="shared" ca="1" si="52"/>
        <v>350</v>
      </c>
      <c r="J609" s="83">
        <f t="shared" ca="1" si="50"/>
        <v>0.59523809523809523</v>
      </c>
      <c r="N609" s="60">
        <v>588</v>
      </c>
      <c r="O609" s="82">
        <f ca="1">IF(AND(N609&lt;=U$22,RAND()&lt;=$H$7),1,0)</f>
        <v>1</v>
      </c>
      <c r="P609" s="82">
        <f t="shared" ca="1" si="53"/>
        <v>0</v>
      </c>
      <c r="Q609" s="84">
        <f t="shared" ca="1" si="54"/>
        <v>1</v>
      </c>
      <c r="R609" s="82">
        <f t="shared" ca="1" si="51"/>
        <v>4</v>
      </c>
      <c r="S609" s="82">
        <f ca="1">SUM(R$22:$R609)</f>
        <v>1550.4000000000005</v>
      </c>
      <c r="W609" s="60">
        <v>588</v>
      </c>
      <c r="X609" s="82">
        <f ca="1"/>
        <v>2739.2000000000066</v>
      </c>
    </row>
    <row r="610" spans="7:24" x14ac:dyDescent="0.2">
      <c r="G610" s="60">
        <v>589</v>
      </c>
      <c r="H610" s="82">
        <f ca="1"/>
        <v>1</v>
      </c>
      <c r="I610" s="82">
        <f t="shared" ca="1" si="52"/>
        <v>351</v>
      </c>
      <c r="J610" s="83">
        <f t="shared" ca="1" si="50"/>
        <v>0.59592529711375208</v>
      </c>
      <c r="N610" s="60">
        <v>589</v>
      </c>
      <c r="O610" s="82">
        <f ca="1">IF(AND(N610&lt;=U$22,RAND()&lt;=$H$7),1,0)</f>
        <v>0</v>
      </c>
      <c r="P610" s="82">
        <f t="shared" ca="1" si="53"/>
        <v>0</v>
      </c>
      <c r="Q610" s="84">
        <f t="shared" ca="1" si="54"/>
        <v>1</v>
      </c>
      <c r="R610" s="82">
        <f t="shared" ca="1" si="51"/>
        <v>0</v>
      </c>
      <c r="S610" s="82">
        <f ca="1">SUM(R$22:$R610)</f>
        <v>1550.4000000000005</v>
      </c>
      <c r="W610" s="60">
        <v>589</v>
      </c>
      <c r="X610" s="82">
        <f ca="1"/>
        <v>2744.0000000000073</v>
      </c>
    </row>
    <row r="611" spans="7:24" x14ac:dyDescent="0.2">
      <c r="G611" s="60">
        <v>590</v>
      </c>
      <c r="H611" s="82">
        <f ca="1"/>
        <v>1</v>
      </c>
      <c r="I611" s="82">
        <f t="shared" ca="1" si="52"/>
        <v>352</v>
      </c>
      <c r="J611" s="83">
        <f t="shared" ca="1" si="50"/>
        <v>0.59661016949152545</v>
      </c>
      <c r="N611" s="60">
        <v>590</v>
      </c>
      <c r="O611" s="82">
        <f ca="1">IF(AND(N611&lt;=U$22,RAND()&lt;=$H$7),1,0)</f>
        <v>1</v>
      </c>
      <c r="P611" s="82">
        <f t="shared" ca="1" si="53"/>
        <v>0</v>
      </c>
      <c r="Q611" s="84">
        <f t="shared" ca="1" si="54"/>
        <v>1</v>
      </c>
      <c r="R611" s="82">
        <f t="shared" ca="1" si="51"/>
        <v>4</v>
      </c>
      <c r="S611" s="82">
        <f ca="1">SUM(R$22:$R611)</f>
        <v>1554.4000000000005</v>
      </c>
      <c r="W611" s="60">
        <v>590</v>
      </c>
      <c r="X611" s="82">
        <f ca="1"/>
        <v>2783.6000000000063</v>
      </c>
    </row>
    <row r="612" spans="7:24" x14ac:dyDescent="0.2">
      <c r="G612" s="60">
        <v>591</v>
      </c>
      <c r="H612" s="82">
        <f ca="1"/>
        <v>1</v>
      </c>
      <c r="I612" s="82">
        <f t="shared" ca="1" si="52"/>
        <v>353</v>
      </c>
      <c r="J612" s="83">
        <f t="shared" ca="1" si="50"/>
        <v>0.59729272419627755</v>
      </c>
      <c r="N612" s="60">
        <v>591</v>
      </c>
      <c r="O612" s="82">
        <f ca="1">IF(AND(N612&lt;=U$22,RAND()&lt;=$H$7),1,0)</f>
        <v>0</v>
      </c>
      <c r="P612" s="82">
        <f t="shared" ca="1" si="53"/>
        <v>0</v>
      </c>
      <c r="Q612" s="84">
        <f t="shared" ca="1" si="54"/>
        <v>1</v>
      </c>
      <c r="R612" s="82">
        <f t="shared" ca="1" si="51"/>
        <v>0</v>
      </c>
      <c r="S612" s="82">
        <f ca="1">SUM(R$22:$R612)</f>
        <v>1554.4000000000005</v>
      </c>
      <c r="W612" s="60">
        <v>591</v>
      </c>
      <c r="X612" s="82">
        <f ca="1"/>
        <v>2750.400000000006</v>
      </c>
    </row>
    <row r="613" spans="7:24" x14ac:dyDescent="0.2">
      <c r="G613" s="60">
        <v>592</v>
      </c>
      <c r="H613" s="82">
        <f ca="1"/>
        <v>0</v>
      </c>
      <c r="I613" s="82">
        <f t="shared" ca="1" si="52"/>
        <v>353</v>
      </c>
      <c r="J613" s="83">
        <f t="shared" ca="1" si="50"/>
        <v>0.59628378378378377</v>
      </c>
      <c r="N613" s="60">
        <v>592</v>
      </c>
      <c r="O613" s="82">
        <f ca="1">IF(AND(N613&lt;=U$22,RAND()&lt;=$H$7),1,0)</f>
        <v>1</v>
      </c>
      <c r="P613" s="82">
        <f t="shared" ca="1" si="53"/>
        <v>0</v>
      </c>
      <c r="Q613" s="84">
        <f t="shared" ca="1" si="54"/>
        <v>1</v>
      </c>
      <c r="R613" s="82">
        <f t="shared" ca="1" si="51"/>
        <v>4</v>
      </c>
      <c r="S613" s="82">
        <f ca="1">SUM(R$22:$R613)</f>
        <v>1558.4000000000005</v>
      </c>
      <c r="W613" s="60">
        <v>592</v>
      </c>
      <c r="X613" s="82">
        <f ca="1"/>
        <v>2624.0000000000064</v>
      </c>
    </row>
    <row r="614" spans="7:24" x14ac:dyDescent="0.2">
      <c r="G614" s="60">
        <v>593</v>
      </c>
      <c r="H614" s="82">
        <f ca="1"/>
        <v>1</v>
      </c>
      <c r="I614" s="82">
        <f t="shared" ca="1" si="52"/>
        <v>354</v>
      </c>
      <c r="J614" s="83">
        <f t="shared" ca="1" si="50"/>
        <v>0.59696458684654297</v>
      </c>
      <c r="N614" s="60">
        <v>593</v>
      </c>
      <c r="O614" s="82">
        <f ca="1">IF(AND(N614&lt;=U$22,RAND()&lt;=$H$7),1,0)</f>
        <v>1</v>
      </c>
      <c r="P614" s="82">
        <f t="shared" ca="1" si="53"/>
        <v>1</v>
      </c>
      <c r="Q614" s="84">
        <f t="shared" ca="1" si="54"/>
        <v>1</v>
      </c>
      <c r="R614" s="82">
        <f t="shared" ca="1" si="51"/>
        <v>4</v>
      </c>
      <c r="S614" s="82">
        <f ca="1">SUM(R$22:$R614)</f>
        <v>1562.4000000000005</v>
      </c>
      <c r="W614" s="60">
        <v>593</v>
      </c>
      <c r="X614" s="82">
        <f ca="1"/>
        <v>2718.8000000000065</v>
      </c>
    </row>
    <row r="615" spans="7:24" x14ac:dyDescent="0.2">
      <c r="G615" s="60">
        <v>594</v>
      </c>
      <c r="H615" s="82">
        <f ca="1"/>
        <v>1</v>
      </c>
      <c r="I615" s="82">
        <f t="shared" ca="1" si="52"/>
        <v>355</v>
      </c>
      <c r="J615" s="83">
        <f t="shared" ca="1" si="50"/>
        <v>0.59764309764309764</v>
      </c>
      <c r="N615" s="60">
        <v>594</v>
      </c>
      <c r="O615" s="82">
        <f ca="1">IF(AND(N615&lt;=U$22,RAND()&lt;=$H$7),1,0)</f>
        <v>1</v>
      </c>
      <c r="P615" s="82">
        <f t="shared" ca="1" si="53"/>
        <v>2</v>
      </c>
      <c r="Q615" s="84">
        <f t="shared" ca="1" si="54"/>
        <v>1.1000000000000001</v>
      </c>
      <c r="R615" s="82">
        <f t="shared" ca="1" si="51"/>
        <v>4.4000000000000004</v>
      </c>
      <c r="S615" s="82">
        <f ca="1">SUM(R$22:$R615)</f>
        <v>1566.8000000000006</v>
      </c>
      <c r="W615" s="60">
        <v>594</v>
      </c>
      <c r="X615" s="82">
        <f ca="1"/>
        <v>2640.0000000000068</v>
      </c>
    </row>
    <row r="616" spans="7:24" x14ac:dyDescent="0.2">
      <c r="G616" s="60">
        <v>595</v>
      </c>
      <c r="H616" s="82">
        <f ca="1"/>
        <v>1</v>
      </c>
      <c r="I616" s="82">
        <f t="shared" ca="1" si="52"/>
        <v>356</v>
      </c>
      <c r="J616" s="83">
        <f t="shared" ca="1" si="50"/>
        <v>0.59831932773109242</v>
      </c>
      <c r="N616" s="60">
        <v>595</v>
      </c>
      <c r="O616" s="82">
        <f ca="1">IF(AND(N616&lt;=U$22,RAND()&lt;=$H$7),1,0)</f>
        <v>1</v>
      </c>
      <c r="P616" s="82">
        <f t="shared" ca="1" si="53"/>
        <v>3</v>
      </c>
      <c r="Q616" s="84">
        <f t="shared" ca="1" si="54"/>
        <v>1.2</v>
      </c>
      <c r="R616" s="82">
        <f t="shared" ca="1" si="51"/>
        <v>4.8</v>
      </c>
      <c r="S616" s="82">
        <f ca="1">SUM(R$22:$R616)</f>
        <v>1571.6000000000006</v>
      </c>
      <c r="W616" s="60">
        <v>595</v>
      </c>
      <c r="X616" s="82">
        <f ca="1"/>
        <v>2726.8000000000075</v>
      </c>
    </row>
    <row r="617" spans="7:24" x14ac:dyDescent="0.2">
      <c r="G617" s="60">
        <v>596</v>
      </c>
      <c r="H617" s="82">
        <f ca="1"/>
        <v>0</v>
      </c>
      <c r="I617" s="82">
        <f t="shared" ca="1" si="52"/>
        <v>356</v>
      </c>
      <c r="J617" s="83">
        <f t="shared" ca="1" si="50"/>
        <v>0.59731543624161076</v>
      </c>
      <c r="N617" s="60">
        <v>596</v>
      </c>
      <c r="O617" s="82">
        <f ca="1">IF(AND(N617&lt;=U$22,RAND()&lt;=$H$7),1,0)</f>
        <v>1</v>
      </c>
      <c r="P617" s="82">
        <f t="shared" ca="1" si="53"/>
        <v>4</v>
      </c>
      <c r="Q617" s="84">
        <f t="shared" ca="1" si="54"/>
        <v>1.3</v>
      </c>
      <c r="R617" s="82">
        <f t="shared" ca="1" si="51"/>
        <v>5.2</v>
      </c>
      <c r="S617" s="82">
        <f ca="1">SUM(R$22:$R617)</f>
        <v>1576.8000000000006</v>
      </c>
      <c r="W617" s="60">
        <v>596</v>
      </c>
      <c r="X617" s="82">
        <f ca="1"/>
        <v>2795.6000000000076</v>
      </c>
    </row>
    <row r="618" spans="7:24" x14ac:dyDescent="0.2">
      <c r="G618" s="60">
        <v>597</v>
      </c>
      <c r="H618" s="82">
        <f ca="1"/>
        <v>0</v>
      </c>
      <c r="I618" s="82">
        <f t="shared" ca="1" si="52"/>
        <v>356</v>
      </c>
      <c r="J618" s="83">
        <f t="shared" ca="1" si="50"/>
        <v>0.59631490787269681</v>
      </c>
      <c r="N618" s="60">
        <v>597</v>
      </c>
      <c r="O618" s="82">
        <f ca="1">IF(AND(N618&lt;=U$22,RAND()&lt;=$H$7),1,0)</f>
        <v>0</v>
      </c>
      <c r="P618" s="82">
        <f t="shared" ca="1" si="53"/>
        <v>0</v>
      </c>
      <c r="Q618" s="84">
        <f t="shared" ca="1" si="54"/>
        <v>1</v>
      </c>
      <c r="R618" s="82">
        <f t="shared" ca="1" si="51"/>
        <v>0</v>
      </c>
      <c r="S618" s="82">
        <f ca="1">SUM(R$22:$R618)</f>
        <v>1576.8000000000006</v>
      </c>
      <c r="W618" s="60">
        <v>597</v>
      </c>
      <c r="X618" s="82">
        <f ca="1"/>
        <v>2700.0000000000073</v>
      </c>
    </row>
    <row r="619" spans="7:24" x14ac:dyDescent="0.2">
      <c r="G619" s="60">
        <v>598</v>
      </c>
      <c r="H619" s="82">
        <f ca="1"/>
        <v>1</v>
      </c>
      <c r="I619" s="82">
        <f t="shared" ca="1" si="52"/>
        <v>357</v>
      </c>
      <c r="J619" s="83">
        <f t="shared" ca="1" si="50"/>
        <v>0.59698996655518399</v>
      </c>
      <c r="N619" s="60">
        <v>598</v>
      </c>
      <c r="O619" s="82">
        <f ca="1">IF(AND(N619&lt;=U$22,RAND()&lt;=$H$7),1,0)</f>
        <v>1</v>
      </c>
      <c r="P619" s="82">
        <f t="shared" ca="1" si="53"/>
        <v>0</v>
      </c>
      <c r="Q619" s="84">
        <f t="shared" ca="1" si="54"/>
        <v>1</v>
      </c>
      <c r="R619" s="82">
        <f t="shared" ca="1" si="51"/>
        <v>4</v>
      </c>
      <c r="S619" s="82">
        <f ca="1">SUM(R$22:$R619)</f>
        <v>1580.8000000000006</v>
      </c>
      <c r="W619" s="60">
        <v>598</v>
      </c>
      <c r="X619" s="82">
        <f ca="1"/>
        <v>2845.2000000000075</v>
      </c>
    </row>
    <row r="620" spans="7:24" x14ac:dyDescent="0.2">
      <c r="G620" s="60">
        <v>599</v>
      </c>
      <c r="H620" s="82">
        <f ca="1"/>
        <v>0</v>
      </c>
      <c r="I620" s="82">
        <f t="shared" ca="1" si="52"/>
        <v>357</v>
      </c>
      <c r="J620" s="83">
        <f t="shared" ca="1" si="50"/>
        <v>0.59599332220367274</v>
      </c>
      <c r="N620" s="60">
        <v>599</v>
      </c>
      <c r="O620" s="82">
        <f ca="1">IF(AND(N620&lt;=U$22,RAND()&lt;=$H$7),1,0)</f>
        <v>0</v>
      </c>
      <c r="P620" s="82">
        <f t="shared" ca="1" si="53"/>
        <v>0</v>
      </c>
      <c r="Q620" s="84">
        <f t="shared" ca="1" si="54"/>
        <v>1</v>
      </c>
      <c r="R620" s="82">
        <f t="shared" ca="1" si="51"/>
        <v>0</v>
      </c>
      <c r="S620" s="82">
        <f ca="1">SUM(R$22:$R620)</f>
        <v>1580.8000000000006</v>
      </c>
      <c r="W620" s="60">
        <v>599</v>
      </c>
      <c r="X620" s="82">
        <f ca="1"/>
        <v>2833.2000000000071</v>
      </c>
    </row>
    <row r="621" spans="7:24" x14ac:dyDescent="0.2">
      <c r="G621" s="60">
        <v>600</v>
      </c>
      <c r="H621" s="82">
        <f ca="1"/>
        <v>0</v>
      </c>
      <c r="I621" s="82">
        <f t="shared" ca="1" si="52"/>
        <v>357</v>
      </c>
      <c r="J621" s="83">
        <f t="shared" ca="1" si="50"/>
        <v>0.59499999999999997</v>
      </c>
      <c r="N621" s="60">
        <v>600</v>
      </c>
      <c r="O621" s="82">
        <f ca="1">IF(AND(N621&lt;=U$22,RAND()&lt;=$H$7),1,0)</f>
        <v>1</v>
      </c>
      <c r="P621" s="82">
        <f t="shared" ca="1" si="53"/>
        <v>0</v>
      </c>
      <c r="Q621" s="84">
        <f t="shared" ca="1" si="54"/>
        <v>1</v>
      </c>
      <c r="R621" s="82">
        <f t="shared" ca="1" si="51"/>
        <v>4</v>
      </c>
      <c r="S621" s="82">
        <f ca="1">SUM(R$22:$R621)</f>
        <v>1584.8000000000006</v>
      </c>
      <c r="W621" s="60">
        <v>600</v>
      </c>
      <c r="X621" s="82">
        <f ca="1"/>
        <v>2818.0000000000068</v>
      </c>
    </row>
    <row r="622" spans="7:24" x14ac:dyDescent="0.2">
      <c r="G622" s="60">
        <v>601</v>
      </c>
      <c r="H622" s="82">
        <f ca="1"/>
        <v>1</v>
      </c>
      <c r="I622" s="82">
        <f t="shared" ca="1" si="52"/>
        <v>358</v>
      </c>
      <c r="J622" s="83">
        <f t="shared" ca="1" si="50"/>
        <v>0.59567387687188023</v>
      </c>
      <c r="N622" s="60">
        <v>601</v>
      </c>
      <c r="O622" s="82">
        <f ca="1">IF(AND(N622&lt;=U$22,RAND()&lt;=$H$7),1,0)</f>
        <v>1</v>
      </c>
      <c r="P622" s="82">
        <f t="shared" ca="1" si="53"/>
        <v>1</v>
      </c>
      <c r="Q622" s="84">
        <f t="shared" ca="1" si="54"/>
        <v>1</v>
      </c>
      <c r="R622" s="82">
        <f t="shared" ca="1" si="51"/>
        <v>4</v>
      </c>
      <c r="S622" s="82">
        <f ca="1">SUM(R$22:$R622)</f>
        <v>1588.8000000000006</v>
      </c>
      <c r="W622" s="60">
        <v>601</v>
      </c>
      <c r="X622" s="82">
        <f ca="1"/>
        <v>2792.4000000000083</v>
      </c>
    </row>
    <row r="623" spans="7:24" x14ac:dyDescent="0.2">
      <c r="G623" s="60">
        <v>602</v>
      </c>
      <c r="H623" s="82">
        <f ca="1"/>
        <v>0</v>
      </c>
      <c r="I623" s="82">
        <f t="shared" ca="1" si="52"/>
        <v>358</v>
      </c>
      <c r="J623" s="83">
        <f t="shared" ca="1" si="50"/>
        <v>0.59468438538205981</v>
      </c>
      <c r="N623" s="60">
        <v>602</v>
      </c>
      <c r="O623" s="82">
        <f ca="1">IF(AND(N623&lt;=U$22,RAND()&lt;=$H$7),1,0)</f>
        <v>1</v>
      </c>
      <c r="P623" s="82">
        <f t="shared" ca="1" si="53"/>
        <v>2</v>
      </c>
      <c r="Q623" s="84">
        <f t="shared" ca="1" si="54"/>
        <v>1.1000000000000001</v>
      </c>
      <c r="R623" s="82">
        <f t="shared" ca="1" si="51"/>
        <v>4.4000000000000004</v>
      </c>
      <c r="S623" s="82">
        <f ca="1">SUM(R$22:$R623)</f>
        <v>1593.2000000000007</v>
      </c>
      <c r="W623" s="60">
        <v>602</v>
      </c>
      <c r="X623" s="82">
        <f ca="1"/>
        <v>2841.6000000000058</v>
      </c>
    </row>
    <row r="624" spans="7:24" x14ac:dyDescent="0.2">
      <c r="G624" s="60">
        <v>603</v>
      </c>
      <c r="H624" s="82">
        <f ca="1"/>
        <v>0</v>
      </c>
      <c r="I624" s="82">
        <f t="shared" ca="1" si="52"/>
        <v>358</v>
      </c>
      <c r="J624" s="83">
        <f t="shared" ca="1" si="50"/>
        <v>0.59369817578772799</v>
      </c>
      <c r="N624" s="60">
        <v>603</v>
      </c>
      <c r="O624" s="82">
        <f ca="1">IF(AND(N624&lt;=U$22,RAND()&lt;=$H$7),1,0)</f>
        <v>1</v>
      </c>
      <c r="P624" s="82">
        <f t="shared" ca="1" si="53"/>
        <v>3</v>
      </c>
      <c r="Q624" s="84">
        <f t="shared" ca="1" si="54"/>
        <v>1.2</v>
      </c>
      <c r="R624" s="82">
        <f t="shared" ca="1" si="51"/>
        <v>4.8</v>
      </c>
      <c r="S624" s="82">
        <f ca="1">SUM(R$22:$R624)</f>
        <v>1598.0000000000007</v>
      </c>
      <c r="W624" s="60">
        <v>603</v>
      </c>
      <c r="X624" s="82">
        <f ca="1"/>
        <v>2961.2000000000057</v>
      </c>
    </row>
    <row r="625" spans="7:24" x14ac:dyDescent="0.2">
      <c r="G625" s="60">
        <v>604</v>
      </c>
      <c r="H625" s="82">
        <f ca="1"/>
        <v>1</v>
      </c>
      <c r="I625" s="82">
        <f t="shared" ca="1" si="52"/>
        <v>359</v>
      </c>
      <c r="J625" s="83">
        <f t="shared" ca="1" si="50"/>
        <v>0.5943708609271523</v>
      </c>
      <c r="N625" s="60">
        <v>604</v>
      </c>
      <c r="O625" s="82">
        <f ca="1">IF(AND(N625&lt;=U$22,RAND()&lt;=$H$7),1,0)</f>
        <v>1</v>
      </c>
      <c r="P625" s="82">
        <f t="shared" ca="1" si="53"/>
        <v>4</v>
      </c>
      <c r="Q625" s="84">
        <f t="shared" ca="1" si="54"/>
        <v>1.3</v>
      </c>
      <c r="R625" s="82">
        <f t="shared" ca="1" si="51"/>
        <v>5.2</v>
      </c>
      <c r="S625" s="82">
        <f ca="1">SUM(R$22:$R625)</f>
        <v>1603.2000000000007</v>
      </c>
      <c r="W625" s="60">
        <v>604</v>
      </c>
      <c r="X625" s="82">
        <f ca="1"/>
        <v>2670.0000000000059</v>
      </c>
    </row>
    <row r="626" spans="7:24" x14ac:dyDescent="0.2">
      <c r="G626" s="60">
        <v>605</v>
      </c>
      <c r="H626" s="82">
        <f ca="1"/>
        <v>0</v>
      </c>
      <c r="I626" s="82">
        <f t="shared" ca="1" si="52"/>
        <v>359</v>
      </c>
      <c r="J626" s="83">
        <f t="shared" ca="1" si="50"/>
        <v>0.59338842975206607</v>
      </c>
      <c r="N626" s="60">
        <v>605</v>
      </c>
      <c r="O626" s="82">
        <f ca="1">IF(AND(N626&lt;=U$22,RAND()&lt;=$H$7),1,0)</f>
        <v>1</v>
      </c>
      <c r="P626" s="82">
        <f t="shared" ca="1" si="53"/>
        <v>5</v>
      </c>
      <c r="Q626" s="84">
        <f t="shared" ca="1" si="54"/>
        <v>1.4</v>
      </c>
      <c r="R626" s="82">
        <f t="shared" ca="1" si="51"/>
        <v>5.6</v>
      </c>
      <c r="S626" s="82">
        <f ca="1">SUM(R$22:$R626)</f>
        <v>1608.8000000000006</v>
      </c>
      <c r="W626" s="60">
        <v>605</v>
      </c>
      <c r="X626" s="82">
        <f ca="1"/>
        <v>2724.4000000000069</v>
      </c>
    </row>
    <row r="627" spans="7:24" x14ac:dyDescent="0.2">
      <c r="G627" s="60">
        <v>606</v>
      </c>
      <c r="H627" s="82">
        <f ca="1"/>
        <v>0</v>
      </c>
      <c r="I627" s="82">
        <f t="shared" ca="1" si="52"/>
        <v>359</v>
      </c>
      <c r="J627" s="83">
        <f t="shared" ca="1" si="50"/>
        <v>0.59240924092409242</v>
      </c>
      <c r="N627" s="60">
        <v>606</v>
      </c>
      <c r="O627" s="82">
        <f ca="1">IF(AND(N627&lt;=U$22,RAND()&lt;=$H$7),1,0)</f>
        <v>0</v>
      </c>
      <c r="P627" s="82">
        <f t="shared" ca="1" si="53"/>
        <v>0</v>
      </c>
      <c r="Q627" s="84">
        <f t="shared" ca="1" si="54"/>
        <v>1</v>
      </c>
      <c r="R627" s="82">
        <f t="shared" ca="1" si="51"/>
        <v>0</v>
      </c>
      <c r="S627" s="82">
        <f ca="1">SUM(R$22:$R627)</f>
        <v>1608.8000000000006</v>
      </c>
      <c r="W627" s="60">
        <v>606</v>
      </c>
      <c r="X627" s="82">
        <f ca="1"/>
        <v>2754.4000000000078</v>
      </c>
    </row>
    <row r="628" spans="7:24" x14ac:dyDescent="0.2">
      <c r="G628" s="60">
        <v>607</v>
      </c>
      <c r="H628" s="82">
        <f ca="1"/>
        <v>1</v>
      </c>
      <c r="I628" s="82">
        <f t="shared" ca="1" si="52"/>
        <v>360</v>
      </c>
      <c r="J628" s="83">
        <f t="shared" ca="1" si="50"/>
        <v>0.59308072487644148</v>
      </c>
      <c r="N628" s="60">
        <v>607</v>
      </c>
      <c r="O628" s="82">
        <f ca="1">IF(AND(N628&lt;=U$22,RAND()&lt;=$H$7),1,0)</f>
        <v>1</v>
      </c>
      <c r="P628" s="82">
        <f t="shared" ca="1" si="53"/>
        <v>0</v>
      </c>
      <c r="Q628" s="84">
        <f t="shared" ca="1" si="54"/>
        <v>1</v>
      </c>
      <c r="R628" s="82">
        <f t="shared" ca="1" si="51"/>
        <v>4</v>
      </c>
      <c r="S628" s="82">
        <f ca="1">SUM(R$22:$R628)</f>
        <v>1612.8000000000006</v>
      </c>
      <c r="W628" s="60">
        <v>607</v>
      </c>
      <c r="X628" s="82">
        <f ca="1"/>
        <v>2644.0000000000068</v>
      </c>
    </row>
    <row r="629" spans="7:24" x14ac:dyDescent="0.2">
      <c r="G629" s="60">
        <v>608</v>
      </c>
      <c r="H629" s="82">
        <f ca="1"/>
        <v>0</v>
      </c>
      <c r="I629" s="82">
        <f t="shared" ca="1" si="52"/>
        <v>360</v>
      </c>
      <c r="J629" s="83">
        <f t="shared" ca="1" si="50"/>
        <v>0.59210526315789469</v>
      </c>
      <c r="N629" s="60">
        <v>608</v>
      </c>
      <c r="O629" s="82">
        <f ca="1">IF(AND(N629&lt;=U$22,RAND()&lt;=$H$7),1,0)</f>
        <v>1</v>
      </c>
      <c r="P629" s="82">
        <f t="shared" ca="1" si="53"/>
        <v>1</v>
      </c>
      <c r="Q629" s="84">
        <f t="shared" ca="1" si="54"/>
        <v>1</v>
      </c>
      <c r="R629" s="82">
        <f t="shared" ca="1" si="51"/>
        <v>4</v>
      </c>
      <c r="S629" s="82">
        <f ca="1">SUM(R$22:$R629)</f>
        <v>1616.8000000000006</v>
      </c>
      <c r="W629" s="60">
        <v>608</v>
      </c>
      <c r="X629" s="82">
        <f ca="1"/>
        <v>2849.6000000000067</v>
      </c>
    </row>
    <row r="630" spans="7:24" x14ac:dyDescent="0.2">
      <c r="G630" s="60">
        <v>609</v>
      </c>
      <c r="H630" s="82">
        <f ca="1"/>
        <v>0</v>
      </c>
      <c r="I630" s="82">
        <f t="shared" ca="1" si="52"/>
        <v>360</v>
      </c>
      <c r="J630" s="83">
        <f t="shared" ca="1" si="50"/>
        <v>0.59113300492610843</v>
      </c>
      <c r="N630" s="60">
        <v>609</v>
      </c>
      <c r="O630" s="82">
        <f ca="1">IF(AND(N630&lt;=U$22,RAND()&lt;=$H$7),1,0)</f>
        <v>1</v>
      </c>
      <c r="P630" s="82">
        <f t="shared" ca="1" si="53"/>
        <v>2</v>
      </c>
      <c r="Q630" s="84">
        <f t="shared" ca="1" si="54"/>
        <v>1.1000000000000001</v>
      </c>
      <c r="R630" s="82">
        <f t="shared" ca="1" si="51"/>
        <v>4.4000000000000004</v>
      </c>
      <c r="S630" s="82">
        <f ca="1">SUM(R$22:$R630)</f>
        <v>1621.2000000000007</v>
      </c>
      <c r="W630" s="60">
        <v>609</v>
      </c>
      <c r="X630" s="82">
        <f ca="1"/>
        <v>2909.6000000000063</v>
      </c>
    </row>
    <row r="631" spans="7:24" x14ac:dyDescent="0.2">
      <c r="G631" s="60">
        <v>610</v>
      </c>
      <c r="H631" s="82">
        <f ca="1"/>
        <v>1</v>
      </c>
      <c r="I631" s="82">
        <f t="shared" ca="1" si="52"/>
        <v>361</v>
      </c>
      <c r="J631" s="83">
        <f t="shared" ca="1" si="50"/>
        <v>0.59180327868852456</v>
      </c>
      <c r="N631" s="60">
        <v>610</v>
      </c>
      <c r="O631" s="82">
        <f ca="1">IF(AND(N631&lt;=U$22,RAND()&lt;=$H$7),1,0)</f>
        <v>1</v>
      </c>
      <c r="P631" s="82">
        <f t="shared" ca="1" si="53"/>
        <v>3</v>
      </c>
      <c r="Q631" s="84">
        <f t="shared" ca="1" si="54"/>
        <v>1.2</v>
      </c>
      <c r="R631" s="82">
        <f t="shared" ca="1" si="51"/>
        <v>4.8</v>
      </c>
      <c r="S631" s="82">
        <f ca="1">SUM(R$22:$R631)</f>
        <v>1626.0000000000007</v>
      </c>
      <c r="W631" s="60">
        <v>610</v>
      </c>
      <c r="X631" s="82">
        <f ca="1"/>
        <v>2814.8000000000084</v>
      </c>
    </row>
    <row r="632" spans="7:24" x14ac:dyDescent="0.2">
      <c r="G632" s="60">
        <v>611</v>
      </c>
      <c r="H632" s="82">
        <f ca="1"/>
        <v>1</v>
      </c>
      <c r="I632" s="82">
        <f t="shared" ca="1" si="52"/>
        <v>362</v>
      </c>
      <c r="J632" s="83">
        <f t="shared" ca="1" si="50"/>
        <v>0.59247135842880527</v>
      </c>
      <c r="N632" s="60">
        <v>611</v>
      </c>
      <c r="O632" s="82">
        <f ca="1">IF(AND(N632&lt;=U$22,RAND()&lt;=$H$7),1,0)</f>
        <v>1</v>
      </c>
      <c r="P632" s="82">
        <f t="shared" ca="1" si="53"/>
        <v>4</v>
      </c>
      <c r="Q632" s="84">
        <f t="shared" ca="1" si="54"/>
        <v>1.3</v>
      </c>
      <c r="R632" s="82">
        <f t="shared" ca="1" si="51"/>
        <v>5.2</v>
      </c>
      <c r="S632" s="82">
        <f ca="1">SUM(R$22:$R632)</f>
        <v>1631.2000000000007</v>
      </c>
      <c r="W632" s="60">
        <v>611</v>
      </c>
      <c r="X632" s="82">
        <f ca="1"/>
        <v>2452.800000000007</v>
      </c>
    </row>
    <row r="633" spans="7:24" x14ac:dyDescent="0.2">
      <c r="G633" s="60">
        <v>612</v>
      </c>
      <c r="H633" s="82">
        <f ca="1"/>
        <v>0</v>
      </c>
      <c r="I633" s="82">
        <f t="shared" ca="1" si="52"/>
        <v>362</v>
      </c>
      <c r="J633" s="83">
        <f t="shared" ca="1" si="50"/>
        <v>0.59150326797385622</v>
      </c>
      <c r="N633" s="60">
        <v>612</v>
      </c>
      <c r="O633" s="82">
        <f ca="1">IF(AND(N633&lt;=U$22,RAND()&lt;=$H$7),1,0)</f>
        <v>1</v>
      </c>
      <c r="P633" s="82">
        <f t="shared" ca="1" si="53"/>
        <v>5</v>
      </c>
      <c r="Q633" s="84">
        <f t="shared" ca="1" si="54"/>
        <v>1.4</v>
      </c>
      <c r="R633" s="82">
        <f t="shared" ca="1" si="51"/>
        <v>5.6</v>
      </c>
      <c r="S633" s="82">
        <f ca="1">SUM(R$22:$R633)</f>
        <v>1636.8000000000006</v>
      </c>
      <c r="W633" s="60">
        <v>612</v>
      </c>
      <c r="X633" s="82">
        <f ca="1"/>
        <v>2681.2000000000071</v>
      </c>
    </row>
    <row r="634" spans="7:24" x14ac:dyDescent="0.2">
      <c r="G634" s="60">
        <v>613</v>
      </c>
      <c r="H634" s="82">
        <f ca="1"/>
        <v>1</v>
      </c>
      <c r="I634" s="82">
        <f t="shared" ca="1" si="52"/>
        <v>363</v>
      </c>
      <c r="J634" s="83">
        <f t="shared" ca="1" si="50"/>
        <v>0.59216965742251226</v>
      </c>
      <c r="N634" s="60">
        <v>613</v>
      </c>
      <c r="O634" s="82">
        <f ca="1">IF(AND(N634&lt;=U$22,RAND()&lt;=$H$7),1,0)</f>
        <v>1</v>
      </c>
      <c r="P634" s="82">
        <f t="shared" ca="1" si="53"/>
        <v>6</v>
      </c>
      <c r="Q634" s="84">
        <f t="shared" ca="1" si="54"/>
        <v>1.5</v>
      </c>
      <c r="R634" s="82">
        <f t="shared" ca="1" si="51"/>
        <v>6</v>
      </c>
      <c r="S634" s="82">
        <f ca="1">SUM(R$22:$R634)</f>
        <v>1642.8000000000006</v>
      </c>
      <c r="W634" s="60">
        <v>613</v>
      </c>
      <c r="X634" s="82">
        <f ca="1"/>
        <v>2685.2000000000085</v>
      </c>
    </row>
    <row r="635" spans="7:24" x14ac:dyDescent="0.2">
      <c r="G635" s="60">
        <v>614</v>
      </c>
      <c r="H635" s="82">
        <f ca="1"/>
        <v>1</v>
      </c>
      <c r="I635" s="82">
        <f t="shared" ca="1" si="52"/>
        <v>364</v>
      </c>
      <c r="J635" s="83">
        <f t="shared" ca="1" si="50"/>
        <v>0.59283387622149841</v>
      </c>
      <c r="N635" s="60">
        <v>614</v>
      </c>
      <c r="O635" s="82">
        <f ca="1">IF(AND(N635&lt;=U$22,RAND()&lt;=$H$7),1,0)</f>
        <v>1</v>
      </c>
      <c r="P635" s="82">
        <f t="shared" ca="1" si="53"/>
        <v>7</v>
      </c>
      <c r="Q635" s="84">
        <f t="shared" ca="1" si="54"/>
        <v>1.6</v>
      </c>
      <c r="R635" s="82">
        <f t="shared" ca="1" si="51"/>
        <v>6.4</v>
      </c>
      <c r="S635" s="82">
        <f ca="1">SUM(R$22:$R635)</f>
        <v>1649.2000000000007</v>
      </c>
      <c r="W635" s="60">
        <v>614</v>
      </c>
      <c r="X635" s="82">
        <f ca="1"/>
        <v>2894.8000000000075</v>
      </c>
    </row>
    <row r="636" spans="7:24" x14ac:dyDescent="0.2">
      <c r="G636" s="60">
        <v>615</v>
      </c>
      <c r="H636" s="82">
        <f ca="1"/>
        <v>1</v>
      </c>
      <c r="I636" s="82">
        <f t="shared" ca="1" si="52"/>
        <v>365</v>
      </c>
      <c r="J636" s="83">
        <f t="shared" ca="1" si="50"/>
        <v>0.5934959349593496</v>
      </c>
      <c r="N636" s="60">
        <v>615</v>
      </c>
      <c r="O636" s="82">
        <f ca="1">IF(AND(N636&lt;=U$22,RAND()&lt;=$H$7),1,0)</f>
        <v>0</v>
      </c>
      <c r="P636" s="82">
        <f t="shared" ca="1" si="53"/>
        <v>0</v>
      </c>
      <c r="Q636" s="84">
        <f t="shared" ca="1" si="54"/>
        <v>1</v>
      </c>
      <c r="R636" s="82">
        <f t="shared" ca="1" si="51"/>
        <v>0</v>
      </c>
      <c r="S636" s="82">
        <f ca="1">SUM(R$22:$R636)</f>
        <v>1649.2000000000007</v>
      </c>
      <c r="W636" s="60">
        <v>615</v>
      </c>
      <c r="X636" s="82">
        <f ca="1"/>
        <v>2809.200000000008</v>
      </c>
    </row>
    <row r="637" spans="7:24" x14ac:dyDescent="0.2">
      <c r="G637" s="60">
        <v>616</v>
      </c>
      <c r="H637" s="82">
        <f ca="1"/>
        <v>1</v>
      </c>
      <c r="I637" s="82">
        <f t="shared" ca="1" si="52"/>
        <v>366</v>
      </c>
      <c r="J637" s="83">
        <f t="shared" ca="1" si="50"/>
        <v>0.5941558441558441</v>
      </c>
      <c r="N637" s="60">
        <v>616</v>
      </c>
      <c r="O637" s="82">
        <f ca="1">IF(AND(N637&lt;=U$22,RAND()&lt;=$H$7),1,0)</f>
        <v>1</v>
      </c>
      <c r="P637" s="82">
        <f t="shared" ca="1" si="53"/>
        <v>0</v>
      </c>
      <c r="Q637" s="84">
        <f t="shared" ca="1" si="54"/>
        <v>1</v>
      </c>
      <c r="R637" s="82">
        <f t="shared" ca="1" si="51"/>
        <v>4</v>
      </c>
      <c r="S637" s="82">
        <f ca="1">SUM(R$22:$R637)</f>
        <v>1653.2000000000007</v>
      </c>
      <c r="W637" s="60">
        <v>616</v>
      </c>
      <c r="X637" s="82">
        <f ca="1"/>
        <v>2746.8000000000079</v>
      </c>
    </row>
    <row r="638" spans="7:24" x14ac:dyDescent="0.2">
      <c r="G638" s="60">
        <v>617</v>
      </c>
      <c r="H638" s="82">
        <f ca="1"/>
        <v>0</v>
      </c>
      <c r="I638" s="82">
        <f t="shared" ca="1" si="52"/>
        <v>366</v>
      </c>
      <c r="J638" s="83">
        <f t="shared" ca="1" si="50"/>
        <v>0.59319286871961097</v>
      </c>
      <c r="N638" s="60">
        <v>617</v>
      </c>
      <c r="O638" s="82">
        <f ca="1">IF(AND(N638&lt;=U$22,RAND()&lt;=$H$7),1,0)</f>
        <v>0</v>
      </c>
      <c r="P638" s="82">
        <f t="shared" ca="1" si="53"/>
        <v>0</v>
      </c>
      <c r="Q638" s="84">
        <f t="shared" ca="1" si="54"/>
        <v>1</v>
      </c>
      <c r="R638" s="82">
        <f t="shared" ca="1" si="51"/>
        <v>0</v>
      </c>
      <c r="S638" s="82">
        <f ca="1">SUM(R$22:$R638)</f>
        <v>1653.2000000000007</v>
      </c>
      <c r="W638" s="60">
        <v>617</v>
      </c>
      <c r="X638" s="82">
        <f ca="1"/>
        <v>2799.2000000000085</v>
      </c>
    </row>
    <row r="639" spans="7:24" x14ac:dyDescent="0.2">
      <c r="G639" s="60">
        <v>618</v>
      </c>
      <c r="H639" s="82">
        <f ca="1"/>
        <v>1</v>
      </c>
      <c r="I639" s="82">
        <f t="shared" ca="1" si="52"/>
        <v>367</v>
      </c>
      <c r="J639" s="83">
        <f t="shared" ca="1" si="50"/>
        <v>0.59385113268608414</v>
      </c>
      <c r="N639" s="60">
        <v>618</v>
      </c>
      <c r="O639" s="82">
        <f ca="1">IF(AND(N639&lt;=U$22,RAND()&lt;=$H$7),1,0)</f>
        <v>1</v>
      </c>
      <c r="P639" s="82">
        <f t="shared" ca="1" si="53"/>
        <v>0</v>
      </c>
      <c r="Q639" s="84">
        <f t="shared" ca="1" si="54"/>
        <v>1</v>
      </c>
      <c r="R639" s="82">
        <f t="shared" ca="1" si="51"/>
        <v>4</v>
      </c>
      <c r="S639" s="82">
        <f ca="1">SUM(R$22:$R639)</f>
        <v>1657.2000000000007</v>
      </c>
      <c r="W639" s="60">
        <v>618</v>
      </c>
      <c r="X639" s="82">
        <f ca="1"/>
        <v>2838.0000000000073</v>
      </c>
    </row>
    <row r="640" spans="7:24" x14ac:dyDescent="0.2">
      <c r="G640" s="60">
        <v>619</v>
      </c>
      <c r="H640" s="82">
        <f ca="1"/>
        <v>0</v>
      </c>
      <c r="I640" s="82">
        <f t="shared" ca="1" si="52"/>
        <v>367</v>
      </c>
      <c r="J640" s="83">
        <f t="shared" ca="1" si="50"/>
        <v>0.59289176090468498</v>
      </c>
      <c r="N640" s="60">
        <v>619</v>
      </c>
      <c r="O640" s="82">
        <f ca="1">IF(AND(N640&lt;=U$22,RAND()&lt;=$H$7),1,0)</f>
        <v>1</v>
      </c>
      <c r="P640" s="82">
        <f t="shared" ca="1" si="53"/>
        <v>1</v>
      </c>
      <c r="Q640" s="84">
        <f t="shared" ca="1" si="54"/>
        <v>1</v>
      </c>
      <c r="R640" s="82">
        <f t="shared" ca="1" si="51"/>
        <v>4</v>
      </c>
      <c r="S640" s="82">
        <f ca="1">SUM(R$22:$R640)</f>
        <v>1661.2000000000007</v>
      </c>
      <c r="W640" s="60">
        <v>619</v>
      </c>
      <c r="X640" s="82">
        <f ca="1"/>
        <v>2747.6000000000058</v>
      </c>
    </row>
    <row r="641" spans="7:24" x14ac:dyDescent="0.2">
      <c r="G641" s="60">
        <v>620</v>
      </c>
      <c r="H641" s="82">
        <f ca="1"/>
        <v>0</v>
      </c>
      <c r="I641" s="82">
        <f t="shared" ca="1" si="52"/>
        <v>367</v>
      </c>
      <c r="J641" s="83">
        <f t="shared" ca="1" si="50"/>
        <v>0.59193548387096773</v>
      </c>
      <c r="N641" s="60">
        <v>620</v>
      </c>
      <c r="O641" s="82">
        <f ca="1">IF(AND(N641&lt;=U$22,RAND()&lt;=$H$7),1,0)</f>
        <v>1</v>
      </c>
      <c r="P641" s="82">
        <f t="shared" ca="1" si="53"/>
        <v>2</v>
      </c>
      <c r="Q641" s="84">
        <f t="shared" ca="1" si="54"/>
        <v>1.1000000000000001</v>
      </c>
      <c r="R641" s="82">
        <f t="shared" ca="1" si="51"/>
        <v>4.4000000000000004</v>
      </c>
      <c r="S641" s="82">
        <f ca="1">SUM(R$22:$R641)</f>
        <v>1665.6000000000008</v>
      </c>
      <c r="W641" s="60">
        <v>620</v>
      </c>
      <c r="X641" s="82">
        <f ca="1"/>
        <v>2816.800000000007</v>
      </c>
    </row>
    <row r="642" spans="7:24" x14ac:dyDescent="0.2">
      <c r="G642" s="60">
        <v>621</v>
      </c>
      <c r="H642" s="82">
        <f ca="1"/>
        <v>0</v>
      </c>
      <c r="I642" s="82">
        <f t="shared" ca="1" si="52"/>
        <v>367</v>
      </c>
      <c r="J642" s="83">
        <f t="shared" ca="1" si="50"/>
        <v>0.59098228663446051</v>
      </c>
      <c r="N642" s="60">
        <v>621</v>
      </c>
      <c r="O642" s="82">
        <f ca="1">IF(AND(N642&lt;=U$22,RAND()&lt;=$H$7),1,0)</f>
        <v>0</v>
      </c>
      <c r="P642" s="82">
        <f t="shared" ca="1" si="53"/>
        <v>0</v>
      </c>
      <c r="Q642" s="84">
        <f t="shared" ca="1" si="54"/>
        <v>1</v>
      </c>
      <c r="R642" s="82">
        <f t="shared" ca="1" si="51"/>
        <v>0</v>
      </c>
      <c r="S642" s="82">
        <f ca="1">SUM(R$22:$R642)</f>
        <v>1665.6000000000008</v>
      </c>
      <c r="W642" s="60">
        <v>621</v>
      </c>
      <c r="X642" s="82">
        <f ca="1"/>
        <v>2706.8000000000061</v>
      </c>
    </row>
    <row r="643" spans="7:24" x14ac:dyDescent="0.2">
      <c r="G643" s="60">
        <v>622</v>
      </c>
      <c r="H643" s="82">
        <f ca="1"/>
        <v>0</v>
      </c>
      <c r="I643" s="82">
        <f t="shared" ca="1" si="52"/>
        <v>367</v>
      </c>
      <c r="J643" s="83">
        <f t="shared" ca="1" si="50"/>
        <v>0.590032154340836</v>
      </c>
      <c r="N643" s="60">
        <v>622</v>
      </c>
      <c r="O643" s="82">
        <f ca="1">IF(AND(N643&lt;=U$22,RAND()&lt;=$H$7),1,0)</f>
        <v>1</v>
      </c>
      <c r="P643" s="82">
        <f t="shared" ca="1" si="53"/>
        <v>0</v>
      </c>
      <c r="Q643" s="84">
        <f t="shared" ca="1" si="54"/>
        <v>1</v>
      </c>
      <c r="R643" s="82">
        <f t="shared" ca="1" si="51"/>
        <v>4</v>
      </c>
      <c r="S643" s="82">
        <f ca="1">SUM(R$22:$R643)</f>
        <v>1669.6000000000008</v>
      </c>
      <c r="W643" s="60">
        <v>622</v>
      </c>
      <c r="X643" s="82">
        <f ca="1"/>
        <v>2948.8000000000084</v>
      </c>
    </row>
    <row r="644" spans="7:24" x14ac:dyDescent="0.2">
      <c r="G644" s="60">
        <v>623</v>
      </c>
      <c r="H644" s="82">
        <f ca="1"/>
        <v>1</v>
      </c>
      <c r="I644" s="82">
        <f t="shared" ca="1" si="52"/>
        <v>368</v>
      </c>
      <c r="J644" s="83">
        <f t="shared" ca="1" si="50"/>
        <v>0.5906902086677368</v>
      </c>
      <c r="N644" s="60">
        <v>623</v>
      </c>
      <c r="O644" s="82">
        <f ca="1">IF(AND(N644&lt;=U$22,RAND()&lt;=$H$7),1,0)</f>
        <v>0</v>
      </c>
      <c r="P644" s="82">
        <f t="shared" ca="1" si="53"/>
        <v>0</v>
      </c>
      <c r="Q644" s="84">
        <f t="shared" ca="1" si="54"/>
        <v>1</v>
      </c>
      <c r="R644" s="82">
        <f t="shared" ca="1" si="51"/>
        <v>0</v>
      </c>
      <c r="S644" s="82">
        <f ca="1">SUM(R$22:$R644)</f>
        <v>1669.6000000000008</v>
      </c>
      <c r="W644" s="60">
        <v>623</v>
      </c>
      <c r="X644" s="82">
        <f ca="1"/>
        <v>2813.2000000000085</v>
      </c>
    </row>
    <row r="645" spans="7:24" x14ac:dyDescent="0.2">
      <c r="G645" s="60">
        <v>624</v>
      </c>
      <c r="H645" s="82">
        <f ca="1"/>
        <v>1</v>
      </c>
      <c r="I645" s="82">
        <f t="shared" ca="1" si="52"/>
        <v>369</v>
      </c>
      <c r="J645" s="83">
        <f t="shared" ca="1" si="50"/>
        <v>0.59134615384615385</v>
      </c>
      <c r="N645" s="60">
        <v>624</v>
      </c>
      <c r="O645" s="82">
        <f ca="1">IF(AND(N645&lt;=U$22,RAND()&lt;=$H$7),1,0)</f>
        <v>1</v>
      </c>
      <c r="P645" s="82">
        <f t="shared" ca="1" si="53"/>
        <v>0</v>
      </c>
      <c r="Q645" s="84">
        <f t="shared" ca="1" si="54"/>
        <v>1</v>
      </c>
      <c r="R645" s="82">
        <f t="shared" ca="1" si="51"/>
        <v>4</v>
      </c>
      <c r="S645" s="82">
        <f ca="1">SUM(R$22:$R645)</f>
        <v>1673.6000000000008</v>
      </c>
      <c r="W645" s="60">
        <v>624</v>
      </c>
      <c r="X645" s="82">
        <f ca="1"/>
        <v>2549.6000000000063</v>
      </c>
    </row>
    <row r="646" spans="7:24" x14ac:dyDescent="0.2">
      <c r="G646" s="60">
        <v>625</v>
      </c>
      <c r="H646" s="82">
        <f ca="1"/>
        <v>1</v>
      </c>
      <c r="I646" s="82">
        <f t="shared" ca="1" si="52"/>
        <v>370</v>
      </c>
      <c r="J646" s="83">
        <f t="shared" ca="1" si="50"/>
        <v>0.59199999999999997</v>
      </c>
      <c r="N646" s="60">
        <v>625</v>
      </c>
      <c r="O646" s="82">
        <f ca="1">IF(AND(N646&lt;=U$22,RAND()&lt;=$H$7),1,0)</f>
        <v>1</v>
      </c>
      <c r="P646" s="82">
        <f t="shared" ca="1" si="53"/>
        <v>1</v>
      </c>
      <c r="Q646" s="84">
        <f t="shared" ca="1" si="54"/>
        <v>1</v>
      </c>
      <c r="R646" s="82">
        <f t="shared" ca="1" si="51"/>
        <v>4</v>
      </c>
      <c r="S646" s="82">
        <f ca="1">SUM(R$22:$R646)</f>
        <v>1677.6000000000008</v>
      </c>
      <c r="W646" s="60">
        <v>625</v>
      </c>
      <c r="X646" s="82">
        <f ca="1"/>
        <v>2768.0000000000073</v>
      </c>
    </row>
    <row r="647" spans="7:24" x14ac:dyDescent="0.2">
      <c r="G647" s="60">
        <v>626</v>
      </c>
      <c r="H647" s="82">
        <f ca="1"/>
        <v>1</v>
      </c>
      <c r="I647" s="82">
        <f t="shared" ca="1" si="52"/>
        <v>371</v>
      </c>
      <c r="J647" s="83">
        <f t="shared" ca="1" si="50"/>
        <v>0.59265175718849838</v>
      </c>
      <c r="N647" s="60">
        <v>626</v>
      </c>
      <c r="O647" s="82">
        <f ca="1">IF(AND(N647&lt;=U$22,RAND()&lt;=$H$7),1,0)</f>
        <v>0</v>
      </c>
      <c r="P647" s="82">
        <f t="shared" ca="1" si="53"/>
        <v>0</v>
      </c>
      <c r="Q647" s="84">
        <f t="shared" ca="1" si="54"/>
        <v>1</v>
      </c>
      <c r="R647" s="82">
        <f t="shared" ca="1" si="51"/>
        <v>0</v>
      </c>
      <c r="S647" s="82">
        <f ca="1">SUM(R$22:$R647)</f>
        <v>1677.6000000000008</v>
      </c>
      <c r="W647" s="60">
        <v>626</v>
      </c>
      <c r="X647" s="82">
        <f ca="1"/>
        <v>2572.4000000000065</v>
      </c>
    </row>
    <row r="648" spans="7:24" x14ac:dyDescent="0.2">
      <c r="G648" s="60">
        <v>627</v>
      </c>
      <c r="H648" s="82">
        <f ca="1"/>
        <v>1</v>
      </c>
      <c r="I648" s="82">
        <f t="shared" ca="1" si="52"/>
        <v>372</v>
      </c>
      <c r="J648" s="83">
        <f t="shared" ca="1" si="50"/>
        <v>0.59330143540669855</v>
      </c>
      <c r="N648" s="60">
        <v>627</v>
      </c>
      <c r="O648" s="82">
        <f ca="1">IF(AND(N648&lt;=U$22,RAND()&lt;=$H$7),1,0)</f>
        <v>0</v>
      </c>
      <c r="P648" s="82">
        <f t="shared" ca="1" si="53"/>
        <v>0</v>
      </c>
      <c r="Q648" s="84">
        <f t="shared" ca="1" si="54"/>
        <v>1</v>
      </c>
      <c r="R648" s="82">
        <f t="shared" ca="1" si="51"/>
        <v>0</v>
      </c>
      <c r="S648" s="82">
        <f ca="1">SUM(R$22:$R648)</f>
        <v>1677.6000000000008</v>
      </c>
      <c r="W648" s="60">
        <v>627</v>
      </c>
      <c r="X648" s="82">
        <f ca="1"/>
        <v>2703.6000000000072</v>
      </c>
    </row>
    <row r="649" spans="7:24" x14ac:dyDescent="0.2">
      <c r="G649" s="60">
        <v>628</v>
      </c>
      <c r="H649" s="82">
        <f ca="1"/>
        <v>1</v>
      </c>
      <c r="I649" s="82">
        <f t="shared" ca="1" si="52"/>
        <v>373</v>
      </c>
      <c r="J649" s="83">
        <f t="shared" ca="1" si="50"/>
        <v>0.5939490445859873</v>
      </c>
      <c r="N649" s="60">
        <v>628</v>
      </c>
      <c r="O649" s="82">
        <f ca="1">IF(AND(N649&lt;=U$22,RAND()&lt;=$H$7),1,0)</f>
        <v>0</v>
      </c>
      <c r="P649" s="82">
        <f t="shared" ca="1" si="53"/>
        <v>0</v>
      </c>
      <c r="Q649" s="84">
        <f t="shared" ca="1" si="54"/>
        <v>1</v>
      </c>
      <c r="R649" s="82">
        <f t="shared" ca="1" si="51"/>
        <v>0</v>
      </c>
      <c r="S649" s="82">
        <f ca="1">SUM(R$22:$R649)</f>
        <v>1677.6000000000008</v>
      </c>
      <c r="W649" s="60">
        <v>628</v>
      </c>
      <c r="X649" s="82">
        <f ca="1"/>
        <v>2670.0000000000068</v>
      </c>
    </row>
    <row r="650" spans="7:24" x14ac:dyDescent="0.2">
      <c r="G650" s="60">
        <v>629</v>
      </c>
      <c r="H650" s="82">
        <f ca="1"/>
        <v>1</v>
      </c>
      <c r="I650" s="82">
        <f t="shared" ca="1" si="52"/>
        <v>374</v>
      </c>
      <c r="J650" s="83">
        <f t="shared" ca="1" si="50"/>
        <v>0.59459459459459463</v>
      </c>
      <c r="N650" s="60">
        <v>629</v>
      </c>
      <c r="O650" s="82">
        <f ca="1">IF(AND(N650&lt;=U$22,RAND()&lt;=$H$7),1,0)</f>
        <v>0</v>
      </c>
      <c r="P650" s="82">
        <f t="shared" ca="1" si="53"/>
        <v>0</v>
      </c>
      <c r="Q650" s="84">
        <f t="shared" ca="1" si="54"/>
        <v>1</v>
      </c>
      <c r="R650" s="82">
        <f t="shared" ca="1" si="51"/>
        <v>0</v>
      </c>
      <c r="S650" s="82">
        <f ca="1">SUM(R$22:$R650)</f>
        <v>1677.6000000000008</v>
      </c>
      <c r="W650" s="60">
        <v>629</v>
      </c>
      <c r="X650" s="82">
        <f ca="1"/>
        <v>2788.8000000000084</v>
      </c>
    </row>
    <row r="651" spans="7:24" x14ac:dyDescent="0.2">
      <c r="G651" s="60">
        <v>630</v>
      </c>
      <c r="H651" s="82">
        <f ca="1"/>
        <v>1</v>
      </c>
      <c r="I651" s="82">
        <f t="shared" ca="1" si="52"/>
        <v>375</v>
      </c>
      <c r="J651" s="83">
        <f t="shared" ca="1" si="50"/>
        <v>0.59523809523809523</v>
      </c>
      <c r="N651" s="60">
        <v>630</v>
      </c>
      <c r="O651" s="82">
        <f ca="1">IF(AND(N651&lt;=U$22,RAND()&lt;=$H$7),1,0)</f>
        <v>1</v>
      </c>
      <c r="P651" s="82">
        <f t="shared" ca="1" si="53"/>
        <v>0</v>
      </c>
      <c r="Q651" s="84">
        <f t="shared" ca="1" si="54"/>
        <v>1</v>
      </c>
      <c r="R651" s="82">
        <f t="shared" ca="1" si="51"/>
        <v>4</v>
      </c>
      <c r="S651" s="82">
        <f ca="1">SUM(R$22:$R651)</f>
        <v>1681.6000000000008</v>
      </c>
      <c r="W651" s="60">
        <v>630</v>
      </c>
      <c r="X651" s="82">
        <f ca="1"/>
        <v>2704.0000000000055</v>
      </c>
    </row>
    <row r="652" spans="7:24" x14ac:dyDescent="0.2">
      <c r="G652" s="60">
        <v>631</v>
      </c>
      <c r="H652" s="82">
        <f ca="1"/>
        <v>0</v>
      </c>
      <c r="I652" s="82">
        <f t="shared" ca="1" si="52"/>
        <v>375</v>
      </c>
      <c r="J652" s="83">
        <f t="shared" ca="1" si="50"/>
        <v>0.59429477020602217</v>
      </c>
      <c r="N652" s="60">
        <v>631</v>
      </c>
      <c r="O652" s="82">
        <f ca="1">IF(AND(N652&lt;=U$22,RAND()&lt;=$H$7),1,0)</f>
        <v>0</v>
      </c>
      <c r="P652" s="82">
        <f t="shared" ca="1" si="53"/>
        <v>0</v>
      </c>
      <c r="Q652" s="84">
        <f t="shared" ca="1" si="54"/>
        <v>1</v>
      </c>
      <c r="R652" s="82">
        <f t="shared" ca="1" si="51"/>
        <v>0</v>
      </c>
      <c r="S652" s="82">
        <f ca="1">SUM(R$22:$R652)</f>
        <v>1681.6000000000008</v>
      </c>
      <c r="W652" s="60">
        <v>631</v>
      </c>
      <c r="X652" s="82">
        <f ca="1"/>
        <v>2833.6000000000076</v>
      </c>
    </row>
    <row r="653" spans="7:24" x14ac:dyDescent="0.2">
      <c r="G653" s="60">
        <v>632</v>
      </c>
      <c r="H653" s="82">
        <f ca="1"/>
        <v>0</v>
      </c>
      <c r="I653" s="82">
        <f t="shared" ca="1" si="52"/>
        <v>375</v>
      </c>
      <c r="J653" s="83">
        <f t="shared" ca="1" si="50"/>
        <v>0.59335443037974689</v>
      </c>
      <c r="N653" s="60">
        <v>632</v>
      </c>
      <c r="O653" s="82">
        <f ca="1">IF(AND(N653&lt;=U$22,RAND()&lt;=$H$7),1,0)</f>
        <v>0</v>
      </c>
      <c r="P653" s="82">
        <f t="shared" ca="1" si="53"/>
        <v>0</v>
      </c>
      <c r="Q653" s="84">
        <f t="shared" ca="1" si="54"/>
        <v>1</v>
      </c>
      <c r="R653" s="82">
        <f t="shared" ca="1" si="51"/>
        <v>0</v>
      </c>
      <c r="S653" s="82">
        <f ca="1">SUM(R$22:$R653)</f>
        <v>1681.6000000000008</v>
      </c>
      <c r="W653" s="60">
        <v>632</v>
      </c>
      <c r="X653" s="82">
        <f ca="1"/>
        <v>2825.6000000000067</v>
      </c>
    </row>
    <row r="654" spans="7:24" x14ac:dyDescent="0.2">
      <c r="G654" s="60">
        <v>633</v>
      </c>
      <c r="H654" s="82">
        <f ca="1"/>
        <v>1</v>
      </c>
      <c r="I654" s="82">
        <f t="shared" ca="1" si="52"/>
        <v>376</v>
      </c>
      <c r="J654" s="83">
        <f t="shared" ca="1" si="50"/>
        <v>0.59399684044233803</v>
      </c>
      <c r="N654" s="60">
        <v>633</v>
      </c>
      <c r="O654" s="82">
        <f ca="1">IF(AND(N654&lt;=U$22,RAND()&lt;=$H$7),1,0)</f>
        <v>1</v>
      </c>
      <c r="P654" s="82">
        <f t="shared" ca="1" si="53"/>
        <v>0</v>
      </c>
      <c r="Q654" s="84">
        <f t="shared" ca="1" si="54"/>
        <v>1</v>
      </c>
      <c r="R654" s="82">
        <f t="shared" ca="1" si="51"/>
        <v>4</v>
      </c>
      <c r="S654" s="82">
        <f ca="1">SUM(R$22:$R654)</f>
        <v>1685.6000000000008</v>
      </c>
      <c r="W654" s="60">
        <v>633</v>
      </c>
      <c r="X654" s="82">
        <f ca="1"/>
        <v>2691.2000000000071</v>
      </c>
    </row>
    <row r="655" spans="7:24" x14ac:dyDescent="0.2">
      <c r="G655" s="60">
        <v>634</v>
      </c>
      <c r="H655" s="82">
        <f ca="1"/>
        <v>1</v>
      </c>
      <c r="I655" s="82">
        <f t="shared" ca="1" si="52"/>
        <v>377</v>
      </c>
      <c r="J655" s="83">
        <f t="shared" ca="1" si="50"/>
        <v>0.59463722397476337</v>
      </c>
      <c r="N655" s="60">
        <v>634</v>
      </c>
      <c r="O655" s="82">
        <f ca="1">IF(AND(N655&lt;=U$22,RAND()&lt;=$H$7),1,0)</f>
        <v>1</v>
      </c>
      <c r="P655" s="82">
        <f t="shared" ca="1" si="53"/>
        <v>1</v>
      </c>
      <c r="Q655" s="84">
        <f t="shared" ca="1" si="54"/>
        <v>1</v>
      </c>
      <c r="R655" s="82">
        <f t="shared" ca="1" si="51"/>
        <v>4</v>
      </c>
      <c r="S655" s="82">
        <f ca="1">SUM(R$22:$R655)</f>
        <v>1689.6000000000008</v>
      </c>
      <c r="W655" s="60">
        <v>634</v>
      </c>
      <c r="X655" s="82">
        <f ca="1"/>
        <v>2833.200000000008</v>
      </c>
    </row>
    <row r="656" spans="7:24" x14ac:dyDescent="0.2">
      <c r="G656" s="60">
        <v>635</v>
      </c>
      <c r="H656" s="82">
        <f ca="1"/>
        <v>0</v>
      </c>
      <c r="I656" s="82">
        <f t="shared" ca="1" si="52"/>
        <v>377</v>
      </c>
      <c r="J656" s="83">
        <f t="shared" ca="1" si="50"/>
        <v>0.59370078740157484</v>
      </c>
      <c r="N656" s="60">
        <v>635</v>
      </c>
      <c r="O656" s="82">
        <f ca="1">IF(AND(N656&lt;=U$22,RAND()&lt;=$H$7),1,0)</f>
        <v>0</v>
      </c>
      <c r="P656" s="82">
        <f t="shared" ca="1" si="53"/>
        <v>0</v>
      </c>
      <c r="Q656" s="84">
        <f t="shared" ca="1" si="54"/>
        <v>1</v>
      </c>
      <c r="R656" s="82">
        <f t="shared" ca="1" si="51"/>
        <v>0</v>
      </c>
      <c r="S656" s="82">
        <f ca="1">SUM(R$22:$R656)</f>
        <v>1689.6000000000008</v>
      </c>
      <c r="W656" s="60">
        <v>635</v>
      </c>
      <c r="X656" s="82">
        <f ca="1"/>
        <v>2742.800000000007</v>
      </c>
    </row>
    <row r="657" spans="7:24" x14ac:dyDescent="0.2">
      <c r="G657" s="60">
        <v>636</v>
      </c>
      <c r="H657" s="82">
        <f ca="1"/>
        <v>1</v>
      </c>
      <c r="I657" s="82">
        <f t="shared" ca="1" si="52"/>
        <v>378</v>
      </c>
      <c r="J657" s="83">
        <f t="shared" ca="1" si="50"/>
        <v>0.59433962264150941</v>
      </c>
      <c r="N657" s="60">
        <v>636</v>
      </c>
      <c r="O657" s="82">
        <f ca="1">IF(AND(N657&lt;=U$22,RAND()&lt;=$H$7),1,0)</f>
        <v>1</v>
      </c>
      <c r="P657" s="82">
        <f t="shared" ca="1" si="53"/>
        <v>0</v>
      </c>
      <c r="Q657" s="84">
        <f t="shared" ca="1" si="54"/>
        <v>1</v>
      </c>
      <c r="R657" s="82">
        <f t="shared" ca="1" si="51"/>
        <v>4</v>
      </c>
      <c r="S657" s="82">
        <f ca="1">SUM(R$22:$R657)</f>
        <v>1693.6000000000008</v>
      </c>
      <c r="W657" s="60">
        <v>636</v>
      </c>
      <c r="X657" s="82">
        <f ca="1"/>
        <v>2790.0000000000068</v>
      </c>
    </row>
    <row r="658" spans="7:24" x14ac:dyDescent="0.2">
      <c r="G658" s="60">
        <v>637</v>
      </c>
      <c r="H658" s="82">
        <f ca="1"/>
        <v>0</v>
      </c>
      <c r="I658" s="82">
        <f t="shared" ca="1" si="52"/>
        <v>378</v>
      </c>
      <c r="J658" s="83">
        <f t="shared" ca="1" si="50"/>
        <v>0.59340659340659341</v>
      </c>
      <c r="N658" s="60">
        <v>637</v>
      </c>
      <c r="O658" s="82">
        <f ca="1">IF(AND(N658&lt;=U$22,RAND()&lt;=$H$7),1,0)</f>
        <v>0</v>
      </c>
      <c r="P658" s="82">
        <f t="shared" ca="1" si="53"/>
        <v>0</v>
      </c>
      <c r="Q658" s="84">
        <f t="shared" ca="1" si="54"/>
        <v>1</v>
      </c>
      <c r="R658" s="82">
        <f t="shared" ca="1" si="51"/>
        <v>0</v>
      </c>
      <c r="S658" s="82">
        <f ca="1">SUM(R$22:$R658)</f>
        <v>1693.6000000000008</v>
      </c>
      <c r="W658" s="60">
        <v>637</v>
      </c>
      <c r="X658" s="82">
        <f ca="1"/>
        <v>2771.2000000000075</v>
      </c>
    </row>
    <row r="659" spans="7:24" x14ac:dyDescent="0.2">
      <c r="G659" s="60">
        <v>638</v>
      </c>
      <c r="H659" s="82">
        <f ca="1"/>
        <v>0</v>
      </c>
      <c r="I659" s="82">
        <f t="shared" ca="1" si="52"/>
        <v>378</v>
      </c>
      <c r="J659" s="83">
        <f t="shared" ca="1" si="50"/>
        <v>0.59247648902821315</v>
      </c>
      <c r="N659" s="60">
        <v>638</v>
      </c>
      <c r="O659" s="82">
        <f ca="1">IF(AND(N659&lt;=U$22,RAND()&lt;=$H$7),1,0)</f>
        <v>0</v>
      </c>
      <c r="P659" s="82">
        <f t="shared" ca="1" si="53"/>
        <v>0</v>
      </c>
      <c r="Q659" s="84">
        <f t="shared" ca="1" si="54"/>
        <v>1</v>
      </c>
      <c r="R659" s="82">
        <f t="shared" ca="1" si="51"/>
        <v>0</v>
      </c>
      <c r="S659" s="82">
        <f ca="1">SUM(R$22:$R659)</f>
        <v>1693.6000000000008</v>
      </c>
      <c r="W659" s="60">
        <v>638</v>
      </c>
      <c r="X659" s="82">
        <f ca="1"/>
        <v>2771.2000000000075</v>
      </c>
    </row>
    <row r="660" spans="7:24" x14ac:dyDescent="0.2">
      <c r="G660" s="60">
        <v>639</v>
      </c>
      <c r="H660" s="82">
        <f ca="1"/>
        <v>0</v>
      </c>
      <c r="I660" s="82">
        <f t="shared" ca="1" si="52"/>
        <v>378</v>
      </c>
      <c r="J660" s="83">
        <f t="shared" ca="1" si="50"/>
        <v>0.59154929577464788</v>
      </c>
      <c r="N660" s="60">
        <v>639</v>
      </c>
      <c r="O660" s="82">
        <f ca="1">IF(AND(N660&lt;=U$22,RAND()&lt;=$H$7),1,0)</f>
        <v>0</v>
      </c>
      <c r="P660" s="82">
        <f t="shared" ca="1" si="53"/>
        <v>0</v>
      </c>
      <c r="Q660" s="84">
        <f t="shared" ca="1" si="54"/>
        <v>1</v>
      </c>
      <c r="R660" s="82">
        <f t="shared" ca="1" si="51"/>
        <v>0</v>
      </c>
      <c r="S660" s="82">
        <f ca="1">SUM(R$22:$R660)</f>
        <v>1693.6000000000008</v>
      </c>
      <c r="W660" s="60">
        <v>639</v>
      </c>
      <c r="X660" s="82">
        <f ca="1"/>
        <v>2555.6000000000045</v>
      </c>
    </row>
    <row r="661" spans="7:24" x14ac:dyDescent="0.2">
      <c r="G661" s="60">
        <v>640</v>
      </c>
      <c r="H661" s="82">
        <f ca="1"/>
        <v>0</v>
      </c>
      <c r="I661" s="82">
        <f t="shared" ca="1" si="52"/>
        <v>378</v>
      </c>
      <c r="J661" s="83">
        <f t="shared" ca="1" si="50"/>
        <v>0.59062499999999996</v>
      </c>
      <c r="N661" s="60">
        <v>640</v>
      </c>
      <c r="O661" s="82">
        <f ca="1">IF(AND(N661&lt;=U$22,RAND()&lt;=$H$7),1,0)</f>
        <v>1</v>
      </c>
      <c r="P661" s="82">
        <f t="shared" ca="1" si="53"/>
        <v>0</v>
      </c>
      <c r="Q661" s="84">
        <f t="shared" ca="1" si="54"/>
        <v>1</v>
      </c>
      <c r="R661" s="82">
        <f t="shared" ca="1" si="51"/>
        <v>4</v>
      </c>
      <c r="S661" s="82">
        <f ca="1">SUM(R$22:$R661)</f>
        <v>1697.6000000000008</v>
      </c>
      <c r="W661" s="60">
        <v>640</v>
      </c>
      <c r="X661" s="82">
        <f ca="1"/>
        <v>2589.6000000000058</v>
      </c>
    </row>
    <row r="662" spans="7:24" x14ac:dyDescent="0.2">
      <c r="G662" s="60">
        <v>641</v>
      </c>
      <c r="H662" s="82">
        <f ca="1"/>
        <v>1</v>
      </c>
      <c r="I662" s="82">
        <f t="shared" ca="1" si="52"/>
        <v>379</v>
      </c>
      <c r="J662" s="83">
        <f t="shared" ca="1" si="50"/>
        <v>0.59126365054602181</v>
      </c>
      <c r="N662" s="60">
        <v>641</v>
      </c>
      <c r="O662" s="82">
        <f ca="1">IF(AND(N662&lt;=U$22,RAND()&lt;=$H$7),1,0)</f>
        <v>1</v>
      </c>
      <c r="P662" s="82">
        <f t="shared" ca="1" si="53"/>
        <v>1</v>
      </c>
      <c r="Q662" s="84">
        <f t="shared" ca="1" si="54"/>
        <v>1</v>
      </c>
      <c r="R662" s="82">
        <f t="shared" ca="1" si="51"/>
        <v>4</v>
      </c>
      <c r="S662" s="82">
        <f ca="1">SUM(R$22:$R662)</f>
        <v>1701.6000000000008</v>
      </c>
      <c r="W662" s="60">
        <v>641</v>
      </c>
      <c r="X662" s="82">
        <f ca="1"/>
        <v>2781.6000000000081</v>
      </c>
    </row>
    <row r="663" spans="7:24" x14ac:dyDescent="0.2">
      <c r="G663" s="60">
        <v>642</v>
      </c>
      <c r="H663" s="82">
        <f ca="1"/>
        <v>1</v>
      </c>
      <c r="I663" s="82">
        <f t="shared" ca="1" si="52"/>
        <v>380</v>
      </c>
      <c r="J663" s="83">
        <f t="shared" ref="J663:J726" ca="1" si="55">I663/G663</f>
        <v>0.59190031152647971</v>
      </c>
      <c r="N663" s="60">
        <v>642</v>
      </c>
      <c r="O663" s="82">
        <f ca="1">IF(AND(N663&lt;=U$22,RAND()&lt;=$H$7),1,0)</f>
        <v>0</v>
      </c>
      <c r="P663" s="82">
        <f t="shared" ca="1" si="53"/>
        <v>0</v>
      </c>
      <c r="Q663" s="84">
        <f t="shared" ca="1" si="54"/>
        <v>1</v>
      </c>
      <c r="R663" s="82">
        <f t="shared" ref="R663:R726" ca="1" si="56">Q663*$I$7*O663</f>
        <v>0</v>
      </c>
      <c r="S663" s="82">
        <f ca="1">SUM(R$22:$R663)</f>
        <v>1701.6000000000008</v>
      </c>
      <c r="W663" s="60">
        <v>642</v>
      </c>
      <c r="X663" s="82">
        <f ca="1"/>
        <v>2768.4000000000069</v>
      </c>
    </row>
    <row r="664" spans="7:24" x14ac:dyDescent="0.2">
      <c r="G664" s="60">
        <v>643</v>
      </c>
      <c r="H664" s="82">
        <f ca="1"/>
        <v>1</v>
      </c>
      <c r="I664" s="82">
        <f t="shared" ref="I664:I727" ca="1" si="57">H664+I663</f>
        <v>381</v>
      </c>
      <c r="J664" s="83">
        <f t="shared" ca="1" si="55"/>
        <v>0.59253499222395023</v>
      </c>
      <c r="N664" s="60">
        <v>643</v>
      </c>
      <c r="O664" s="82">
        <f ca="1">IF(AND(N664&lt;=U$22,RAND()&lt;=$H$7),1,0)</f>
        <v>1</v>
      </c>
      <c r="P664" s="82">
        <f t="shared" ref="P664:P727" ca="1" si="58">IF(AND(O663=1,O664=1),P663+1,0)</f>
        <v>0</v>
      </c>
      <c r="Q664" s="84">
        <f t="shared" ref="Q664:Q727" ca="1" si="59">IF(P664&gt;1,1+(P664-1)*0.1,1)</f>
        <v>1</v>
      </c>
      <c r="R664" s="82">
        <f t="shared" ca="1" si="56"/>
        <v>4</v>
      </c>
      <c r="S664" s="82">
        <f ca="1">SUM(R$22:$R664)</f>
        <v>1705.6000000000008</v>
      </c>
      <c r="W664" s="60">
        <v>643</v>
      </c>
      <c r="X664" s="82">
        <f ca="1"/>
        <v>2786.8000000000079</v>
      </c>
    </row>
    <row r="665" spans="7:24" x14ac:dyDescent="0.2">
      <c r="G665" s="60">
        <v>644</v>
      </c>
      <c r="H665" s="82">
        <f ca="1"/>
        <v>1</v>
      </c>
      <c r="I665" s="82">
        <f t="shared" ca="1" si="57"/>
        <v>382</v>
      </c>
      <c r="J665" s="83">
        <f t="shared" ca="1" si="55"/>
        <v>0.59316770186335399</v>
      </c>
      <c r="N665" s="60">
        <v>644</v>
      </c>
      <c r="O665" s="82">
        <f ca="1">IF(AND(N665&lt;=U$22,RAND()&lt;=$H$7),1,0)</f>
        <v>1</v>
      </c>
      <c r="P665" s="82">
        <f t="shared" ca="1" si="58"/>
        <v>1</v>
      </c>
      <c r="Q665" s="84">
        <f t="shared" ca="1" si="59"/>
        <v>1</v>
      </c>
      <c r="R665" s="82">
        <f t="shared" ca="1" si="56"/>
        <v>4</v>
      </c>
      <c r="S665" s="82">
        <f ca="1">SUM(R$22:$R665)</f>
        <v>1709.6000000000008</v>
      </c>
      <c r="W665" s="60">
        <v>644</v>
      </c>
      <c r="X665" s="82">
        <f ca="1"/>
        <v>2864.4000000000069</v>
      </c>
    </row>
    <row r="666" spans="7:24" x14ac:dyDescent="0.2">
      <c r="G666" s="60">
        <v>645</v>
      </c>
      <c r="H666" s="82">
        <f ca="1"/>
        <v>1</v>
      </c>
      <c r="I666" s="82">
        <f t="shared" ca="1" si="57"/>
        <v>383</v>
      </c>
      <c r="J666" s="83">
        <f t="shared" ca="1" si="55"/>
        <v>0.59379844961240313</v>
      </c>
      <c r="N666" s="60">
        <v>645</v>
      </c>
      <c r="O666" s="82">
        <f ca="1">IF(AND(N666&lt;=U$22,RAND()&lt;=$H$7),1,0)</f>
        <v>0</v>
      </c>
      <c r="P666" s="82">
        <f t="shared" ca="1" si="58"/>
        <v>0</v>
      </c>
      <c r="Q666" s="84">
        <f t="shared" ca="1" si="59"/>
        <v>1</v>
      </c>
      <c r="R666" s="82">
        <f t="shared" ca="1" si="56"/>
        <v>0</v>
      </c>
      <c r="S666" s="82">
        <f ca="1">SUM(R$22:$R666)</f>
        <v>1709.6000000000008</v>
      </c>
      <c r="W666" s="60">
        <v>645</v>
      </c>
      <c r="X666" s="82">
        <f ca="1"/>
        <v>2809.6000000000081</v>
      </c>
    </row>
    <row r="667" spans="7:24" x14ac:dyDescent="0.2">
      <c r="G667" s="60">
        <v>646</v>
      </c>
      <c r="H667" s="82">
        <f ca="1"/>
        <v>1</v>
      </c>
      <c r="I667" s="82">
        <f t="shared" ca="1" si="57"/>
        <v>384</v>
      </c>
      <c r="J667" s="83">
        <f t="shared" ca="1" si="55"/>
        <v>0.59442724458204332</v>
      </c>
      <c r="N667" s="60">
        <v>646</v>
      </c>
      <c r="O667" s="82">
        <f ca="1">IF(AND(N667&lt;=U$22,RAND()&lt;=$H$7),1,0)</f>
        <v>1</v>
      </c>
      <c r="P667" s="82">
        <f t="shared" ca="1" si="58"/>
        <v>0</v>
      </c>
      <c r="Q667" s="84">
        <f t="shared" ca="1" si="59"/>
        <v>1</v>
      </c>
      <c r="R667" s="82">
        <f t="shared" ca="1" si="56"/>
        <v>4</v>
      </c>
      <c r="S667" s="82">
        <f ca="1">SUM(R$22:$R667)</f>
        <v>1713.6000000000008</v>
      </c>
      <c r="W667" s="60">
        <v>646</v>
      </c>
      <c r="X667" s="82">
        <f ca="1"/>
        <v>2577.2000000000071</v>
      </c>
    </row>
    <row r="668" spans="7:24" x14ac:dyDescent="0.2">
      <c r="G668" s="60">
        <v>647</v>
      </c>
      <c r="H668" s="82">
        <f ca="1"/>
        <v>1</v>
      </c>
      <c r="I668" s="82">
        <f t="shared" ca="1" si="57"/>
        <v>385</v>
      </c>
      <c r="J668" s="83">
        <f t="shared" ca="1" si="55"/>
        <v>0.59505409582689339</v>
      </c>
      <c r="N668" s="60">
        <v>647</v>
      </c>
      <c r="O668" s="82">
        <f ca="1">IF(AND(N668&lt;=U$22,RAND()&lt;=$H$7),1,0)</f>
        <v>0</v>
      </c>
      <c r="P668" s="82">
        <f t="shared" ca="1" si="58"/>
        <v>0</v>
      </c>
      <c r="Q668" s="84">
        <f t="shared" ca="1" si="59"/>
        <v>1</v>
      </c>
      <c r="R668" s="82">
        <f t="shared" ca="1" si="56"/>
        <v>0</v>
      </c>
      <c r="S668" s="82">
        <f ca="1">SUM(R$22:$R668)</f>
        <v>1713.6000000000008</v>
      </c>
      <c r="W668" s="60">
        <v>647</v>
      </c>
      <c r="X668" s="82">
        <f ca="1"/>
        <v>2781.6000000000058</v>
      </c>
    </row>
    <row r="669" spans="7:24" x14ac:dyDescent="0.2">
      <c r="G669" s="60">
        <v>648</v>
      </c>
      <c r="H669" s="82">
        <f ca="1"/>
        <v>1</v>
      </c>
      <c r="I669" s="82">
        <f t="shared" ca="1" si="57"/>
        <v>386</v>
      </c>
      <c r="J669" s="83">
        <f t="shared" ca="1" si="55"/>
        <v>0.59567901234567899</v>
      </c>
      <c r="N669" s="60">
        <v>648</v>
      </c>
      <c r="O669" s="82">
        <f ca="1">IF(AND(N669&lt;=U$22,RAND()&lt;=$H$7),1,0)</f>
        <v>0</v>
      </c>
      <c r="P669" s="82">
        <f t="shared" ca="1" si="58"/>
        <v>0</v>
      </c>
      <c r="Q669" s="84">
        <f t="shared" ca="1" si="59"/>
        <v>1</v>
      </c>
      <c r="R669" s="82">
        <f t="shared" ca="1" si="56"/>
        <v>0</v>
      </c>
      <c r="S669" s="82">
        <f ca="1">SUM(R$22:$R669)</f>
        <v>1713.6000000000008</v>
      </c>
      <c r="W669" s="60">
        <v>648</v>
      </c>
      <c r="X669" s="82">
        <f ca="1"/>
        <v>2679.2000000000071</v>
      </c>
    </row>
    <row r="670" spans="7:24" x14ac:dyDescent="0.2">
      <c r="G670" s="60">
        <v>649</v>
      </c>
      <c r="H670" s="82">
        <f ca="1"/>
        <v>1</v>
      </c>
      <c r="I670" s="82">
        <f t="shared" ca="1" si="57"/>
        <v>387</v>
      </c>
      <c r="J670" s="83">
        <f t="shared" ca="1" si="55"/>
        <v>0.59630200308166414</v>
      </c>
      <c r="N670" s="60">
        <v>649</v>
      </c>
      <c r="O670" s="82">
        <f ca="1">IF(AND(N670&lt;=U$22,RAND()&lt;=$H$7),1,0)</f>
        <v>1</v>
      </c>
      <c r="P670" s="82">
        <f t="shared" ca="1" si="58"/>
        <v>0</v>
      </c>
      <c r="Q670" s="84">
        <f t="shared" ca="1" si="59"/>
        <v>1</v>
      </c>
      <c r="R670" s="82">
        <f t="shared" ca="1" si="56"/>
        <v>4</v>
      </c>
      <c r="S670" s="82">
        <f ca="1">SUM(R$22:$R670)</f>
        <v>1717.6000000000008</v>
      </c>
      <c r="W670" s="60">
        <v>649</v>
      </c>
      <c r="X670" s="82">
        <f ca="1"/>
        <v>2734.4000000000083</v>
      </c>
    </row>
    <row r="671" spans="7:24" x14ac:dyDescent="0.2">
      <c r="G671" s="60">
        <v>650</v>
      </c>
      <c r="H671" s="82">
        <f ca="1"/>
        <v>1</v>
      </c>
      <c r="I671" s="82">
        <f t="shared" ca="1" si="57"/>
        <v>388</v>
      </c>
      <c r="J671" s="83">
        <f t="shared" ca="1" si="55"/>
        <v>0.59692307692307689</v>
      </c>
      <c r="N671" s="60">
        <v>650</v>
      </c>
      <c r="O671" s="82">
        <f ca="1">IF(AND(N671&lt;=U$22,RAND()&lt;=$H$7),1,0)</f>
        <v>0</v>
      </c>
      <c r="P671" s="82">
        <f t="shared" ca="1" si="58"/>
        <v>0</v>
      </c>
      <c r="Q671" s="84">
        <f t="shared" ca="1" si="59"/>
        <v>1</v>
      </c>
      <c r="R671" s="82">
        <f t="shared" ca="1" si="56"/>
        <v>0</v>
      </c>
      <c r="S671" s="82">
        <f ca="1">SUM(R$22:$R671)</f>
        <v>1717.6000000000008</v>
      </c>
      <c r="W671" s="60">
        <v>650</v>
      </c>
      <c r="X671" s="82">
        <f ca="1"/>
        <v>2742.8000000000084</v>
      </c>
    </row>
    <row r="672" spans="7:24" x14ac:dyDescent="0.2">
      <c r="G672" s="60">
        <v>651</v>
      </c>
      <c r="H672" s="82">
        <f ca="1"/>
        <v>0</v>
      </c>
      <c r="I672" s="82">
        <f t="shared" ca="1" si="57"/>
        <v>388</v>
      </c>
      <c r="J672" s="83">
        <f t="shared" ca="1" si="55"/>
        <v>0.59600614439324118</v>
      </c>
      <c r="N672" s="60">
        <v>651</v>
      </c>
      <c r="O672" s="82">
        <f ca="1">IF(AND(N672&lt;=U$22,RAND()&lt;=$H$7),1,0)</f>
        <v>1</v>
      </c>
      <c r="P672" s="82">
        <f t="shared" ca="1" si="58"/>
        <v>0</v>
      </c>
      <c r="Q672" s="84">
        <f t="shared" ca="1" si="59"/>
        <v>1</v>
      </c>
      <c r="R672" s="82">
        <f t="shared" ca="1" si="56"/>
        <v>4</v>
      </c>
      <c r="S672" s="82">
        <f ca="1">SUM(R$22:$R672)</f>
        <v>1721.6000000000008</v>
      </c>
      <c r="W672" s="60">
        <v>651</v>
      </c>
      <c r="X672" s="82">
        <f ca="1"/>
        <v>2678.4000000000069</v>
      </c>
    </row>
    <row r="673" spans="7:24" x14ac:dyDescent="0.2">
      <c r="G673" s="60">
        <v>652</v>
      </c>
      <c r="H673" s="82">
        <f ca="1"/>
        <v>1</v>
      </c>
      <c r="I673" s="82">
        <f t="shared" ca="1" si="57"/>
        <v>389</v>
      </c>
      <c r="J673" s="83">
        <f t="shared" ca="1" si="55"/>
        <v>0.59662576687116564</v>
      </c>
      <c r="N673" s="60">
        <v>652</v>
      </c>
      <c r="O673" s="82">
        <f ca="1">IF(AND(N673&lt;=U$22,RAND()&lt;=$H$7),1,0)</f>
        <v>0</v>
      </c>
      <c r="P673" s="82">
        <f t="shared" ca="1" si="58"/>
        <v>0</v>
      </c>
      <c r="Q673" s="84">
        <f t="shared" ca="1" si="59"/>
        <v>1</v>
      </c>
      <c r="R673" s="82">
        <f t="shared" ca="1" si="56"/>
        <v>0</v>
      </c>
      <c r="S673" s="82">
        <f ca="1">SUM(R$22:$R673)</f>
        <v>1721.6000000000008</v>
      </c>
      <c r="W673" s="60">
        <v>652</v>
      </c>
      <c r="X673" s="82">
        <f ca="1"/>
        <v>2666.800000000007</v>
      </c>
    </row>
    <row r="674" spans="7:24" x14ac:dyDescent="0.2">
      <c r="G674" s="60">
        <v>653</v>
      </c>
      <c r="H674" s="82">
        <f ca="1"/>
        <v>1</v>
      </c>
      <c r="I674" s="82">
        <f t="shared" ca="1" si="57"/>
        <v>390</v>
      </c>
      <c r="J674" s="83">
        <f t="shared" ca="1" si="55"/>
        <v>0.59724349157733536</v>
      </c>
      <c r="N674" s="60">
        <v>653</v>
      </c>
      <c r="O674" s="82">
        <f ca="1">IF(AND(N674&lt;=U$22,RAND()&lt;=$H$7),1,0)</f>
        <v>1</v>
      </c>
      <c r="P674" s="82">
        <f t="shared" ca="1" si="58"/>
        <v>0</v>
      </c>
      <c r="Q674" s="84">
        <f t="shared" ca="1" si="59"/>
        <v>1</v>
      </c>
      <c r="R674" s="82">
        <f t="shared" ca="1" si="56"/>
        <v>4</v>
      </c>
      <c r="S674" s="82">
        <f ca="1">SUM(R$22:$R674)</f>
        <v>1725.6000000000008</v>
      </c>
      <c r="W674" s="60">
        <v>653</v>
      </c>
      <c r="X674" s="82">
        <f ca="1"/>
        <v>2870.0000000000086</v>
      </c>
    </row>
    <row r="675" spans="7:24" x14ac:dyDescent="0.2">
      <c r="G675" s="60">
        <v>654</v>
      </c>
      <c r="H675" s="82">
        <f ca="1"/>
        <v>0</v>
      </c>
      <c r="I675" s="82">
        <f t="shared" ca="1" si="57"/>
        <v>390</v>
      </c>
      <c r="J675" s="83">
        <f t="shared" ca="1" si="55"/>
        <v>0.59633027522935778</v>
      </c>
      <c r="N675" s="60">
        <v>654</v>
      </c>
      <c r="O675" s="82">
        <f ca="1">IF(AND(N675&lt;=U$22,RAND()&lt;=$H$7),1,0)</f>
        <v>0</v>
      </c>
      <c r="P675" s="82">
        <f t="shared" ca="1" si="58"/>
        <v>0</v>
      </c>
      <c r="Q675" s="84">
        <f t="shared" ca="1" si="59"/>
        <v>1</v>
      </c>
      <c r="R675" s="82">
        <f t="shared" ca="1" si="56"/>
        <v>0</v>
      </c>
      <c r="S675" s="82">
        <f ca="1">SUM(R$22:$R675)</f>
        <v>1725.6000000000008</v>
      </c>
      <c r="W675" s="60">
        <v>654</v>
      </c>
      <c r="X675" s="82">
        <f ca="1"/>
        <v>2766.0000000000059</v>
      </c>
    </row>
    <row r="676" spans="7:24" x14ac:dyDescent="0.2">
      <c r="G676" s="60">
        <v>655</v>
      </c>
      <c r="H676" s="82">
        <f ca="1"/>
        <v>1</v>
      </c>
      <c r="I676" s="82">
        <f t="shared" ca="1" si="57"/>
        <v>391</v>
      </c>
      <c r="J676" s="83">
        <f t="shared" ca="1" si="55"/>
        <v>0.59694656488549613</v>
      </c>
      <c r="N676" s="60">
        <v>655</v>
      </c>
      <c r="O676" s="82">
        <f ca="1">IF(AND(N676&lt;=U$22,RAND()&lt;=$H$7),1,0)</f>
        <v>1</v>
      </c>
      <c r="P676" s="82">
        <f t="shared" ca="1" si="58"/>
        <v>0</v>
      </c>
      <c r="Q676" s="84">
        <f t="shared" ca="1" si="59"/>
        <v>1</v>
      </c>
      <c r="R676" s="82">
        <f t="shared" ca="1" si="56"/>
        <v>4</v>
      </c>
      <c r="S676" s="82">
        <f ca="1">SUM(R$22:$R676)</f>
        <v>1729.6000000000008</v>
      </c>
      <c r="W676" s="60">
        <v>655</v>
      </c>
      <c r="X676" s="82">
        <f ca="1"/>
        <v>2776.400000000006</v>
      </c>
    </row>
    <row r="677" spans="7:24" x14ac:dyDescent="0.2">
      <c r="G677" s="60">
        <v>656</v>
      </c>
      <c r="H677" s="82">
        <f ca="1"/>
        <v>1</v>
      </c>
      <c r="I677" s="82">
        <f t="shared" ca="1" si="57"/>
        <v>392</v>
      </c>
      <c r="J677" s="83">
        <f t="shared" ca="1" si="55"/>
        <v>0.59756097560975607</v>
      </c>
      <c r="N677" s="60">
        <v>656</v>
      </c>
      <c r="O677" s="82">
        <f ca="1">IF(AND(N677&lt;=U$22,RAND()&lt;=$H$7),1,0)</f>
        <v>0</v>
      </c>
      <c r="P677" s="82">
        <f t="shared" ca="1" si="58"/>
        <v>0</v>
      </c>
      <c r="Q677" s="84">
        <f t="shared" ca="1" si="59"/>
        <v>1</v>
      </c>
      <c r="R677" s="82">
        <f t="shared" ca="1" si="56"/>
        <v>0</v>
      </c>
      <c r="S677" s="82">
        <f ca="1">SUM(R$22:$R677)</f>
        <v>1729.6000000000008</v>
      </c>
      <c r="W677" s="60">
        <v>656</v>
      </c>
      <c r="X677" s="82">
        <f ca="1"/>
        <v>2784.8000000000056</v>
      </c>
    </row>
    <row r="678" spans="7:24" x14ac:dyDescent="0.2">
      <c r="G678" s="60">
        <v>657</v>
      </c>
      <c r="H678" s="82">
        <f ca="1"/>
        <v>0</v>
      </c>
      <c r="I678" s="82">
        <f t="shared" ca="1" si="57"/>
        <v>392</v>
      </c>
      <c r="J678" s="83">
        <f t="shared" ca="1" si="55"/>
        <v>0.59665144596651443</v>
      </c>
      <c r="N678" s="60">
        <v>657</v>
      </c>
      <c r="O678" s="82">
        <f ca="1">IF(AND(N678&lt;=U$22,RAND()&lt;=$H$7),1,0)</f>
        <v>1</v>
      </c>
      <c r="P678" s="82">
        <f t="shared" ca="1" si="58"/>
        <v>0</v>
      </c>
      <c r="Q678" s="84">
        <f t="shared" ca="1" si="59"/>
        <v>1</v>
      </c>
      <c r="R678" s="82">
        <f t="shared" ca="1" si="56"/>
        <v>4</v>
      </c>
      <c r="S678" s="82">
        <f ca="1">SUM(R$22:$R678)</f>
        <v>1733.6000000000008</v>
      </c>
      <c r="W678" s="60">
        <v>657</v>
      </c>
      <c r="X678" s="82">
        <f ca="1"/>
        <v>2620.8000000000043</v>
      </c>
    </row>
    <row r="679" spans="7:24" x14ac:dyDescent="0.2">
      <c r="G679" s="60">
        <v>658</v>
      </c>
      <c r="H679" s="82">
        <f ca="1"/>
        <v>1</v>
      </c>
      <c r="I679" s="82">
        <f t="shared" ca="1" si="57"/>
        <v>393</v>
      </c>
      <c r="J679" s="83">
        <f t="shared" ca="1" si="55"/>
        <v>0.59726443768996962</v>
      </c>
      <c r="N679" s="60">
        <v>658</v>
      </c>
      <c r="O679" s="82">
        <f ca="1">IF(AND(N679&lt;=U$22,RAND()&lt;=$H$7),1,0)</f>
        <v>1</v>
      </c>
      <c r="P679" s="82">
        <f t="shared" ca="1" si="58"/>
        <v>1</v>
      </c>
      <c r="Q679" s="84">
        <f t="shared" ca="1" si="59"/>
        <v>1</v>
      </c>
      <c r="R679" s="82">
        <f t="shared" ca="1" si="56"/>
        <v>4</v>
      </c>
      <c r="S679" s="82">
        <f ca="1">SUM(R$22:$R679)</f>
        <v>1737.6000000000008</v>
      </c>
      <c r="W679" s="60">
        <v>658</v>
      </c>
      <c r="X679" s="82">
        <f ca="1"/>
        <v>2704.0000000000073</v>
      </c>
    </row>
    <row r="680" spans="7:24" x14ac:dyDescent="0.2">
      <c r="G680" s="60">
        <v>659</v>
      </c>
      <c r="H680" s="82">
        <f ca="1"/>
        <v>0</v>
      </c>
      <c r="I680" s="82">
        <f t="shared" ca="1" si="57"/>
        <v>393</v>
      </c>
      <c r="J680" s="83">
        <f t="shared" ca="1" si="55"/>
        <v>0.59635811836115327</v>
      </c>
      <c r="N680" s="60">
        <v>659</v>
      </c>
      <c r="O680" s="82">
        <f ca="1">IF(AND(N680&lt;=U$22,RAND()&lt;=$H$7),1,0)</f>
        <v>0</v>
      </c>
      <c r="P680" s="82">
        <f t="shared" ca="1" si="58"/>
        <v>0</v>
      </c>
      <c r="Q680" s="84">
        <f t="shared" ca="1" si="59"/>
        <v>1</v>
      </c>
      <c r="R680" s="82">
        <f t="shared" ca="1" si="56"/>
        <v>0</v>
      </c>
      <c r="S680" s="82">
        <f ca="1">SUM(R$22:$R680)</f>
        <v>1737.6000000000008</v>
      </c>
      <c r="W680" s="60">
        <v>659</v>
      </c>
      <c r="X680" s="82">
        <f ca="1"/>
        <v>2718.8000000000079</v>
      </c>
    </row>
    <row r="681" spans="7:24" x14ac:dyDescent="0.2">
      <c r="G681" s="60">
        <v>660</v>
      </c>
      <c r="H681" s="82">
        <f ca="1"/>
        <v>0</v>
      </c>
      <c r="I681" s="82">
        <f t="shared" ca="1" si="57"/>
        <v>393</v>
      </c>
      <c r="J681" s="83">
        <f t="shared" ca="1" si="55"/>
        <v>0.59545454545454546</v>
      </c>
      <c r="N681" s="60">
        <v>660</v>
      </c>
      <c r="O681" s="82">
        <f ca="1">IF(AND(N681&lt;=U$22,RAND()&lt;=$H$7),1,0)</f>
        <v>1</v>
      </c>
      <c r="P681" s="82">
        <f t="shared" ca="1" si="58"/>
        <v>0</v>
      </c>
      <c r="Q681" s="84">
        <f t="shared" ca="1" si="59"/>
        <v>1</v>
      </c>
      <c r="R681" s="82">
        <f t="shared" ca="1" si="56"/>
        <v>4</v>
      </c>
      <c r="S681" s="82">
        <f ca="1">SUM(R$22:$R681)</f>
        <v>1741.6000000000008</v>
      </c>
      <c r="W681" s="60">
        <v>660</v>
      </c>
      <c r="X681" s="82">
        <f ca="1"/>
        <v>2782.4000000000046</v>
      </c>
    </row>
    <row r="682" spans="7:24" x14ac:dyDescent="0.2">
      <c r="G682" s="60">
        <v>661</v>
      </c>
      <c r="H682" s="82">
        <f ca="1"/>
        <v>1</v>
      </c>
      <c r="I682" s="82">
        <f t="shared" ca="1" si="57"/>
        <v>394</v>
      </c>
      <c r="J682" s="83">
        <f t="shared" ca="1" si="55"/>
        <v>0.59606656580937978</v>
      </c>
      <c r="N682" s="60">
        <v>661</v>
      </c>
      <c r="O682" s="82">
        <f ca="1">IF(AND(N682&lt;=U$22,RAND()&lt;=$H$7),1,0)</f>
        <v>1</v>
      </c>
      <c r="P682" s="82">
        <f t="shared" ca="1" si="58"/>
        <v>1</v>
      </c>
      <c r="Q682" s="84">
        <f t="shared" ca="1" si="59"/>
        <v>1</v>
      </c>
      <c r="R682" s="82">
        <f t="shared" ca="1" si="56"/>
        <v>4</v>
      </c>
      <c r="S682" s="82">
        <f ca="1">SUM(R$22:$R682)</f>
        <v>1745.6000000000008</v>
      </c>
      <c r="W682" s="60">
        <v>661</v>
      </c>
      <c r="X682" s="82">
        <f ca="1"/>
        <v>2717.2000000000071</v>
      </c>
    </row>
    <row r="683" spans="7:24" x14ac:dyDescent="0.2">
      <c r="G683" s="60">
        <v>662</v>
      </c>
      <c r="H683" s="82">
        <f ca="1"/>
        <v>1</v>
      </c>
      <c r="I683" s="82">
        <f t="shared" ca="1" si="57"/>
        <v>395</v>
      </c>
      <c r="J683" s="83">
        <f t="shared" ca="1" si="55"/>
        <v>0.59667673716012082</v>
      </c>
      <c r="N683" s="60">
        <v>662</v>
      </c>
      <c r="O683" s="82">
        <f ca="1">IF(AND(N683&lt;=U$22,RAND()&lt;=$H$7),1,0)</f>
        <v>1</v>
      </c>
      <c r="P683" s="82">
        <f t="shared" ca="1" si="58"/>
        <v>2</v>
      </c>
      <c r="Q683" s="84">
        <f t="shared" ca="1" si="59"/>
        <v>1.1000000000000001</v>
      </c>
      <c r="R683" s="82">
        <f t="shared" ca="1" si="56"/>
        <v>4.4000000000000004</v>
      </c>
      <c r="S683" s="82">
        <f ca="1">SUM(R$22:$R683)</f>
        <v>1750.0000000000009</v>
      </c>
      <c r="W683" s="60">
        <v>662</v>
      </c>
      <c r="X683" s="82">
        <f ca="1"/>
        <v>2894.0000000000073</v>
      </c>
    </row>
    <row r="684" spans="7:24" x14ac:dyDescent="0.2">
      <c r="G684" s="60">
        <v>663</v>
      </c>
      <c r="H684" s="82">
        <f ca="1"/>
        <v>0</v>
      </c>
      <c r="I684" s="82">
        <f t="shared" ca="1" si="57"/>
        <v>395</v>
      </c>
      <c r="J684" s="83">
        <f t="shared" ca="1" si="55"/>
        <v>0.59577677224736048</v>
      </c>
      <c r="N684" s="60">
        <v>663</v>
      </c>
      <c r="O684" s="82">
        <f ca="1">IF(AND(N684&lt;=U$22,RAND()&lt;=$H$7),1,0)</f>
        <v>1</v>
      </c>
      <c r="P684" s="82">
        <f t="shared" ca="1" si="58"/>
        <v>3</v>
      </c>
      <c r="Q684" s="84">
        <f t="shared" ca="1" si="59"/>
        <v>1.2</v>
      </c>
      <c r="R684" s="82">
        <f t="shared" ca="1" si="56"/>
        <v>4.8</v>
      </c>
      <c r="S684" s="82">
        <f ca="1">SUM(R$22:$R684)</f>
        <v>1754.8000000000009</v>
      </c>
      <c r="W684" s="60">
        <v>663</v>
      </c>
      <c r="X684" s="82">
        <f ca="1"/>
        <v>2693.6000000000058</v>
      </c>
    </row>
    <row r="685" spans="7:24" x14ac:dyDescent="0.2">
      <c r="G685" s="60">
        <v>664</v>
      </c>
      <c r="H685" s="82">
        <f ca="1"/>
        <v>1</v>
      </c>
      <c r="I685" s="82">
        <f t="shared" ca="1" si="57"/>
        <v>396</v>
      </c>
      <c r="J685" s="83">
        <f t="shared" ca="1" si="55"/>
        <v>0.59638554216867468</v>
      </c>
      <c r="N685" s="60">
        <v>664</v>
      </c>
      <c r="O685" s="82">
        <f ca="1">IF(AND(N685&lt;=U$22,RAND()&lt;=$H$7),1,0)</f>
        <v>1</v>
      </c>
      <c r="P685" s="82">
        <f t="shared" ca="1" si="58"/>
        <v>4</v>
      </c>
      <c r="Q685" s="84">
        <f t="shared" ca="1" si="59"/>
        <v>1.3</v>
      </c>
      <c r="R685" s="82">
        <f t="shared" ca="1" si="56"/>
        <v>5.2</v>
      </c>
      <c r="S685" s="82">
        <f ca="1">SUM(R$22:$R685)</f>
        <v>1760.0000000000009</v>
      </c>
      <c r="W685" s="60">
        <v>664</v>
      </c>
      <c r="X685" s="82">
        <f ca="1"/>
        <v>2849.6000000000076</v>
      </c>
    </row>
    <row r="686" spans="7:24" x14ac:dyDescent="0.2">
      <c r="G686" s="60">
        <v>665</v>
      </c>
      <c r="H686" s="82">
        <f ca="1"/>
        <v>0</v>
      </c>
      <c r="I686" s="82">
        <f t="shared" ca="1" si="57"/>
        <v>396</v>
      </c>
      <c r="J686" s="83">
        <f t="shared" ca="1" si="55"/>
        <v>0.59548872180451129</v>
      </c>
      <c r="N686" s="60">
        <v>665</v>
      </c>
      <c r="O686" s="82">
        <f ca="1">IF(AND(N686&lt;=U$22,RAND()&lt;=$H$7),1,0)</f>
        <v>0</v>
      </c>
      <c r="P686" s="82">
        <f t="shared" ca="1" si="58"/>
        <v>0</v>
      </c>
      <c r="Q686" s="84">
        <f t="shared" ca="1" si="59"/>
        <v>1</v>
      </c>
      <c r="R686" s="82">
        <f t="shared" ca="1" si="56"/>
        <v>0</v>
      </c>
      <c r="S686" s="82">
        <f ca="1">SUM(R$22:$R686)</f>
        <v>1760.0000000000009</v>
      </c>
      <c r="W686" s="60">
        <v>665</v>
      </c>
      <c r="X686" s="82">
        <f ca="1"/>
        <v>2772.8000000000084</v>
      </c>
    </row>
    <row r="687" spans="7:24" x14ac:dyDescent="0.2">
      <c r="G687" s="60">
        <v>666</v>
      </c>
      <c r="H687" s="82">
        <f ca="1"/>
        <v>0</v>
      </c>
      <c r="I687" s="82">
        <f t="shared" ca="1" si="57"/>
        <v>396</v>
      </c>
      <c r="J687" s="83">
        <f t="shared" ca="1" si="55"/>
        <v>0.59459459459459463</v>
      </c>
      <c r="N687" s="60">
        <v>666</v>
      </c>
      <c r="O687" s="82">
        <f ca="1">IF(AND(N687&lt;=U$22,RAND()&lt;=$H$7),1,0)</f>
        <v>0</v>
      </c>
      <c r="P687" s="82">
        <f t="shared" ca="1" si="58"/>
        <v>0</v>
      </c>
      <c r="Q687" s="84">
        <f t="shared" ca="1" si="59"/>
        <v>1</v>
      </c>
      <c r="R687" s="82">
        <f t="shared" ca="1" si="56"/>
        <v>0</v>
      </c>
      <c r="S687" s="82">
        <f ca="1">SUM(R$22:$R687)</f>
        <v>1760.0000000000009</v>
      </c>
      <c r="W687" s="60">
        <v>666</v>
      </c>
      <c r="X687" s="82">
        <f ca="1"/>
        <v>2616.4000000000055</v>
      </c>
    </row>
    <row r="688" spans="7:24" x14ac:dyDescent="0.2">
      <c r="G688" s="60">
        <v>667</v>
      </c>
      <c r="H688" s="82">
        <f ca="1"/>
        <v>1</v>
      </c>
      <c r="I688" s="82">
        <f t="shared" ca="1" si="57"/>
        <v>397</v>
      </c>
      <c r="J688" s="83">
        <f t="shared" ca="1" si="55"/>
        <v>0.59520239880059966</v>
      </c>
      <c r="N688" s="60">
        <v>667</v>
      </c>
      <c r="O688" s="82">
        <f ca="1">IF(AND(N688&lt;=U$22,RAND()&lt;=$H$7),1,0)</f>
        <v>0</v>
      </c>
      <c r="P688" s="82">
        <f t="shared" ca="1" si="58"/>
        <v>0</v>
      </c>
      <c r="Q688" s="84">
        <f t="shared" ca="1" si="59"/>
        <v>1</v>
      </c>
      <c r="R688" s="82">
        <f t="shared" ca="1" si="56"/>
        <v>0</v>
      </c>
      <c r="S688" s="82">
        <f ca="1">SUM(R$22:$R688)</f>
        <v>1760.0000000000009</v>
      </c>
      <c r="W688" s="60">
        <v>667</v>
      </c>
      <c r="X688" s="82">
        <f ca="1"/>
        <v>2702.0000000000068</v>
      </c>
    </row>
    <row r="689" spans="7:24" x14ac:dyDescent="0.2">
      <c r="G689" s="60">
        <v>668</v>
      </c>
      <c r="H689" s="82">
        <f ca="1"/>
        <v>1</v>
      </c>
      <c r="I689" s="82">
        <f t="shared" ca="1" si="57"/>
        <v>398</v>
      </c>
      <c r="J689" s="83">
        <f t="shared" ca="1" si="55"/>
        <v>0.59580838323353291</v>
      </c>
      <c r="N689" s="60">
        <v>668</v>
      </c>
      <c r="O689" s="82">
        <f ca="1">IF(AND(N689&lt;=U$22,RAND()&lt;=$H$7),1,0)</f>
        <v>0</v>
      </c>
      <c r="P689" s="82">
        <f t="shared" ca="1" si="58"/>
        <v>0</v>
      </c>
      <c r="Q689" s="84">
        <f t="shared" ca="1" si="59"/>
        <v>1</v>
      </c>
      <c r="R689" s="82">
        <f t="shared" ca="1" si="56"/>
        <v>0</v>
      </c>
      <c r="S689" s="82">
        <f ca="1">SUM(R$22:$R689)</f>
        <v>1760.0000000000009</v>
      </c>
      <c r="W689" s="60">
        <v>668</v>
      </c>
      <c r="X689" s="82">
        <f ca="1"/>
        <v>2677.2000000000057</v>
      </c>
    </row>
    <row r="690" spans="7:24" x14ac:dyDescent="0.2">
      <c r="G690" s="60">
        <v>669</v>
      </c>
      <c r="H690" s="82">
        <f ca="1"/>
        <v>0</v>
      </c>
      <c r="I690" s="82">
        <f t="shared" ca="1" si="57"/>
        <v>398</v>
      </c>
      <c r="J690" s="83">
        <f t="shared" ca="1" si="55"/>
        <v>0.59491778774289983</v>
      </c>
      <c r="N690" s="60">
        <v>669</v>
      </c>
      <c r="O690" s="82">
        <f ca="1">IF(AND(N690&lt;=U$22,RAND()&lt;=$H$7),1,0)</f>
        <v>0</v>
      </c>
      <c r="P690" s="82">
        <f t="shared" ca="1" si="58"/>
        <v>0</v>
      </c>
      <c r="Q690" s="84">
        <f t="shared" ca="1" si="59"/>
        <v>1</v>
      </c>
      <c r="R690" s="82">
        <f t="shared" ca="1" si="56"/>
        <v>0</v>
      </c>
      <c r="S690" s="82">
        <f ca="1">SUM(R$22:$R690)</f>
        <v>1760.0000000000009</v>
      </c>
      <c r="W690" s="60">
        <v>669</v>
      </c>
      <c r="X690" s="82">
        <f ca="1"/>
        <v>2665.2000000000071</v>
      </c>
    </row>
    <row r="691" spans="7:24" x14ac:dyDescent="0.2">
      <c r="G691" s="60">
        <v>670</v>
      </c>
      <c r="H691" s="82">
        <f ca="1"/>
        <v>1</v>
      </c>
      <c r="I691" s="82">
        <f t="shared" ca="1" si="57"/>
        <v>399</v>
      </c>
      <c r="J691" s="83">
        <f t="shared" ca="1" si="55"/>
        <v>0.59552238805970148</v>
      </c>
      <c r="N691" s="60">
        <v>670</v>
      </c>
      <c r="O691" s="82">
        <f ca="1">IF(AND(N691&lt;=U$22,RAND()&lt;=$H$7),1,0)</f>
        <v>1</v>
      </c>
      <c r="P691" s="82">
        <f t="shared" ca="1" si="58"/>
        <v>0</v>
      </c>
      <c r="Q691" s="84">
        <f t="shared" ca="1" si="59"/>
        <v>1</v>
      </c>
      <c r="R691" s="82">
        <f t="shared" ca="1" si="56"/>
        <v>4</v>
      </c>
      <c r="S691" s="82">
        <f ca="1">SUM(R$22:$R691)</f>
        <v>1764.0000000000009</v>
      </c>
      <c r="W691" s="60">
        <v>670</v>
      </c>
      <c r="X691" s="82">
        <f ca="1"/>
        <v>2718.8000000000075</v>
      </c>
    </row>
    <row r="692" spans="7:24" x14ac:dyDescent="0.2">
      <c r="G692" s="60">
        <v>671</v>
      </c>
      <c r="H692" s="82">
        <f ca="1"/>
        <v>1</v>
      </c>
      <c r="I692" s="82">
        <f t="shared" ca="1" si="57"/>
        <v>400</v>
      </c>
      <c r="J692" s="83">
        <f t="shared" ca="1" si="55"/>
        <v>0.5961251862891207</v>
      </c>
      <c r="N692" s="60">
        <v>671</v>
      </c>
      <c r="O692" s="82">
        <f ca="1">IF(AND(N692&lt;=U$22,RAND()&lt;=$H$7),1,0)</f>
        <v>1</v>
      </c>
      <c r="P692" s="82">
        <f t="shared" ca="1" si="58"/>
        <v>1</v>
      </c>
      <c r="Q692" s="84">
        <f t="shared" ca="1" si="59"/>
        <v>1</v>
      </c>
      <c r="R692" s="82">
        <f t="shared" ca="1" si="56"/>
        <v>4</v>
      </c>
      <c r="S692" s="82">
        <f ca="1">SUM(R$22:$R692)</f>
        <v>1768.0000000000009</v>
      </c>
      <c r="W692" s="60">
        <v>671</v>
      </c>
      <c r="X692" s="82">
        <f ca="1"/>
        <v>2832.0000000000059</v>
      </c>
    </row>
    <row r="693" spans="7:24" x14ac:dyDescent="0.2">
      <c r="G693" s="60">
        <v>672</v>
      </c>
      <c r="H693" s="82">
        <f ca="1"/>
        <v>1</v>
      </c>
      <c r="I693" s="82">
        <f t="shared" ca="1" si="57"/>
        <v>401</v>
      </c>
      <c r="J693" s="83">
        <f t="shared" ca="1" si="55"/>
        <v>0.59672619047619047</v>
      </c>
      <c r="N693" s="60">
        <v>672</v>
      </c>
      <c r="O693" s="82">
        <f ca="1">IF(AND(N693&lt;=U$22,RAND()&lt;=$H$7),1,0)</f>
        <v>1</v>
      </c>
      <c r="P693" s="82">
        <f t="shared" ca="1" si="58"/>
        <v>2</v>
      </c>
      <c r="Q693" s="84">
        <f t="shared" ca="1" si="59"/>
        <v>1.1000000000000001</v>
      </c>
      <c r="R693" s="82">
        <f t="shared" ca="1" si="56"/>
        <v>4.4000000000000004</v>
      </c>
      <c r="S693" s="82">
        <f ca="1">SUM(R$22:$R693)</f>
        <v>1772.400000000001</v>
      </c>
      <c r="W693" s="60">
        <v>672</v>
      </c>
      <c r="X693" s="82">
        <f ca="1"/>
        <v>2902.400000000006</v>
      </c>
    </row>
    <row r="694" spans="7:24" x14ac:dyDescent="0.2">
      <c r="G694" s="60">
        <v>673</v>
      </c>
      <c r="H694" s="82">
        <f ca="1"/>
        <v>0</v>
      </c>
      <c r="I694" s="82">
        <f t="shared" ca="1" si="57"/>
        <v>401</v>
      </c>
      <c r="J694" s="83">
        <f t="shared" ca="1" si="55"/>
        <v>0.59583952451708766</v>
      </c>
      <c r="N694" s="60">
        <v>673</v>
      </c>
      <c r="O694" s="82">
        <f ca="1">IF(AND(N694&lt;=U$22,RAND()&lt;=$H$7),1,0)</f>
        <v>0</v>
      </c>
      <c r="P694" s="82">
        <f t="shared" ca="1" si="58"/>
        <v>0</v>
      </c>
      <c r="Q694" s="84">
        <f t="shared" ca="1" si="59"/>
        <v>1</v>
      </c>
      <c r="R694" s="82">
        <f t="shared" ca="1" si="56"/>
        <v>0</v>
      </c>
      <c r="S694" s="82">
        <f ca="1">SUM(R$22:$R694)</f>
        <v>1772.400000000001</v>
      </c>
      <c r="W694" s="60">
        <v>673</v>
      </c>
      <c r="X694" s="82">
        <f ca="1"/>
        <v>2858.800000000007</v>
      </c>
    </row>
    <row r="695" spans="7:24" x14ac:dyDescent="0.2">
      <c r="G695" s="60">
        <v>674</v>
      </c>
      <c r="H695" s="82">
        <f ca="1"/>
        <v>1</v>
      </c>
      <c r="I695" s="82">
        <f t="shared" ca="1" si="57"/>
        <v>402</v>
      </c>
      <c r="J695" s="83">
        <f t="shared" ca="1" si="55"/>
        <v>0.59643916913946593</v>
      </c>
      <c r="N695" s="60">
        <v>674</v>
      </c>
      <c r="O695" s="82">
        <f ca="1">IF(AND(N695&lt;=U$22,RAND()&lt;=$H$7),1,0)</f>
        <v>1</v>
      </c>
      <c r="P695" s="82">
        <f t="shared" ca="1" si="58"/>
        <v>0</v>
      </c>
      <c r="Q695" s="84">
        <f t="shared" ca="1" si="59"/>
        <v>1</v>
      </c>
      <c r="R695" s="82">
        <f t="shared" ca="1" si="56"/>
        <v>4</v>
      </c>
      <c r="S695" s="82">
        <f ca="1">SUM(R$22:$R695)</f>
        <v>1776.400000000001</v>
      </c>
      <c r="W695" s="60">
        <v>674</v>
      </c>
      <c r="X695" s="82">
        <f ca="1"/>
        <v>2604.4000000000055</v>
      </c>
    </row>
    <row r="696" spans="7:24" x14ac:dyDescent="0.2">
      <c r="G696" s="60">
        <v>675</v>
      </c>
      <c r="H696" s="82">
        <f ca="1"/>
        <v>1</v>
      </c>
      <c r="I696" s="82">
        <f t="shared" ca="1" si="57"/>
        <v>403</v>
      </c>
      <c r="J696" s="83">
        <f t="shared" ca="1" si="55"/>
        <v>0.59703703703703703</v>
      </c>
      <c r="N696" s="60">
        <v>675</v>
      </c>
      <c r="O696" s="82">
        <f ca="1">IF(AND(N696&lt;=U$22,RAND()&lt;=$H$7),1,0)</f>
        <v>0</v>
      </c>
      <c r="P696" s="82">
        <f t="shared" ca="1" si="58"/>
        <v>0</v>
      </c>
      <c r="Q696" s="84">
        <f t="shared" ca="1" si="59"/>
        <v>1</v>
      </c>
      <c r="R696" s="82">
        <f t="shared" ca="1" si="56"/>
        <v>0</v>
      </c>
      <c r="S696" s="82">
        <f ca="1">SUM(R$22:$R696)</f>
        <v>1776.400000000001</v>
      </c>
      <c r="W696" s="60">
        <v>675</v>
      </c>
      <c r="X696" s="82">
        <f ca="1"/>
        <v>3018.0000000000091</v>
      </c>
    </row>
    <row r="697" spans="7:24" x14ac:dyDescent="0.2">
      <c r="G697" s="60">
        <v>676</v>
      </c>
      <c r="H697" s="82">
        <f ca="1"/>
        <v>0</v>
      </c>
      <c r="I697" s="82">
        <f t="shared" ca="1" si="57"/>
        <v>403</v>
      </c>
      <c r="J697" s="83">
        <f t="shared" ca="1" si="55"/>
        <v>0.59615384615384615</v>
      </c>
      <c r="N697" s="60">
        <v>676</v>
      </c>
      <c r="O697" s="82">
        <f ca="1">IF(AND(N697&lt;=U$22,RAND()&lt;=$H$7),1,0)</f>
        <v>1</v>
      </c>
      <c r="P697" s="82">
        <f t="shared" ca="1" si="58"/>
        <v>0</v>
      </c>
      <c r="Q697" s="84">
        <f t="shared" ca="1" si="59"/>
        <v>1</v>
      </c>
      <c r="R697" s="82">
        <f t="shared" ca="1" si="56"/>
        <v>4</v>
      </c>
      <c r="S697" s="82">
        <f ca="1">SUM(R$22:$R697)</f>
        <v>1780.400000000001</v>
      </c>
      <c r="W697" s="60">
        <v>676</v>
      </c>
      <c r="X697" s="82">
        <f ca="1"/>
        <v>2616.0000000000068</v>
      </c>
    </row>
    <row r="698" spans="7:24" x14ac:dyDescent="0.2">
      <c r="G698" s="60">
        <v>677</v>
      </c>
      <c r="H698" s="82">
        <f ca="1"/>
        <v>1</v>
      </c>
      <c r="I698" s="82">
        <f t="shared" ca="1" si="57"/>
        <v>404</v>
      </c>
      <c r="J698" s="83">
        <f t="shared" ca="1" si="55"/>
        <v>0.59675036927621861</v>
      </c>
      <c r="N698" s="60">
        <v>677</v>
      </c>
      <c r="O698" s="82">
        <f ca="1">IF(AND(N698&lt;=U$22,RAND()&lt;=$H$7),1,0)</f>
        <v>0</v>
      </c>
      <c r="P698" s="82">
        <f t="shared" ca="1" si="58"/>
        <v>0</v>
      </c>
      <c r="Q698" s="84">
        <f t="shared" ca="1" si="59"/>
        <v>1</v>
      </c>
      <c r="R698" s="82">
        <f t="shared" ca="1" si="56"/>
        <v>0</v>
      </c>
      <c r="S698" s="82">
        <f ca="1">SUM(R$22:$R698)</f>
        <v>1780.400000000001</v>
      </c>
      <c r="W698" s="60">
        <v>677</v>
      </c>
      <c r="X698" s="82">
        <f ca="1"/>
        <v>2934.8000000000065</v>
      </c>
    </row>
    <row r="699" spans="7:24" x14ac:dyDescent="0.2">
      <c r="G699" s="60">
        <v>678</v>
      </c>
      <c r="H699" s="82">
        <f ca="1"/>
        <v>1</v>
      </c>
      <c r="I699" s="82">
        <f t="shared" ca="1" si="57"/>
        <v>405</v>
      </c>
      <c r="J699" s="83">
        <f t="shared" ca="1" si="55"/>
        <v>0.59734513274336287</v>
      </c>
      <c r="N699" s="60">
        <v>678</v>
      </c>
      <c r="O699" s="82">
        <f ca="1">IF(AND(N699&lt;=U$22,RAND()&lt;=$H$7),1,0)</f>
        <v>1</v>
      </c>
      <c r="P699" s="82">
        <f t="shared" ca="1" si="58"/>
        <v>0</v>
      </c>
      <c r="Q699" s="84">
        <f t="shared" ca="1" si="59"/>
        <v>1</v>
      </c>
      <c r="R699" s="82">
        <f t="shared" ca="1" si="56"/>
        <v>4</v>
      </c>
      <c r="S699" s="82">
        <f ca="1">SUM(R$22:$R699)</f>
        <v>1784.400000000001</v>
      </c>
      <c r="W699" s="60">
        <v>678</v>
      </c>
      <c r="X699" s="82">
        <f ca="1"/>
        <v>2729.6000000000076</v>
      </c>
    </row>
    <row r="700" spans="7:24" x14ac:dyDescent="0.2">
      <c r="G700" s="60">
        <v>679</v>
      </c>
      <c r="H700" s="82">
        <f ca="1"/>
        <v>1</v>
      </c>
      <c r="I700" s="82">
        <f t="shared" ca="1" si="57"/>
        <v>406</v>
      </c>
      <c r="J700" s="83">
        <f t="shared" ca="1" si="55"/>
        <v>0.59793814432989689</v>
      </c>
      <c r="N700" s="60">
        <v>679</v>
      </c>
      <c r="O700" s="82">
        <f ca="1">IF(AND(N700&lt;=U$22,RAND()&lt;=$H$7),1,0)</f>
        <v>1</v>
      </c>
      <c r="P700" s="82">
        <f t="shared" ca="1" si="58"/>
        <v>1</v>
      </c>
      <c r="Q700" s="84">
        <f t="shared" ca="1" si="59"/>
        <v>1</v>
      </c>
      <c r="R700" s="82">
        <f t="shared" ca="1" si="56"/>
        <v>4</v>
      </c>
      <c r="S700" s="82">
        <f ca="1">SUM(R$22:$R700)</f>
        <v>1788.400000000001</v>
      </c>
      <c r="W700" s="60">
        <v>679</v>
      </c>
      <c r="X700" s="82">
        <f ca="1"/>
        <v>2716.4000000000055</v>
      </c>
    </row>
    <row r="701" spans="7:24" x14ac:dyDescent="0.2">
      <c r="G701" s="60">
        <v>680</v>
      </c>
      <c r="H701" s="82">
        <f ca="1"/>
        <v>1</v>
      </c>
      <c r="I701" s="82">
        <f t="shared" ca="1" si="57"/>
        <v>407</v>
      </c>
      <c r="J701" s="83">
        <f t="shared" ca="1" si="55"/>
        <v>0.59852941176470587</v>
      </c>
      <c r="N701" s="60">
        <v>680</v>
      </c>
      <c r="O701" s="82">
        <f ca="1">IF(AND(N701&lt;=U$22,RAND()&lt;=$H$7),1,0)</f>
        <v>1</v>
      </c>
      <c r="P701" s="82">
        <f t="shared" ca="1" si="58"/>
        <v>2</v>
      </c>
      <c r="Q701" s="84">
        <f t="shared" ca="1" si="59"/>
        <v>1.1000000000000001</v>
      </c>
      <c r="R701" s="82">
        <f t="shared" ca="1" si="56"/>
        <v>4.4000000000000004</v>
      </c>
      <c r="S701" s="82">
        <f ca="1">SUM(R$22:$R701)</f>
        <v>1792.8000000000011</v>
      </c>
      <c r="W701" s="60">
        <v>680</v>
      </c>
      <c r="X701" s="82">
        <f ca="1"/>
        <v>2666.8000000000084</v>
      </c>
    </row>
    <row r="702" spans="7:24" x14ac:dyDescent="0.2">
      <c r="G702" s="60">
        <v>681</v>
      </c>
      <c r="H702" s="82">
        <f ca="1"/>
        <v>1</v>
      </c>
      <c r="I702" s="82">
        <f t="shared" ca="1" si="57"/>
        <v>408</v>
      </c>
      <c r="J702" s="83">
        <f t="shared" ca="1" si="55"/>
        <v>0.59911894273127753</v>
      </c>
      <c r="N702" s="60">
        <v>681</v>
      </c>
      <c r="O702" s="82">
        <f ca="1">IF(AND(N702&lt;=U$22,RAND()&lt;=$H$7),1,0)</f>
        <v>1</v>
      </c>
      <c r="P702" s="82">
        <f t="shared" ca="1" si="58"/>
        <v>3</v>
      </c>
      <c r="Q702" s="84">
        <f t="shared" ca="1" si="59"/>
        <v>1.2</v>
      </c>
      <c r="R702" s="82">
        <f t="shared" ca="1" si="56"/>
        <v>4.8</v>
      </c>
      <c r="S702" s="82">
        <f ca="1">SUM(R$22:$R702)</f>
        <v>1797.600000000001</v>
      </c>
      <c r="W702" s="60">
        <v>681</v>
      </c>
      <c r="X702" s="82">
        <f ca="1"/>
        <v>2604.4000000000069</v>
      </c>
    </row>
    <row r="703" spans="7:24" x14ac:dyDescent="0.2">
      <c r="G703" s="60">
        <v>682</v>
      </c>
      <c r="H703" s="82">
        <f ca="1"/>
        <v>1</v>
      </c>
      <c r="I703" s="82">
        <f t="shared" ca="1" si="57"/>
        <v>409</v>
      </c>
      <c r="J703" s="83">
        <f t="shared" ca="1" si="55"/>
        <v>0.59970674486803521</v>
      </c>
      <c r="N703" s="60">
        <v>682</v>
      </c>
      <c r="O703" s="82">
        <f ca="1">IF(AND(N703&lt;=U$22,RAND()&lt;=$H$7),1,0)</f>
        <v>1</v>
      </c>
      <c r="P703" s="82">
        <f t="shared" ca="1" si="58"/>
        <v>4</v>
      </c>
      <c r="Q703" s="84">
        <f t="shared" ca="1" si="59"/>
        <v>1.3</v>
      </c>
      <c r="R703" s="82">
        <f t="shared" ca="1" si="56"/>
        <v>5.2</v>
      </c>
      <c r="S703" s="82">
        <f ca="1">SUM(R$22:$R703)</f>
        <v>1802.8000000000011</v>
      </c>
      <c r="W703" s="60">
        <v>682</v>
      </c>
      <c r="X703" s="82">
        <f ca="1"/>
        <v>2954.400000000006</v>
      </c>
    </row>
    <row r="704" spans="7:24" x14ac:dyDescent="0.2">
      <c r="G704" s="60">
        <v>683</v>
      </c>
      <c r="H704" s="82">
        <f ca="1"/>
        <v>1</v>
      </c>
      <c r="I704" s="82">
        <f t="shared" ca="1" si="57"/>
        <v>410</v>
      </c>
      <c r="J704" s="83">
        <f t="shared" ca="1" si="55"/>
        <v>0.6002928257686676</v>
      </c>
      <c r="N704" s="60">
        <v>683</v>
      </c>
      <c r="O704" s="82">
        <f ca="1">IF(AND(N704&lt;=U$22,RAND()&lt;=$H$7),1,0)</f>
        <v>1</v>
      </c>
      <c r="P704" s="82">
        <f t="shared" ca="1" si="58"/>
        <v>5</v>
      </c>
      <c r="Q704" s="84">
        <f t="shared" ca="1" si="59"/>
        <v>1.4</v>
      </c>
      <c r="R704" s="82">
        <f t="shared" ca="1" si="56"/>
        <v>5.6</v>
      </c>
      <c r="S704" s="82">
        <f ca="1">SUM(R$22:$R704)</f>
        <v>1808.400000000001</v>
      </c>
      <c r="W704" s="60">
        <v>683</v>
      </c>
      <c r="X704" s="82">
        <f ca="1"/>
        <v>2751.2000000000075</v>
      </c>
    </row>
    <row r="705" spans="7:24" x14ac:dyDescent="0.2">
      <c r="G705" s="60">
        <v>684</v>
      </c>
      <c r="H705" s="82">
        <f ca="1"/>
        <v>1</v>
      </c>
      <c r="I705" s="82">
        <f t="shared" ca="1" si="57"/>
        <v>411</v>
      </c>
      <c r="J705" s="83">
        <f t="shared" ca="1" si="55"/>
        <v>0.60087719298245612</v>
      </c>
      <c r="N705" s="60">
        <v>684</v>
      </c>
      <c r="O705" s="82">
        <f ca="1">IF(AND(N705&lt;=U$22,RAND()&lt;=$H$7),1,0)</f>
        <v>1</v>
      </c>
      <c r="P705" s="82">
        <f t="shared" ca="1" si="58"/>
        <v>6</v>
      </c>
      <c r="Q705" s="84">
        <f t="shared" ca="1" si="59"/>
        <v>1.5</v>
      </c>
      <c r="R705" s="82">
        <f t="shared" ca="1" si="56"/>
        <v>6</v>
      </c>
      <c r="S705" s="82">
        <f ca="1">SUM(R$22:$R705)</f>
        <v>1814.400000000001</v>
      </c>
      <c r="W705" s="60">
        <v>684</v>
      </c>
      <c r="X705" s="82">
        <f ca="1"/>
        <v>2725.200000000008</v>
      </c>
    </row>
    <row r="706" spans="7:24" x14ac:dyDescent="0.2">
      <c r="G706" s="60">
        <v>685</v>
      </c>
      <c r="H706" s="82">
        <f ca="1"/>
        <v>1</v>
      </c>
      <c r="I706" s="82">
        <f t="shared" ca="1" si="57"/>
        <v>412</v>
      </c>
      <c r="J706" s="83">
        <f t="shared" ca="1" si="55"/>
        <v>0.60145985401459856</v>
      </c>
      <c r="N706" s="60">
        <v>685</v>
      </c>
      <c r="O706" s="82">
        <f ca="1">IF(AND(N706&lt;=U$22,RAND()&lt;=$H$7),1,0)</f>
        <v>1</v>
      </c>
      <c r="P706" s="82">
        <f t="shared" ca="1" si="58"/>
        <v>7</v>
      </c>
      <c r="Q706" s="84">
        <f t="shared" ca="1" si="59"/>
        <v>1.6</v>
      </c>
      <c r="R706" s="82">
        <f t="shared" ca="1" si="56"/>
        <v>6.4</v>
      </c>
      <c r="S706" s="82">
        <f ca="1">SUM(R$22:$R706)</f>
        <v>1820.8000000000011</v>
      </c>
      <c r="W706" s="60">
        <v>685</v>
      </c>
      <c r="X706" s="82">
        <f ca="1"/>
        <v>2654.0000000000064</v>
      </c>
    </row>
    <row r="707" spans="7:24" x14ac:dyDescent="0.2">
      <c r="G707" s="60">
        <v>686</v>
      </c>
      <c r="H707" s="82">
        <f ca="1"/>
        <v>0</v>
      </c>
      <c r="I707" s="82">
        <f t="shared" ca="1" si="57"/>
        <v>412</v>
      </c>
      <c r="J707" s="83">
        <f t="shared" ca="1" si="55"/>
        <v>0.6005830903790087</v>
      </c>
      <c r="N707" s="60">
        <v>686</v>
      </c>
      <c r="O707" s="82">
        <f ca="1">IF(AND(N707&lt;=U$22,RAND()&lt;=$H$7),1,0)</f>
        <v>1</v>
      </c>
      <c r="P707" s="82">
        <f t="shared" ca="1" si="58"/>
        <v>8</v>
      </c>
      <c r="Q707" s="84">
        <f t="shared" ca="1" si="59"/>
        <v>1.7000000000000002</v>
      </c>
      <c r="R707" s="82">
        <f t="shared" ca="1" si="56"/>
        <v>6.8000000000000007</v>
      </c>
      <c r="S707" s="82">
        <f ca="1">SUM(R$22:$R707)</f>
        <v>1827.600000000001</v>
      </c>
      <c r="W707" s="60">
        <v>686</v>
      </c>
      <c r="X707" s="82">
        <f ca="1"/>
        <v>2686.0000000000068</v>
      </c>
    </row>
    <row r="708" spans="7:24" x14ac:dyDescent="0.2">
      <c r="G708" s="60">
        <v>687</v>
      </c>
      <c r="H708" s="82">
        <f ca="1"/>
        <v>1</v>
      </c>
      <c r="I708" s="82">
        <f t="shared" ca="1" si="57"/>
        <v>413</v>
      </c>
      <c r="J708" s="83">
        <f t="shared" ca="1" si="55"/>
        <v>0.60116448326055316</v>
      </c>
      <c r="N708" s="60">
        <v>687</v>
      </c>
      <c r="O708" s="82">
        <f ca="1">IF(AND(N708&lt;=U$22,RAND()&lt;=$H$7),1,0)</f>
        <v>1</v>
      </c>
      <c r="P708" s="82">
        <f t="shared" ca="1" si="58"/>
        <v>9</v>
      </c>
      <c r="Q708" s="84">
        <f t="shared" ca="1" si="59"/>
        <v>1.8</v>
      </c>
      <c r="R708" s="82">
        <f t="shared" ca="1" si="56"/>
        <v>7.2</v>
      </c>
      <c r="S708" s="82">
        <f ca="1">SUM(R$22:$R708)</f>
        <v>1834.8000000000011</v>
      </c>
      <c r="W708" s="60">
        <v>687</v>
      </c>
      <c r="X708" s="82">
        <f ca="1"/>
        <v>2809.6000000000081</v>
      </c>
    </row>
    <row r="709" spans="7:24" x14ac:dyDescent="0.2">
      <c r="G709" s="60">
        <v>688</v>
      </c>
      <c r="H709" s="82">
        <f ca="1"/>
        <v>0</v>
      </c>
      <c r="I709" s="82">
        <f t="shared" ca="1" si="57"/>
        <v>413</v>
      </c>
      <c r="J709" s="83">
        <f t="shared" ca="1" si="55"/>
        <v>0.60029069767441856</v>
      </c>
      <c r="N709" s="60">
        <v>688</v>
      </c>
      <c r="O709" s="82">
        <f ca="1">IF(AND(N709&lt;=U$22,RAND()&lt;=$H$7),1,0)</f>
        <v>0</v>
      </c>
      <c r="P709" s="82">
        <f t="shared" ca="1" si="58"/>
        <v>0</v>
      </c>
      <c r="Q709" s="84">
        <f t="shared" ca="1" si="59"/>
        <v>1</v>
      </c>
      <c r="R709" s="82">
        <f t="shared" ca="1" si="56"/>
        <v>0</v>
      </c>
      <c r="S709" s="82">
        <f ca="1">SUM(R$22:$R709)</f>
        <v>1834.8000000000011</v>
      </c>
      <c r="W709" s="60">
        <v>688</v>
      </c>
      <c r="X709" s="82">
        <f ca="1"/>
        <v>2734.4000000000074</v>
      </c>
    </row>
    <row r="710" spans="7:24" x14ac:dyDescent="0.2">
      <c r="G710" s="60">
        <v>689</v>
      </c>
      <c r="H710" s="82">
        <f ca="1"/>
        <v>1</v>
      </c>
      <c r="I710" s="82">
        <f t="shared" ca="1" si="57"/>
        <v>414</v>
      </c>
      <c r="J710" s="83">
        <f t="shared" ca="1" si="55"/>
        <v>0.60087082728592167</v>
      </c>
      <c r="N710" s="60">
        <v>689</v>
      </c>
      <c r="O710" s="82">
        <f ca="1">IF(AND(N710&lt;=U$22,RAND()&lt;=$H$7),1,0)</f>
        <v>0</v>
      </c>
      <c r="P710" s="82">
        <f t="shared" ca="1" si="58"/>
        <v>0</v>
      </c>
      <c r="Q710" s="84">
        <f t="shared" ca="1" si="59"/>
        <v>1</v>
      </c>
      <c r="R710" s="82">
        <f t="shared" ca="1" si="56"/>
        <v>0</v>
      </c>
      <c r="S710" s="82">
        <f ca="1">SUM(R$22:$R710)</f>
        <v>1834.8000000000011</v>
      </c>
      <c r="W710" s="60">
        <v>689</v>
      </c>
      <c r="X710" s="82">
        <f ca="1"/>
        <v>2898.8000000000065</v>
      </c>
    </row>
    <row r="711" spans="7:24" x14ac:dyDescent="0.2">
      <c r="G711" s="60">
        <v>690</v>
      </c>
      <c r="H711" s="82">
        <f ca="1"/>
        <v>1</v>
      </c>
      <c r="I711" s="82">
        <f t="shared" ca="1" si="57"/>
        <v>415</v>
      </c>
      <c r="J711" s="83">
        <f t="shared" ca="1" si="55"/>
        <v>0.60144927536231885</v>
      </c>
      <c r="N711" s="60">
        <v>690</v>
      </c>
      <c r="O711" s="82">
        <f ca="1">IF(AND(N711&lt;=U$22,RAND()&lt;=$H$7),1,0)</f>
        <v>0</v>
      </c>
      <c r="P711" s="82">
        <f t="shared" ca="1" si="58"/>
        <v>0</v>
      </c>
      <c r="Q711" s="84">
        <f t="shared" ca="1" si="59"/>
        <v>1</v>
      </c>
      <c r="R711" s="82">
        <f t="shared" ca="1" si="56"/>
        <v>0</v>
      </c>
      <c r="S711" s="82">
        <f ca="1">SUM(R$22:$R711)</f>
        <v>1834.8000000000011</v>
      </c>
      <c r="W711" s="60">
        <v>690</v>
      </c>
      <c r="X711" s="82">
        <f ca="1"/>
        <v>2824.4000000000065</v>
      </c>
    </row>
    <row r="712" spans="7:24" x14ac:dyDescent="0.2">
      <c r="G712" s="60">
        <v>691</v>
      </c>
      <c r="H712" s="82">
        <f ca="1"/>
        <v>1</v>
      </c>
      <c r="I712" s="82">
        <f t="shared" ca="1" si="57"/>
        <v>416</v>
      </c>
      <c r="J712" s="83">
        <f t="shared" ca="1" si="55"/>
        <v>0.60202604920405212</v>
      </c>
      <c r="N712" s="60">
        <v>691</v>
      </c>
      <c r="O712" s="82">
        <f ca="1">IF(AND(N712&lt;=U$22,RAND()&lt;=$H$7),1,0)</f>
        <v>0</v>
      </c>
      <c r="P712" s="82">
        <f t="shared" ca="1" si="58"/>
        <v>0</v>
      </c>
      <c r="Q712" s="84">
        <f t="shared" ca="1" si="59"/>
        <v>1</v>
      </c>
      <c r="R712" s="82">
        <f t="shared" ca="1" si="56"/>
        <v>0</v>
      </c>
      <c r="S712" s="82">
        <f ca="1">SUM(R$22:$R712)</f>
        <v>1834.8000000000011</v>
      </c>
      <c r="W712" s="60">
        <v>691</v>
      </c>
      <c r="X712" s="82">
        <f ca="1"/>
        <v>2873.6000000000076</v>
      </c>
    </row>
    <row r="713" spans="7:24" x14ac:dyDescent="0.2">
      <c r="G713" s="60">
        <v>692</v>
      </c>
      <c r="H713" s="82">
        <f ca="1"/>
        <v>0</v>
      </c>
      <c r="I713" s="82">
        <f t="shared" ca="1" si="57"/>
        <v>416</v>
      </c>
      <c r="J713" s="83">
        <f t="shared" ca="1" si="55"/>
        <v>0.60115606936416188</v>
      </c>
      <c r="N713" s="60">
        <v>692</v>
      </c>
      <c r="O713" s="82">
        <f ca="1">IF(AND(N713&lt;=U$22,RAND()&lt;=$H$7),1,0)</f>
        <v>1</v>
      </c>
      <c r="P713" s="82">
        <f t="shared" ca="1" si="58"/>
        <v>0</v>
      </c>
      <c r="Q713" s="84">
        <f t="shared" ca="1" si="59"/>
        <v>1</v>
      </c>
      <c r="R713" s="82">
        <f t="shared" ca="1" si="56"/>
        <v>4</v>
      </c>
      <c r="S713" s="82">
        <f ca="1">SUM(R$22:$R713)</f>
        <v>1838.8000000000011</v>
      </c>
      <c r="W713" s="60">
        <v>692</v>
      </c>
      <c r="X713" s="82">
        <f ca="1"/>
        <v>2818.8000000000084</v>
      </c>
    </row>
    <row r="714" spans="7:24" x14ac:dyDescent="0.2">
      <c r="G714" s="60">
        <v>693</v>
      </c>
      <c r="H714" s="82">
        <f ca="1"/>
        <v>1</v>
      </c>
      <c r="I714" s="82">
        <f t="shared" ca="1" si="57"/>
        <v>417</v>
      </c>
      <c r="J714" s="83">
        <f t="shared" ca="1" si="55"/>
        <v>0.60173160173160178</v>
      </c>
      <c r="N714" s="60">
        <v>693</v>
      </c>
      <c r="O714" s="82">
        <f ca="1">IF(AND(N714&lt;=U$22,RAND()&lt;=$H$7),1,0)</f>
        <v>0</v>
      </c>
      <c r="P714" s="82">
        <f t="shared" ca="1" si="58"/>
        <v>0</v>
      </c>
      <c r="Q714" s="84">
        <f t="shared" ca="1" si="59"/>
        <v>1</v>
      </c>
      <c r="R714" s="82">
        <f t="shared" ca="1" si="56"/>
        <v>0</v>
      </c>
      <c r="S714" s="82">
        <f ca="1">SUM(R$22:$R714)</f>
        <v>1838.8000000000011</v>
      </c>
      <c r="W714" s="60">
        <v>693</v>
      </c>
      <c r="X714" s="82">
        <f ca="1"/>
        <v>2877.600000000009</v>
      </c>
    </row>
    <row r="715" spans="7:24" x14ac:dyDescent="0.2">
      <c r="G715" s="60">
        <v>694</v>
      </c>
      <c r="H715" s="82">
        <f ca="1"/>
        <v>0</v>
      </c>
      <c r="I715" s="82">
        <f t="shared" ca="1" si="57"/>
        <v>417</v>
      </c>
      <c r="J715" s="83">
        <f t="shared" ca="1" si="55"/>
        <v>0.60086455331412103</v>
      </c>
      <c r="N715" s="60">
        <v>694</v>
      </c>
      <c r="O715" s="82">
        <f ca="1">IF(AND(N715&lt;=U$22,RAND()&lt;=$H$7),1,0)</f>
        <v>1</v>
      </c>
      <c r="P715" s="82">
        <f t="shared" ca="1" si="58"/>
        <v>0</v>
      </c>
      <c r="Q715" s="84">
        <f t="shared" ca="1" si="59"/>
        <v>1</v>
      </c>
      <c r="R715" s="82">
        <f t="shared" ca="1" si="56"/>
        <v>4</v>
      </c>
      <c r="S715" s="82">
        <f ca="1">SUM(R$22:$R715)</f>
        <v>1842.8000000000011</v>
      </c>
      <c r="W715" s="60">
        <v>694</v>
      </c>
      <c r="X715" s="82">
        <f ca="1"/>
        <v>2821.6000000000067</v>
      </c>
    </row>
    <row r="716" spans="7:24" x14ac:dyDescent="0.2">
      <c r="G716" s="60">
        <v>695</v>
      </c>
      <c r="H716" s="82">
        <f ca="1"/>
        <v>1</v>
      </c>
      <c r="I716" s="82">
        <f t="shared" ca="1" si="57"/>
        <v>418</v>
      </c>
      <c r="J716" s="83">
        <f t="shared" ca="1" si="55"/>
        <v>0.6014388489208633</v>
      </c>
      <c r="N716" s="60">
        <v>695</v>
      </c>
      <c r="O716" s="82">
        <f ca="1">IF(AND(N716&lt;=U$22,RAND()&lt;=$H$7),1,0)</f>
        <v>0</v>
      </c>
      <c r="P716" s="82">
        <f t="shared" ca="1" si="58"/>
        <v>0</v>
      </c>
      <c r="Q716" s="84">
        <f t="shared" ca="1" si="59"/>
        <v>1</v>
      </c>
      <c r="R716" s="82">
        <f t="shared" ca="1" si="56"/>
        <v>0</v>
      </c>
      <c r="S716" s="82">
        <f ca="1">SUM(R$22:$R716)</f>
        <v>1842.8000000000011</v>
      </c>
      <c r="W716" s="60">
        <v>695</v>
      </c>
      <c r="X716" s="82">
        <f ca="1"/>
        <v>2787.2000000000071</v>
      </c>
    </row>
    <row r="717" spans="7:24" x14ac:dyDescent="0.2">
      <c r="G717" s="60">
        <v>696</v>
      </c>
      <c r="H717" s="82">
        <f ca="1"/>
        <v>1</v>
      </c>
      <c r="I717" s="82">
        <f t="shared" ca="1" si="57"/>
        <v>419</v>
      </c>
      <c r="J717" s="83">
        <f t="shared" ca="1" si="55"/>
        <v>0.60201149425287359</v>
      </c>
      <c r="N717" s="60">
        <v>696</v>
      </c>
      <c r="O717" s="82">
        <f ca="1">IF(AND(N717&lt;=U$22,RAND()&lt;=$H$7),1,0)</f>
        <v>0</v>
      </c>
      <c r="P717" s="82">
        <f t="shared" ca="1" si="58"/>
        <v>0</v>
      </c>
      <c r="Q717" s="84">
        <f t="shared" ca="1" si="59"/>
        <v>1</v>
      </c>
      <c r="R717" s="82">
        <f t="shared" ca="1" si="56"/>
        <v>0</v>
      </c>
      <c r="S717" s="82">
        <f ca="1">SUM(R$22:$R717)</f>
        <v>1842.8000000000011</v>
      </c>
      <c r="W717" s="60">
        <v>696</v>
      </c>
      <c r="X717" s="82">
        <f ca="1"/>
        <v>2657.6000000000067</v>
      </c>
    </row>
    <row r="718" spans="7:24" x14ac:dyDescent="0.2">
      <c r="G718" s="60">
        <v>697</v>
      </c>
      <c r="H718" s="82">
        <f ca="1"/>
        <v>1</v>
      </c>
      <c r="I718" s="82">
        <f t="shared" ca="1" si="57"/>
        <v>420</v>
      </c>
      <c r="J718" s="83">
        <f t="shared" ca="1" si="55"/>
        <v>0.60258249641319939</v>
      </c>
      <c r="N718" s="60">
        <v>697</v>
      </c>
      <c r="O718" s="82">
        <f ca="1">IF(AND(N718&lt;=U$22,RAND()&lt;=$H$7),1,0)</f>
        <v>1</v>
      </c>
      <c r="P718" s="82">
        <f t="shared" ca="1" si="58"/>
        <v>0</v>
      </c>
      <c r="Q718" s="84">
        <f t="shared" ca="1" si="59"/>
        <v>1</v>
      </c>
      <c r="R718" s="82">
        <f t="shared" ca="1" si="56"/>
        <v>4</v>
      </c>
      <c r="S718" s="82">
        <f ca="1">SUM(R$22:$R718)</f>
        <v>1846.8000000000011</v>
      </c>
      <c r="W718" s="60">
        <v>697</v>
      </c>
      <c r="X718" s="82">
        <f ca="1"/>
        <v>2605.2000000000044</v>
      </c>
    </row>
    <row r="719" spans="7:24" x14ac:dyDescent="0.2">
      <c r="G719" s="60">
        <v>698</v>
      </c>
      <c r="H719" s="82">
        <f ca="1"/>
        <v>1</v>
      </c>
      <c r="I719" s="82">
        <f t="shared" ca="1" si="57"/>
        <v>421</v>
      </c>
      <c r="J719" s="83">
        <f t="shared" ca="1" si="55"/>
        <v>0.6031518624641834</v>
      </c>
      <c r="N719" s="60">
        <v>698</v>
      </c>
      <c r="O719" s="82">
        <f ca="1">IF(AND(N719&lt;=U$22,RAND()&lt;=$H$7),1,0)</f>
        <v>0</v>
      </c>
      <c r="P719" s="82">
        <f t="shared" ca="1" si="58"/>
        <v>0</v>
      </c>
      <c r="Q719" s="84">
        <f t="shared" ca="1" si="59"/>
        <v>1</v>
      </c>
      <c r="R719" s="82">
        <f t="shared" ca="1" si="56"/>
        <v>0</v>
      </c>
      <c r="S719" s="82">
        <f ca="1">SUM(R$22:$R719)</f>
        <v>1846.8000000000011</v>
      </c>
      <c r="W719" s="60">
        <v>698</v>
      </c>
      <c r="X719" s="82">
        <f ca="1"/>
        <v>2638.8000000000065</v>
      </c>
    </row>
    <row r="720" spans="7:24" x14ac:dyDescent="0.2">
      <c r="G720" s="60">
        <v>699</v>
      </c>
      <c r="H720" s="82">
        <f ca="1"/>
        <v>1</v>
      </c>
      <c r="I720" s="82">
        <f t="shared" ca="1" si="57"/>
        <v>422</v>
      </c>
      <c r="J720" s="83">
        <f t="shared" ca="1" si="55"/>
        <v>0.60371959942775388</v>
      </c>
      <c r="N720" s="60">
        <v>699</v>
      </c>
      <c r="O720" s="82">
        <f ca="1">IF(AND(N720&lt;=U$22,RAND()&lt;=$H$7),1,0)</f>
        <v>0</v>
      </c>
      <c r="P720" s="82">
        <f t="shared" ca="1" si="58"/>
        <v>0</v>
      </c>
      <c r="Q720" s="84">
        <f t="shared" ca="1" si="59"/>
        <v>1</v>
      </c>
      <c r="R720" s="82">
        <f t="shared" ca="1" si="56"/>
        <v>0</v>
      </c>
      <c r="S720" s="82">
        <f ca="1">SUM(R$22:$R720)</f>
        <v>1846.8000000000011</v>
      </c>
      <c r="W720" s="60">
        <v>699</v>
      </c>
      <c r="X720" s="82">
        <f ca="1"/>
        <v>2667.6000000000058</v>
      </c>
    </row>
    <row r="721" spans="7:24" x14ac:dyDescent="0.2">
      <c r="G721" s="60">
        <v>700</v>
      </c>
      <c r="H721" s="82">
        <f ca="1"/>
        <v>1</v>
      </c>
      <c r="I721" s="82">
        <f t="shared" ca="1" si="57"/>
        <v>423</v>
      </c>
      <c r="J721" s="83">
        <f t="shared" ca="1" si="55"/>
        <v>0.60428571428571431</v>
      </c>
      <c r="N721" s="60">
        <v>700</v>
      </c>
      <c r="O721" s="82">
        <f ca="1">IF(AND(N721&lt;=U$22,RAND()&lt;=$H$7),1,0)</f>
        <v>1</v>
      </c>
      <c r="P721" s="82">
        <f t="shared" ca="1" si="58"/>
        <v>0</v>
      </c>
      <c r="Q721" s="84">
        <f t="shared" ca="1" si="59"/>
        <v>1</v>
      </c>
      <c r="R721" s="82">
        <f t="shared" ca="1" si="56"/>
        <v>4</v>
      </c>
      <c r="S721" s="82">
        <f ca="1">SUM(R$22:$R721)</f>
        <v>1850.8000000000011</v>
      </c>
      <c r="W721" s="60">
        <v>700</v>
      </c>
      <c r="X721" s="82">
        <f ca="1"/>
        <v>2562.8000000000075</v>
      </c>
    </row>
    <row r="722" spans="7:24" x14ac:dyDescent="0.2">
      <c r="G722" s="60">
        <v>701</v>
      </c>
      <c r="H722" s="82">
        <f ca="1"/>
        <v>1</v>
      </c>
      <c r="I722" s="82">
        <f t="shared" ca="1" si="57"/>
        <v>424</v>
      </c>
      <c r="J722" s="83">
        <f t="shared" ca="1" si="55"/>
        <v>0.60485021398002858</v>
      </c>
      <c r="N722" s="60">
        <v>701</v>
      </c>
      <c r="O722" s="82">
        <f ca="1">IF(AND(N722&lt;=U$22,RAND()&lt;=$H$7),1,0)</f>
        <v>1</v>
      </c>
      <c r="P722" s="82">
        <f t="shared" ca="1" si="58"/>
        <v>1</v>
      </c>
      <c r="Q722" s="84">
        <f t="shared" ca="1" si="59"/>
        <v>1</v>
      </c>
      <c r="R722" s="82">
        <f t="shared" ca="1" si="56"/>
        <v>4</v>
      </c>
      <c r="S722" s="82">
        <f ca="1">SUM(R$22:$R722)</f>
        <v>1854.8000000000011</v>
      </c>
      <c r="W722" s="60">
        <v>701</v>
      </c>
      <c r="X722" s="82">
        <f ca="1"/>
        <v>2775.2000000000089</v>
      </c>
    </row>
    <row r="723" spans="7:24" x14ac:dyDescent="0.2">
      <c r="G723" s="60">
        <v>702</v>
      </c>
      <c r="H723" s="82">
        <f ca="1"/>
        <v>1</v>
      </c>
      <c r="I723" s="82">
        <f t="shared" ca="1" si="57"/>
        <v>425</v>
      </c>
      <c r="J723" s="83">
        <f t="shared" ca="1" si="55"/>
        <v>0.60541310541310545</v>
      </c>
      <c r="N723" s="60">
        <v>702</v>
      </c>
      <c r="O723" s="82">
        <f ca="1">IF(AND(N723&lt;=U$22,RAND()&lt;=$H$7),1,0)</f>
        <v>1</v>
      </c>
      <c r="P723" s="82">
        <f t="shared" ca="1" si="58"/>
        <v>2</v>
      </c>
      <c r="Q723" s="84">
        <f t="shared" ca="1" si="59"/>
        <v>1.1000000000000001</v>
      </c>
      <c r="R723" s="82">
        <f t="shared" ca="1" si="56"/>
        <v>4.4000000000000004</v>
      </c>
      <c r="S723" s="82">
        <f ca="1">SUM(R$22:$R723)</f>
        <v>1859.2000000000012</v>
      </c>
      <c r="W723" s="60">
        <v>702</v>
      </c>
      <c r="X723" s="82">
        <f ca="1"/>
        <v>2924.0000000000077</v>
      </c>
    </row>
    <row r="724" spans="7:24" x14ac:dyDescent="0.2">
      <c r="G724" s="60">
        <v>703</v>
      </c>
      <c r="H724" s="82">
        <f ca="1"/>
        <v>1</v>
      </c>
      <c r="I724" s="82">
        <f t="shared" ca="1" si="57"/>
        <v>426</v>
      </c>
      <c r="J724" s="83">
        <f t="shared" ca="1" si="55"/>
        <v>0.60597439544807963</v>
      </c>
      <c r="N724" s="60">
        <v>703</v>
      </c>
      <c r="O724" s="82">
        <f ca="1">IF(AND(N724&lt;=U$22,RAND()&lt;=$H$7),1,0)</f>
        <v>1</v>
      </c>
      <c r="P724" s="82">
        <f t="shared" ca="1" si="58"/>
        <v>3</v>
      </c>
      <c r="Q724" s="84">
        <f t="shared" ca="1" si="59"/>
        <v>1.2</v>
      </c>
      <c r="R724" s="82">
        <f t="shared" ca="1" si="56"/>
        <v>4.8</v>
      </c>
      <c r="S724" s="82">
        <f ca="1">SUM(R$22:$R724)</f>
        <v>1864.0000000000011</v>
      </c>
      <c r="W724" s="60">
        <v>703</v>
      </c>
      <c r="X724" s="82">
        <f ca="1"/>
        <v>2597.2000000000062</v>
      </c>
    </row>
    <row r="725" spans="7:24" x14ac:dyDescent="0.2">
      <c r="G725" s="60">
        <v>704</v>
      </c>
      <c r="H725" s="82">
        <f ca="1"/>
        <v>1</v>
      </c>
      <c r="I725" s="82">
        <f t="shared" ca="1" si="57"/>
        <v>427</v>
      </c>
      <c r="J725" s="83">
        <f t="shared" ca="1" si="55"/>
        <v>0.60653409090909094</v>
      </c>
      <c r="N725" s="60">
        <v>704</v>
      </c>
      <c r="O725" s="82">
        <f ca="1">IF(AND(N725&lt;=U$22,RAND()&lt;=$H$7),1,0)</f>
        <v>1</v>
      </c>
      <c r="P725" s="82">
        <f t="shared" ca="1" si="58"/>
        <v>4</v>
      </c>
      <c r="Q725" s="84">
        <f t="shared" ca="1" si="59"/>
        <v>1.3</v>
      </c>
      <c r="R725" s="82">
        <f t="shared" ca="1" si="56"/>
        <v>5.2</v>
      </c>
      <c r="S725" s="82">
        <f ca="1">SUM(R$22:$R725)</f>
        <v>1869.2000000000012</v>
      </c>
      <c r="W725" s="60">
        <v>704</v>
      </c>
      <c r="X725" s="82">
        <f ca="1"/>
        <v>2792.4000000000065</v>
      </c>
    </row>
    <row r="726" spans="7:24" x14ac:dyDescent="0.2">
      <c r="G726" s="60">
        <v>705</v>
      </c>
      <c r="H726" s="82">
        <f ca="1"/>
        <v>1</v>
      </c>
      <c r="I726" s="82">
        <f t="shared" ca="1" si="57"/>
        <v>428</v>
      </c>
      <c r="J726" s="83">
        <f t="shared" ca="1" si="55"/>
        <v>0.60709219858156027</v>
      </c>
      <c r="N726" s="60">
        <v>705</v>
      </c>
      <c r="O726" s="82">
        <f ca="1">IF(AND(N726&lt;=U$22,RAND()&lt;=$H$7),1,0)</f>
        <v>0</v>
      </c>
      <c r="P726" s="82">
        <f t="shared" ca="1" si="58"/>
        <v>0</v>
      </c>
      <c r="Q726" s="84">
        <f t="shared" ca="1" si="59"/>
        <v>1</v>
      </c>
      <c r="R726" s="82">
        <f t="shared" ca="1" si="56"/>
        <v>0</v>
      </c>
      <c r="S726" s="82">
        <f ca="1">SUM(R$22:$R726)</f>
        <v>1869.2000000000012</v>
      </c>
      <c r="W726" s="60">
        <v>705</v>
      </c>
      <c r="X726" s="82">
        <f ca="1"/>
        <v>2892.0000000000068</v>
      </c>
    </row>
    <row r="727" spans="7:24" x14ac:dyDescent="0.2">
      <c r="G727" s="60">
        <v>706</v>
      </c>
      <c r="H727" s="82">
        <f ca="1"/>
        <v>1</v>
      </c>
      <c r="I727" s="82">
        <f t="shared" ca="1" si="57"/>
        <v>429</v>
      </c>
      <c r="J727" s="83">
        <f t="shared" ref="J727:J790" ca="1" si="60">I727/G727</f>
        <v>0.6076487252124646</v>
      </c>
      <c r="N727" s="60">
        <v>706</v>
      </c>
      <c r="O727" s="82">
        <f ca="1">IF(AND(N727&lt;=U$22,RAND()&lt;=$H$7),1,0)</f>
        <v>1</v>
      </c>
      <c r="P727" s="82">
        <f t="shared" ca="1" si="58"/>
        <v>0</v>
      </c>
      <c r="Q727" s="84">
        <f t="shared" ca="1" si="59"/>
        <v>1</v>
      </c>
      <c r="R727" s="82">
        <f t="shared" ref="R727:R790" ca="1" si="61">Q727*$I$7*O727</f>
        <v>4</v>
      </c>
      <c r="S727" s="82">
        <f ca="1">SUM(R$22:$R727)</f>
        <v>1873.2000000000012</v>
      </c>
      <c r="W727" s="60">
        <v>706</v>
      </c>
      <c r="X727" s="82">
        <f ca="1"/>
        <v>2701.6000000000076</v>
      </c>
    </row>
    <row r="728" spans="7:24" x14ac:dyDescent="0.2">
      <c r="G728" s="60">
        <v>707</v>
      </c>
      <c r="H728" s="82">
        <f ca="1"/>
        <v>1</v>
      </c>
      <c r="I728" s="82">
        <f t="shared" ref="I728:I791" ca="1" si="62">H728+I727</f>
        <v>430</v>
      </c>
      <c r="J728" s="83">
        <f t="shared" ca="1" si="60"/>
        <v>0.60820367751060822</v>
      </c>
      <c r="N728" s="60">
        <v>707</v>
      </c>
      <c r="O728" s="82">
        <f ca="1">IF(AND(N728&lt;=U$22,RAND()&lt;=$H$7),1,0)</f>
        <v>1</v>
      </c>
      <c r="P728" s="82">
        <f t="shared" ref="P728:P791" ca="1" si="63">IF(AND(O727=1,O728=1),P727+1,0)</f>
        <v>1</v>
      </c>
      <c r="Q728" s="84">
        <f t="shared" ref="Q728:Q791" ca="1" si="64">IF(P728&gt;1,1+(P728-1)*0.1,1)</f>
        <v>1</v>
      </c>
      <c r="R728" s="82">
        <f t="shared" ca="1" si="61"/>
        <v>4</v>
      </c>
      <c r="S728" s="82">
        <f ca="1">SUM(R$22:$R728)</f>
        <v>1877.2000000000012</v>
      </c>
      <c r="W728" s="60">
        <v>707</v>
      </c>
      <c r="X728" s="82">
        <f ca="1"/>
        <v>2737.2000000000062</v>
      </c>
    </row>
    <row r="729" spans="7:24" x14ac:dyDescent="0.2">
      <c r="G729" s="60">
        <v>708</v>
      </c>
      <c r="H729" s="82">
        <f ca="1"/>
        <v>1</v>
      </c>
      <c r="I729" s="82">
        <f t="shared" ca="1" si="62"/>
        <v>431</v>
      </c>
      <c r="J729" s="83">
        <f t="shared" ca="1" si="60"/>
        <v>0.60875706214689262</v>
      </c>
      <c r="N729" s="60">
        <v>708</v>
      </c>
      <c r="O729" s="82">
        <f ca="1">IF(AND(N729&lt;=U$22,RAND()&lt;=$H$7),1,0)</f>
        <v>1</v>
      </c>
      <c r="P729" s="82">
        <f t="shared" ca="1" si="63"/>
        <v>2</v>
      </c>
      <c r="Q729" s="84">
        <f t="shared" ca="1" si="64"/>
        <v>1.1000000000000001</v>
      </c>
      <c r="R729" s="82">
        <f t="shared" ca="1" si="61"/>
        <v>4.4000000000000004</v>
      </c>
      <c r="S729" s="82">
        <f ca="1">SUM(R$22:$R729)</f>
        <v>1881.6000000000013</v>
      </c>
      <c r="W729" s="60">
        <v>708</v>
      </c>
      <c r="X729" s="82">
        <f ca="1"/>
        <v>2692.0000000000064</v>
      </c>
    </row>
    <row r="730" spans="7:24" x14ac:dyDescent="0.2">
      <c r="G730" s="60">
        <v>709</v>
      </c>
      <c r="H730" s="82">
        <f ca="1"/>
        <v>1</v>
      </c>
      <c r="I730" s="82">
        <f t="shared" ca="1" si="62"/>
        <v>432</v>
      </c>
      <c r="J730" s="83">
        <f t="shared" ca="1" si="60"/>
        <v>0.60930888575458397</v>
      </c>
      <c r="N730" s="60">
        <v>709</v>
      </c>
      <c r="O730" s="82">
        <f ca="1">IF(AND(N730&lt;=U$22,RAND()&lt;=$H$7),1,0)</f>
        <v>1</v>
      </c>
      <c r="P730" s="82">
        <f t="shared" ca="1" si="63"/>
        <v>3</v>
      </c>
      <c r="Q730" s="84">
        <f t="shared" ca="1" si="64"/>
        <v>1.2</v>
      </c>
      <c r="R730" s="82">
        <f t="shared" ca="1" si="61"/>
        <v>4.8</v>
      </c>
      <c r="S730" s="82">
        <f ca="1">SUM(R$22:$R730)</f>
        <v>1886.4000000000012</v>
      </c>
      <c r="W730" s="60">
        <v>709</v>
      </c>
      <c r="X730" s="82">
        <f ca="1"/>
        <v>2673.2000000000089</v>
      </c>
    </row>
    <row r="731" spans="7:24" x14ac:dyDescent="0.2">
      <c r="G731" s="60">
        <v>710</v>
      </c>
      <c r="H731" s="82">
        <f ca="1"/>
        <v>0</v>
      </c>
      <c r="I731" s="82">
        <f t="shared" ca="1" si="62"/>
        <v>432</v>
      </c>
      <c r="J731" s="83">
        <f t="shared" ca="1" si="60"/>
        <v>0.60845070422535208</v>
      </c>
      <c r="N731" s="60">
        <v>710</v>
      </c>
      <c r="O731" s="82">
        <f ca="1">IF(AND(N731&lt;=U$22,RAND()&lt;=$H$7),1,0)</f>
        <v>0</v>
      </c>
      <c r="P731" s="82">
        <f t="shared" ca="1" si="63"/>
        <v>0</v>
      </c>
      <c r="Q731" s="84">
        <f t="shared" ca="1" si="64"/>
        <v>1</v>
      </c>
      <c r="R731" s="82">
        <f t="shared" ca="1" si="61"/>
        <v>0</v>
      </c>
      <c r="S731" s="82">
        <f ca="1">SUM(R$22:$R731)</f>
        <v>1886.4000000000012</v>
      </c>
      <c r="W731" s="60">
        <v>710</v>
      </c>
      <c r="X731" s="82">
        <f ca="1"/>
        <v>2922.0000000000068</v>
      </c>
    </row>
    <row r="732" spans="7:24" x14ac:dyDescent="0.2">
      <c r="G732" s="60">
        <v>711</v>
      </c>
      <c r="H732" s="82">
        <f ca="1"/>
        <v>1</v>
      </c>
      <c r="I732" s="82">
        <f t="shared" ca="1" si="62"/>
        <v>433</v>
      </c>
      <c r="J732" s="83">
        <f t="shared" ca="1" si="60"/>
        <v>0.60900140646976086</v>
      </c>
      <c r="N732" s="60">
        <v>711</v>
      </c>
      <c r="O732" s="82">
        <f ca="1">IF(AND(N732&lt;=U$22,RAND()&lt;=$H$7),1,0)</f>
        <v>1</v>
      </c>
      <c r="P732" s="82">
        <f t="shared" ca="1" si="63"/>
        <v>0</v>
      </c>
      <c r="Q732" s="84">
        <f t="shared" ca="1" si="64"/>
        <v>1</v>
      </c>
      <c r="R732" s="82">
        <f t="shared" ca="1" si="61"/>
        <v>4</v>
      </c>
      <c r="S732" s="82">
        <f ca="1">SUM(R$22:$R732)</f>
        <v>1890.4000000000012</v>
      </c>
      <c r="W732" s="60">
        <v>711</v>
      </c>
      <c r="X732" s="82">
        <f ca="1"/>
        <v>2626.4000000000065</v>
      </c>
    </row>
    <row r="733" spans="7:24" x14ac:dyDescent="0.2">
      <c r="G733" s="60">
        <v>712</v>
      </c>
      <c r="H733" s="82">
        <f ca="1"/>
        <v>0</v>
      </c>
      <c r="I733" s="82">
        <f t="shared" ca="1" si="62"/>
        <v>433</v>
      </c>
      <c r="J733" s="83">
        <f t="shared" ca="1" si="60"/>
        <v>0.6081460674157303</v>
      </c>
      <c r="N733" s="60">
        <v>712</v>
      </c>
      <c r="O733" s="82">
        <f ca="1">IF(AND(N733&lt;=U$22,RAND()&lt;=$H$7),1,0)</f>
        <v>1</v>
      </c>
      <c r="P733" s="82">
        <f t="shared" ca="1" si="63"/>
        <v>1</v>
      </c>
      <c r="Q733" s="84">
        <f t="shared" ca="1" si="64"/>
        <v>1</v>
      </c>
      <c r="R733" s="82">
        <f t="shared" ca="1" si="61"/>
        <v>4</v>
      </c>
      <c r="S733" s="82">
        <f ca="1">SUM(R$22:$R733)</f>
        <v>1894.4000000000012</v>
      </c>
      <c r="W733" s="60">
        <v>712</v>
      </c>
      <c r="X733" s="82">
        <f ca="1"/>
        <v>2784.4000000000078</v>
      </c>
    </row>
    <row r="734" spans="7:24" x14ac:dyDescent="0.2">
      <c r="G734" s="60">
        <v>713</v>
      </c>
      <c r="H734" s="82">
        <f ca="1"/>
        <v>0</v>
      </c>
      <c r="I734" s="82">
        <f t="shared" ca="1" si="62"/>
        <v>433</v>
      </c>
      <c r="J734" s="83">
        <f t="shared" ca="1" si="60"/>
        <v>0.60729312762973353</v>
      </c>
      <c r="N734" s="60">
        <v>713</v>
      </c>
      <c r="O734" s="82">
        <f ca="1">IF(AND(N734&lt;=U$22,RAND()&lt;=$H$7),1,0)</f>
        <v>1</v>
      </c>
      <c r="P734" s="82">
        <f t="shared" ca="1" si="63"/>
        <v>2</v>
      </c>
      <c r="Q734" s="84">
        <f t="shared" ca="1" si="64"/>
        <v>1.1000000000000001</v>
      </c>
      <c r="R734" s="82">
        <f t="shared" ca="1" si="61"/>
        <v>4.4000000000000004</v>
      </c>
      <c r="S734" s="82">
        <f ca="1">SUM(R$22:$R734)</f>
        <v>1898.8000000000013</v>
      </c>
      <c r="W734" s="60">
        <v>713</v>
      </c>
      <c r="X734" s="82">
        <f ca="1"/>
        <v>2772.0000000000082</v>
      </c>
    </row>
    <row r="735" spans="7:24" x14ac:dyDescent="0.2">
      <c r="G735" s="60">
        <v>714</v>
      </c>
      <c r="H735" s="82">
        <f ca="1"/>
        <v>0</v>
      </c>
      <c r="I735" s="82">
        <f t="shared" ca="1" si="62"/>
        <v>433</v>
      </c>
      <c r="J735" s="83">
        <f t="shared" ca="1" si="60"/>
        <v>0.60644257703081228</v>
      </c>
      <c r="N735" s="60">
        <v>714</v>
      </c>
      <c r="O735" s="82">
        <f ca="1">IF(AND(N735&lt;=U$22,RAND()&lt;=$H$7),1,0)</f>
        <v>0</v>
      </c>
      <c r="P735" s="82">
        <f t="shared" ca="1" si="63"/>
        <v>0</v>
      </c>
      <c r="Q735" s="84">
        <f t="shared" ca="1" si="64"/>
        <v>1</v>
      </c>
      <c r="R735" s="82">
        <f t="shared" ca="1" si="61"/>
        <v>0</v>
      </c>
      <c r="S735" s="82">
        <f ca="1">SUM(R$22:$R735)</f>
        <v>1898.8000000000013</v>
      </c>
      <c r="W735" s="60">
        <v>714</v>
      </c>
      <c r="X735" s="82">
        <f ca="1"/>
        <v>2611.6000000000076</v>
      </c>
    </row>
    <row r="736" spans="7:24" x14ac:dyDescent="0.2">
      <c r="G736" s="60">
        <v>715</v>
      </c>
      <c r="H736" s="82">
        <f ca="1"/>
        <v>1</v>
      </c>
      <c r="I736" s="82">
        <f t="shared" ca="1" si="62"/>
        <v>434</v>
      </c>
      <c r="J736" s="83">
        <f t="shared" ca="1" si="60"/>
        <v>0.60699300699300696</v>
      </c>
      <c r="N736" s="60">
        <v>715</v>
      </c>
      <c r="O736" s="82">
        <f ca="1">IF(AND(N736&lt;=U$22,RAND()&lt;=$H$7),1,0)</f>
        <v>0</v>
      </c>
      <c r="P736" s="82">
        <f t="shared" ca="1" si="63"/>
        <v>0</v>
      </c>
      <c r="Q736" s="84">
        <f t="shared" ca="1" si="64"/>
        <v>1</v>
      </c>
      <c r="R736" s="82">
        <f t="shared" ca="1" si="61"/>
        <v>0</v>
      </c>
      <c r="S736" s="82">
        <f ca="1">SUM(R$22:$R736)</f>
        <v>1898.8000000000013</v>
      </c>
      <c r="W736" s="60">
        <v>715</v>
      </c>
      <c r="X736" s="82">
        <f ca="1"/>
        <v>2612.0000000000055</v>
      </c>
    </row>
    <row r="737" spans="7:24" x14ac:dyDescent="0.2">
      <c r="G737" s="60">
        <v>716</v>
      </c>
      <c r="H737" s="82">
        <f ca="1"/>
        <v>1</v>
      </c>
      <c r="I737" s="82">
        <f t="shared" ca="1" si="62"/>
        <v>435</v>
      </c>
      <c r="J737" s="83">
        <f t="shared" ca="1" si="60"/>
        <v>0.60754189944134074</v>
      </c>
      <c r="N737" s="60">
        <v>716</v>
      </c>
      <c r="O737" s="82">
        <f ca="1">IF(AND(N737&lt;=U$22,RAND()&lt;=$H$7),1,0)</f>
        <v>1</v>
      </c>
      <c r="P737" s="82">
        <f t="shared" ca="1" si="63"/>
        <v>0</v>
      </c>
      <c r="Q737" s="84">
        <f t="shared" ca="1" si="64"/>
        <v>1</v>
      </c>
      <c r="R737" s="82">
        <f t="shared" ca="1" si="61"/>
        <v>4</v>
      </c>
      <c r="S737" s="82">
        <f ca="1">SUM(R$22:$R737)</f>
        <v>1902.8000000000013</v>
      </c>
      <c r="W737" s="60">
        <v>716</v>
      </c>
      <c r="X737" s="82">
        <f ca="1"/>
        <v>2703.6000000000072</v>
      </c>
    </row>
    <row r="738" spans="7:24" x14ac:dyDescent="0.2">
      <c r="G738" s="60">
        <v>717</v>
      </c>
      <c r="H738" s="82">
        <f ca="1"/>
        <v>1</v>
      </c>
      <c r="I738" s="82">
        <f t="shared" ca="1" si="62"/>
        <v>436</v>
      </c>
      <c r="J738" s="83">
        <f t="shared" ca="1" si="60"/>
        <v>0.60808926080892611</v>
      </c>
      <c r="N738" s="60">
        <v>717</v>
      </c>
      <c r="O738" s="82">
        <f ca="1">IF(AND(N738&lt;=U$22,RAND()&lt;=$H$7),1,0)</f>
        <v>1</v>
      </c>
      <c r="P738" s="82">
        <f t="shared" ca="1" si="63"/>
        <v>1</v>
      </c>
      <c r="Q738" s="84">
        <f t="shared" ca="1" si="64"/>
        <v>1</v>
      </c>
      <c r="R738" s="82">
        <f t="shared" ca="1" si="61"/>
        <v>4</v>
      </c>
      <c r="S738" s="82">
        <f ca="1">SUM(R$22:$R738)</f>
        <v>1906.8000000000013</v>
      </c>
      <c r="W738" s="60">
        <v>717</v>
      </c>
      <c r="X738" s="82">
        <f ca="1"/>
        <v>2764.4000000000074</v>
      </c>
    </row>
    <row r="739" spans="7:24" x14ac:dyDescent="0.2">
      <c r="G739" s="60">
        <v>718</v>
      </c>
      <c r="H739" s="82">
        <f ca="1"/>
        <v>1</v>
      </c>
      <c r="I739" s="82">
        <f t="shared" ca="1" si="62"/>
        <v>437</v>
      </c>
      <c r="J739" s="83">
        <f t="shared" ca="1" si="60"/>
        <v>0.60863509749303624</v>
      </c>
      <c r="N739" s="60">
        <v>718</v>
      </c>
      <c r="O739" s="82">
        <f ca="1">IF(AND(N739&lt;=U$22,RAND()&lt;=$H$7),1,0)</f>
        <v>0</v>
      </c>
      <c r="P739" s="82">
        <f t="shared" ca="1" si="63"/>
        <v>0</v>
      </c>
      <c r="Q739" s="84">
        <f t="shared" ca="1" si="64"/>
        <v>1</v>
      </c>
      <c r="R739" s="82">
        <f t="shared" ca="1" si="61"/>
        <v>0</v>
      </c>
      <c r="S739" s="82">
        <f ca="1">SUM(R$22:$R739)</f>
        <v>1906.8000000000013</v>
      </c>
      <c r="W739" s="60">
        <v>718</v>
      </c>
      <c r="X739" s="82">
        <f ca="1"/>
        <v>2618.0000000000082</v>
      </c>
    </row>
    <row r="740" spans="7:24" x14ac:dyDescent="0.2">
      <c r="G740" s="60">
        <v>719</v>
      </c>
      <c r="H740" s="82">
        <f ca="1"/>
        <v>0</v>
      </c>
      <c r="I740" s="82">
        <f t="shared" ca="1" si="62"/>
        <v>437</v>
      </c>
      <c r="J740" s="83">
        <f t="shared" ca="1" si="60"/>
        <v>0.60778859527120999</v>
      </c>
      <c r="N740" s="60">
        <v>719</v>
      </c>
      <c r="O740" s="82">
        <f ca="1">IF(AND(N740&lt;=U$22,RAND()&lt;=$H$7),1,0)</f>
        <v>0</v>
      </c>
      <c r="P740" s="82">
        <f t="shared" ca="1" si="63"/>
        <v>0</v>
      </c>
      <c r="Q740" s="84">
        <f t="shared" ca="1" si="64"/>
        <v>1</v>
      </c>
      <c r="R740" s="82">
        <f t="shared" ca="1" si="61"/>
        <v>0</v>
      </c>
      <c r="S740" s="82">
        <f ca="1">SUM(R$22:$R740)</f>
        <v>1906.8000000000013</v>
      </c>
      <c r="W740" s="60">
        <v>719</v>
      </c>
      <c r="X740" s="82">
        <f ca="1"/>
        <v>2847.6000000000072</v>
      </c>
    </row>
    <row r="741" spans="7:24" x14ac:dyDescent="0.2">
      <c r="G741" s="60">
        <v>720</v>
      </c>
      <c r="H741" s="82">
        <f ca="1"/>
        <v>0</v>
      </c>
      <c r="I741" s="82">
        <f t="shared" ca="1" si="62"/>
        <v>437</v>
      </c>
      <c r="J741" s="83">
        <f t="shared" ca="1" si="60"/>
        <v>0.6069444444444444</v>
      </c>
      <c r="N741" s="60">
        <v>720</v>
      </c>
      <c r="O741" s="82">
        <f ca="1">IF(AND(N741&lt;=U$22,RAND()&lt;=$H$7),1,0)</f>
        <v>1</v>
      </c>
      <c r="P741" s="82">
        <f t="shared" ca="1" si="63"/>
        <v>0</v>
      </c>
      <c r="Q741" s="84">
        <f t="shared" ca="1" si="64"/>
        <v>1</v>
      </c>
      <c r="R741" s="82">
        <f t="shared" ca="1" si="61"/>
        <v>4</v>
      </c>
      <c r="S741" s="82">
        <f ca="1">SUM(R$22:$R741)</f>
        <v>1910.8000000000013</v>
      </c>
      <c r="W741" s="60">
        <v>720</v>
      </c>
      <c r="X741" s="82">
        <f ca="1"/>
        <v>2756.8000000000088</v>
      </c>
    </row>
    <row r="742" spans="7:24" x14ac:dyDescent="0.2">
      <c r="G742" s="60">
        <v>721</v>
      </c>
      <c r="H742" s="82">
        <f ca="1"/>
        <v>1</v>
      </c>
      <c r="I742" s="82">
        <f t="shared" ca="1" si="62"/>
        <v>438</v>
      </c>
      <c r="J742" s="83">
        <f t="shared" ca="1" si="60"/>
        <v>0.60748959778085987</v>
      </c>
      <c r="N742" s="60">
        <v>721</v>
      </c>
      <c r="O742" s="82">
        <f ca="1">IF(AND(N742&lt;=U$22,RAND()&lt;=$H$7),1,0)</f>
        <v>1</v>
      </c>
      <c r="P742" s="82">
        <f t="shared" ca="1" si="63"/>
        <v>1</v>
      </c>
      <c r="Q742" s="84">
        <f t="shared" ca="1" si="64"/>
        <v>1</v>
      </c>
      <c r="R742" s="82">
        <f t="shared" ca="1" si="61"/>
        <v>4</v>
      </c>
      <c r="S742" s="82">
        <f ca="1">SUM(R$22:$R742)</f>
        <v>1914.8000000000013</v>
      </c>
      <c r="W742" s="60">
        <v>721</v>
      </c>
      <c r="X742" s="82">
        <f ca="1"/>
        <v>2853.6000000000067</v>
      </c>
    </row>
    <row r="743" spans="7:24" x14ac:dyDescent="0.2">
      <c r="G743" s="60">
        <v>722</v>
      </c>
      <c r="H743" s="82">
        <f ca="1"/>
        <v>1</v>
      </c>
      <c r="I743" s="82">
        <f t="shared" ca="1" si="62"/>
        <v>439</v>
      </c>
      <c r="J743" s="83">
        <f t="shared" ca="1" si="60"/>
        <v>0.60803324099722988</v>
      </c>
      <c r="N743" s="60">
        <v>722</v>
      </c>
      <c r="O743" s="82">
        <f ca="1">IF(AND(N743&lt;=U$22,RAND()&lt;=$H$7),1,0)</f>
        <v>1</v>
      </c>
      <c r="P743" s="82">
        <f t="shared" ca="1" si="63"/>
        <v>2</v>
      </c>
      <c r="Q743" s="84">
        <f t="shared" ca="1" si="64"/>
        <v>1.1000000000000001</v>
      </c>
      <c r="R743" s="82">
        <f t="shared" ca="1" si="61"/>
        <v>4.4000000000000004</v>
      </c>
      <c r="S743" s="82">
        <f ca="1">SUM(R$22:$R743)</f>
        <v>1919.2000000000014</v>
      </c>
      <c r="W743" s="60">
        <v>722</v>
      </c>
      <c r="X743" s="82">
        <f ca="1"/>
        <v>2672.8000000000075</v>
      </c>
    </row>
    <row r="744" spans="7:24" x14ac:dyDescent="0.2">
      <c r="G744" s="60">
        <v>723</v>
      </c>
      <c r="H744" s="82">
        <f ca="1"/>
        <v>1</v>
      </c>
      <c r="I744" s="82">
        <f t="shared" ca="1" si="62"/>
        <v>440</v>
      </c>
      <c r="J744" s="83">
        <f t="shared" ca="1" si="60"/>
        <v>0.60857538035961267</v>
      </c>
      <c r="N744" s="60">
        <v>723</v>
      </c>
      <c r="O744" s="82">
        <f ca="1">IF(AND(N744&lt;=U$22,RAND()&lt;=$H$7),1,0)</f>
        <v>1</v>
      </c>
      <c r="P744" s="82">
        <f t="shared" ca="1" si="63"/>
        <v>3</v>
      </c>
      <c r="Q744" s="84">
        <f t="shared" ca="1" si="64"/>
        <v>1.2</v>
      </c>
      <c r="R744" s="82">
        <f t="shared" ca="1" si="61"/>
        <v>4.8</v>
      </c>
      <c r="S744" s="82">
        <f ca="1">SUM(R$22:$R744)</f>
        <v>1924.0000000000014</v>
      </c>
      <c r="W744" s="60">
        <v>723</v>
      </c>
      <c r="X744" s="82">
        <f ca="1"/>
        <v>2704.0000000000082</v>
      </c>
    </row>
    <row r="745" spans="7:24" x14ac:dyDescent="0.2">
      <c r="G745" s="60">
        <v>724</v>
      </c>
      <c r="H745" s="82">
        <f ca="1"/>
        <v>1</v>
      </c>
      <c r="I745" s="82">
        <f t="shared" ca="1" si="62"/>
        <v>441</v>
      </c>
      <c r="J745" s="83">
        <f t="shared" ca="1" si="60"/>
        <v>0.60911602209944748</v>
      </c>
      <c r="N745" s="60">
        <v>724</v>
      </c>
      <c r="O745" s="82">
        <f ca="1">IF(AND(N745&lt;=U$22,RAND()&lt;=$H$7),1,0)</f>
        <v>0</v>
      </c>
      <c r="P745" s="82">
        <f t="shared" ca="1" si="63"/>
        <v>0</v>
      </c>
      <c r="Q745" s="84">
        <f t="shared" ca="1" si="64"/>
        <v>1</v>
      </c>
      <c r="R745" s="82">
        <f t="shared" ca="1" si="61"/>
        <v>0</v>
      </c>
      <c r="S745" s="82">
        <f ca="1">SUM(R$22:$R745)</f>
        <v>1924.0000000000014</v>
      </c>
      <c r="W745" s="60">
        <v>724</v>
      </c>
      <c r="X745" s="82">
        <f ca="1"/>
        <v>2692.8000000000061</v>
      </c>
    </row>
    <row r="746" spans="7:24" x14ac:dyDescent="0.2">
      <c r="G746" s="60">
        <v>725</v>
      </c>
      <c r="H746" s="82">
        <f ca="1"/>
        <v>1</v>
      </c>
      <c r="I746" s="82">
        <f t="shared" ca="1" si="62"/>
        <v>442</v>
      </c>
      <c r="J746" s="83">
        <f t="shared" ca="1" si="60"/>
        <v>0.60965517241379308</v>
      </c>
      <c r="N746" s="60">
        <v>725</v>
      </c>
      <c r="O746" s="82">
        <f ca="1">IF(AND(N746&lt;=U$22,RAND()&lt;=$H$7),1,0)</f>
        <v>0</v>
      </c>
      <c r="P746" s="82">
        <f t="shared" ca="1" si="63"/>
        <v>0</v>
      </c>
      <c r="Q746" s="84">
        <f t="shared" ca="1" si="64"/>
        <v>1</v>
      </c>
      <c r="R746" s="82">
        <f t="shared" ca="1" si="61"/>
        <v>0</v>
      </c>
      <c r="S746" s="82">
        <f ca="1">SUM(R$22:$R746)</f>
        <v>1924.0000000000014</v>
      </c>
      <c r="W746" s="60">
        <v>725</v>
      </c>
      <c r="X746" s="82">
        <f ca="1"/>
        <v>2727.6000000000076</v>
      </c>
    </row>
    <row r="747" spans="7:24" x14ac:dyDescent="0.2">
      <c r="G747" s="60">
        <v>726</v>
      </c>
      <c r="H747" s="82">
        <f ca="1"/>
        <v>0</v>
      </c>
      <c r="I747" s="82">
        <f t="shared" ca="1" si="62"/>
        <v>442</v>
      </c>
      <c r="J747" s="83">
        <f t="shared" ca="1" si="60"/>
        <v>0.60881542699724522</v>
      </c>
      <c r="N747" s="60">
        <v>726</v>
      </c>
      <c r="O747" s="82">
        <f ca="1">IF(AND(N747&lt;=U$22,RAND()&lt;=$H$7),1,0)</f>
        <v>1</v>
      </c>
      <c r="P747" s="82">
        <f t="shared" ca="1" si="63"/>
        <v>0</v>
      </c>
      <c r="Q747" s="84">
        <f t="shared" ca="1" si="64"/>
        <v>1</v>
      </c>
      <c r="R747" s="82">
        <f t="shared" ca="1" si="61"/>
        <v>4</v>
      </c>
      <c r="S747" s="82">
        <f ca="1">SUM(R$22:$R747)</f>
        <v>1928.0000000000014</v>
      </c>
      <c r="W747" s="60">
        <v>726</v>
      </c>
      <c r="X747" s="82">
        <f ca="1"/>
        <v>2605.6000000000085</v>
      </c>
    </row>
    <row r="748" spans="7:24" x14ac:dyDescent="0.2">
      <c r="G748" s="60">
        <v>727</v>
      </c>
      <c r="H748" s="82">
        <f ca="1"/>
        <v>1</v>
      </c>
      <c r="I748" s="82">
        <f t="shared" ca="1" si="62"/>
        <v>443</v>
      </c>
      <c r="J748" s="83">
        <f t="shared" ca="1" si="60"/>
        <v>0.60935350756533702</v>
      </c>
      <c r="N748" s="60">
        <v>727</v>
      </c>
      <c r="O748" s="82">
        <f ca="1">IF(AND(N748&lt;=U$22,RAND()&lt;=$H$7),1,0)</f>
        <v>1</v>
      </c>
      <c r="P748" s="82">
        <f t="shared" ca="1" si="63"/>
        <v>1</v>
      </c>
      <c r="Q748" s="84">
        <f t="shared" ca="1" si="64"/>
        <v>1</v>
      </c>
      <c r="R748" s="82">
        <f t="shared" ca="1" si="61"/>
        <v>4</v>
      </c>
      <c r="S748" s="82">
        <f ca="1">SUM(R$22:$R748)</f>
        <v>1932.0000000000014</v>
      </c>
      <c r="W748" s="60">
        <v>727</v>
      </c>
      <c r="X748" s="82">
        <f ca="1"/>
        <v>2805.2000000000066</v>
      </c>
    </row>
    <row r="749" spans="7:24" x14ac:dyDescent="0.2">
      <c r="G749" s="60">
        <v>728</v>
      </c>
      <c r="H749" s="82">
        <f ca="1"/>
        <v>0</v>
      </c>
      <c r="I749" s="82">
        <f t="shared" ca="1" si="62"/>
        <v>443</v>
      </c>
      <c r="J749" s="83">
        <f t="shared" ca="1" si="60"/>
        <v>0.60851648351648346</v>
      </c>
      <c r="N749" s="60">
        <v>728</v>
      </c>
      <c r="O749" s="82">
        <f ca="1">IF(AND(N749&lt;=U$22,RAND()&lt;=$H$7),1,0)</f>
        <v>0</v>
      </c>
      <c r="P749" s="82">
        <f t="shared" ca="1" si="63"/>
        <v>0</v>
      </c>
      <c r="Q749" s="84">
        <f t="shared" ca="1" si="64"/>
        <v>1</v>
      </c>
      <c r="R749" s="82">
        <f t="shared" ca="1" si="61"/>
        <v>0</v>
      </c>
      <c r="S749" s="82">
        <f ca="1">SUM(R$22:$R749)</f>
        <v>1932.0000000000014</v>
      </c>
      <c r="W749" s="60">
        <v>728</v>
      </c>
      <c r="X749" s="82">
        <f ca="1"/>
        <v>2679.6000000000072</v>
      </c>
    </row>
    <row r="750" spans="7:24" x14ac:dyDescent="0.2">
      <c r="G750" s="60">
        <v>729</v>
      </c>
      <c r="H750" s="82">
        <f ca="1"/>
        <v>1</v>
      </c>
      <c r="I750" s="82">
        <f t="shared" ca="1" si="62"/>
        <v>444</v>
      </c>
      <c r="J750" s="83">
        <f t="shared" ca="1" si="60"/>
        <v>0.60905349794238683</v>
      </c>
      <c r="N750" s="60">
        <v>729</v>
      </c>
      <c r="O750" s="82">
        <f ca="1">IF(AND(N750&lt;=U$22,RAND()&lt;=$H$7),1,0)</f>
        <v>0</v>
      </c>
      <c r="P750" s="82">
        <f t="shared" ca="1" si="63"/>
        <v>0</v>
      </c>
      <c r="Q750" s="84">
        <f t="shared" ca="1" si="64"/>
        <v>1</v>
      </c>
      <c r="R750" s="82">
        <f t="shared" ca="1" si="61"/>
        <v>0</v>
      </c>
      <c r="S750" s="82">
        <f ca="1">SUM(R$22:$R750)</f>
        <v>1932.0000000000014</v>
      </c>
      <c r="W750" s="60">
        <v>729</v>
      </c>
      <c r="X750" s="82">
        <f ca="1"/>
        <v>2704.8000000000056</v>
      </c>
    </row>
    <row r="751" spans="7:24" x14ac:dyDescent="0.2">
      <c r="G751" s="60">
        <v>730</v>
      </c>
      <c r="H751" s="82">
        <f ca="1"/>
        <v>0</v>
      </c>
      <c r="I751" s="82">
        <f t="shared" ca="1" si="62"/>
        <v>444</v>
      </c>
      <c r="J751" s="83">
        <f t="shared" ca="1" si="60"/>
        <v>0.60821917808219184</v>
      </c>
      <c r="N751" s="60">
        <v>730</v>
      </c>
      <c r="O751" s="82">
        <f ca="1">IF(AND(N751&lt;=U$22,RAND()&lt;=$H$7),1,0)</f>
        <v>1</v>
      </c>
      <c r="P751" s="82">
        <f t="shared" ca="1" si="63"/>
        <v>0</v>
      </c>
      <c r="Q751" s="84">
        <f t="shared" ca="1" si="64"/>
        <v>1</v>
      </c>
      <c r="R751" s="82">
        <f t="shared" ca="1" si="61"/>
        <v>4</v>
      </c>
      <c r="S751" s="82">
        <f ca="1">SUM(R$22:$R751)</f>
        <v>1936.0000000000014</v>
      </c>
      <c r="W751" s="60">
        <v>730</v>
      </c>
      <c r="X751" s="82">
        <f ca="1"/>
        <v>2802.8000000000084</v>
      </c>
    </row>
    <row r="752" spans="7:24" x14ac:dyDescent="0.2">
      <c r="G752" s="60">
        <v>731</v>
      </c>
      <c r="H752" s="82">
        <f ca="1"/>
        <v>1</v>
      </c>
      <c r="I752" s="82">
        <f t="shared" ca="1" si="62"/>
        <v>445</v>
      </c>
      <c r="J752" s="83">
        <f t="shared" ca="1" si="60"/>
        <v>0.60875512995896031</v>
      </c>
      <c r="N752" s="60">
        <v>731</v>
      </c>
      <c r="O752" s="82">
        <f ca="1">IF(AND(N752&lt;=U$22,RAND()&lt;=$H$7),1,0)</f>
        <v>0</v>
      </c>
      <c r="P752" s="82">
        <f t="shared" ca="1" si="63"/>
        <v>0</v>
      </c>
      <c r="Q752" s="84">
        <f t="shared" ca="1" si="64"/>
        <v>1</v>
      </c>
      <c r="R752" s="82">
        <f t="shared" ca="1" si="61"/>
        <v>0</v>
      </c>
      <c r="S752" s="82">
        <f ca="1">SUM(R$22:$R752)</f>
        <v>1936.0000000000014</v>
      </c>
      <c r="W752" s="60">
        <v>731</v>
      </c>
      <c r="X752" s="82">
        <f ca="1"/>
        <v>2730.800000000007</v>
      </c>
    </row>
    <row r="753" spans="7:24" x14ac:dyDescent="0.2">
      <c r="G753" s="60">
        <v>732</v>
      </c>
      <c r="H753" s="82">
        <f ca="1"/>
        <v>1</v>
      </c>
      <c r="I753" s="82">
        <f t="shared" ca="1" si="62"/>
        <v>446</v>
      </c>
      <c r="J753" s="83">
        <f t="shared" ca="1" si="60"/>
        <v>0.60928961748633881</v>
      </c>
      <c r="N753" s="60">
        <v>732</v>
      </c>
      <c r="O753" s="82">
        <f ca="1">IF(AND(N753&lt;=U$22,RAND()&lt;=$H$7),1,0)</f>
        <v>0</v>
      </c>
      <c r="P753" s="82">
        <f t="shared" ca="1" si="63"/>
        <v>0</v>
      </c>
      <c r="Q753" s="84">
        <f t="shared" ca="1" si="64"/>
        <v>1</v>
      </c>
      <c r="R753" s="82">
        <f t="shared" ca="1" si="61"/>
        <v>0</v>
      </c>
      <c r="S753" s="82">
        <f ca="1">SUM(R$22:$R753)</f>
        <v>1936.0000000000014</v>
      </c>
      <c r="W753" s="60">
        <v>732</v>
      </c>
      <c r="X753" s="82">
        <f ca="1"/>
        <v>2868.4000000000055</v>
      </c>
    </row>
    <row r="754" spans="7:24" x14ac:dyDescent="0.2">
      <c r="G754" s="60">
        <v>733</v>
      </c>
      <c r="H754" s="82">
        <f ca="1"/>
        <v>1</v>
      </c>
      <c r="I754" s="82">
        <f t="shared" ca="1" si="62"/>
        <v>447</v>
      </c>
      <c r="J754" s="83">
        <f t="shared" ca="1" si="60"/>
        <v>0.60982264665757158</v>
      </c>
      <c r="N754" s="60">
        <v>733</v>
      </c>
      <c r="O754" s="82">
        <f ca="1">IF(AND(N754&lt;=U$22,RAND()&lt;=$H$7),1,0)</f>
        <v>0</v>
      </c>
      <c r="P754" s="82">
        <f t="shared" ca="1" si="63"/>
        <v>0</v>
      </c>
      <c r="Q754" s="84">
        <f t="shared" ca="1" si="64"/>
        <v>1</v>
      </c>
      <c r="R754" s="82">
        <f t="shared" ca="1" si="61"/>
        <v>0</v>
      </c>
      <c r="S754" s="82">
        <f ca="1">SUM(R$22:$R754)</f>
        <v>1936.0000000000014</v>
      </c>
      <c r="W754" s="60">
        <v>733</v>
      </c>
      <c r="X754" s="82">
        <f ca="1"/>
        <v>2783.6000000000067</v>
      </c>
    </row>
    <row r="755" spans="7:24" x14ac:dyDescent="0.2">
      <c r="G755" s="60">
        <v>734</v>
      </c>
      <c r="H755" s="82">
        <f ca="1"/>
        <v>1</v>
      </c>
      <c r="I755" s="82">
        <f t="shared" ca="1" si="62"/>
        <v>448</v>
      </c>
      <c r="J755" s="83">
        <f t="shared" ca="1" si="60"/>
        <v>0.61035422343324253</v>
      </c>
      <c r="N755" s="60">
        <v>734</v>
      </c>
      <c r="O755" s="82">
        <f ca="1">IF(AND(N755&lt;=U$22,RAND()&lt;=$H$7),1,0)</f>
        <v>1</v>
      </c>
      <c r="P755" s="82">
        <f t="shared" ca="1" si="63"/>
        <v>0</v>
      </c>
      <c r="Q755" s="84">
        <f t="shared" ca="1" si="64"/>
        <v>1</v>
      </c>
      <c r="R755" s="82">
        <f t="shared" ca="1" si="61"/>
        <v>4</v>
      </c>
      <c r="S755" s="82">
        <f ca="1">SUM(R$22:$R755)</f>
        <v>1940.0000000000014</v>
      </c>
      <c r="W755" s="60">
        <v>734</v>
      </c>
      <c r="X755" s="82">
        <f ca="1"/>
        <v>2754.0000000000055</v>
      </c>
    </row>
    <row r="756" spans="7:24" x14ac:dyDescent="0.2">
      <c r="G756" s="60">
        <v>735</v>
      </c>
      <c r="H756" s="82">
        <f ca="1"/>
        <v>1</v>
      </c>
      <c r="I756" s="82">
        <f t="shared" ca="1" si="62"/>
        <v>449</v>
      </c>
      <c r="J756" s="83">
        <f t="shared" ca="1" si="60"/>
        <v>0.61088435374149663</v>
      </c>
      <c r="N756" s="60">
        <v>735</v>
      </c>
      <c r="O756" s="82">
        <f ca="1">IF(AND(N756&lt;=U$22,RAND()&lt;=$H$7),1,0)</f>
        <v>1</v>
      </c>
      <c r="P756" s="82">
        <f t="shared" ca="1" si="63"/>
        <v>1</v>
      </c>
      <c r="Q756" s="84">
        <f t="shared" ca="1" si="64"/>
        <v>1</v>
      </c>
      <c r="R756" s="82">
        <f t="shared" ca="1" si="61"/>
        <v>4</v>
      </c>
      <c r="S756" s="82">
        <f ca="1">SUM(R$22:$R756)</f>
        <v>1944.0000000000014</v>
      </c>
      <c r="W756" s="60">
        <v>735</v>
      </c>
      <c r="X756" s="82">
        <f ca="1"/>
        <v>2832.800000000007</v>
      </c>
    </row>
    <row r="757" spans="7:24" x14ac:dyDescent="0.2">
      <c r="G757" s="60">
        <v>736</v>
      </c>
      <c r="H757" s="82">
        <f ca="1"/>
        <v>1</v>
      </c>
      <c r="I757" s="82">
        <f t="shared" ca="1" si="62"/>
        <v>450</v>
      </c>
      <c r="J757" s="83">
        <f t="shared" ca="1" si="60"/>
        <v>0.61141304347826086</v>
      </c>
      <c r="N757" s="60">
        <v>736</v>
      </c>
      <c r="O757" s="82">
        <f ca="1">IF(AND(N757&lt;=U$22,RAND()&lt;=$H$7),1,0)</f>
        <v>1</v>
      </c>
      <c r="P757" s="82">
        <f t="shared" ca="1" si="63"/>
        <v>2</v>
      </c>
      <c r="Q757" s="84">
        <f t="shared" ca="1" si="64"/>
        <v>1.1000000000000001</v>
      </c>
      <c r="R757" s="82">
        <f t="shared" ca="1" si="61"/>
        <v>4.4000000000000004</v>
      </c>
      <c r="S757" s="82">
        <f ca="1">SUM(R$22:$R757)</f>
        <v>1948.4000000000015</v>
      </c>
      <c r="W757" s="60">
        <v>736</v>
      </c>
      <c r="X757" s="82">
        <f ca="1"/>
        <v>2684.8000000000065</v>
      </c>
    </row>
    <row r="758" spans="7:24" x14ac:dyDescent="0.2">
      <c r="G758" s="60">
        <v>737</v>
      </c>
      <c r="H758" s="82">
        <f ca="1"/>
        <v>1</v>
      </c>
      <c r="I758" s="82">
        <f t="shared" ca="1" si="62"/>
        <v>451</v>
      </c>
      <c r="J758" s="83">
        <f t="shared" ca="1" si="60"/>
        <v>0.61194029850746268</v>
      </c>
      <c r="N758" s="60">
        <v>737</v>
      </c>
      <c r="O758" s="82">
        <f ca="1">IF(AND(N758&lt;=U$22,RAND()&lt;=$H$7),1,0)</f>
        <v>0</v>
      </c>
      <c r="P758" s="82">
        <f t="shared" ca="1" si="63"/>
        <v>0</v>
      </c>
      <c r="Q758" s="84">
        <f t="shared" ca="1" si="64"/>
        <v>1</v>
      </c>
      <c r="R758" s="82">
        <f t="shared" ca="1" si="61"/>
        <v>0</v>
      </c>
      <c r="S758" s="82">
        <f ca="1">SUM(R$22:$R758)</f>
        <v>1948.4000000000015</v>
      </c>
      <c r="W758" s="60">
        <v>737</v>
      </c>
      <c r="X758" s="82">
        <f ca="1"/>
        <v>2873.600000000009</v>
      </c>
    </row>
    <row r="759" spans="7:24" x14ac:dyDescent="0.2">
      <c r="G759" s="60">
        <v>738</v>
      </c>
      <c r="H759" s="82">
        <f ca="1"/>
        <v>0</v>
      </c>
      <c r="I759" s="82">
        <f t="shared" ca="1" si="62"/>
        <v>451</v>
      </c>
      <c r="J759" s="83">
        <f t="shared" ca="1" si="60"/>
        <v>0.61111111111111116</v>
      </c>
      <c r="N759" s="60">
        <v>738</v>
      </c>
      <c r="O759" s="82">
        <f ca="1">IF(AND(N759&lt;=U$22,RAND()&lt;=$H$7),1,0)</f>
        <v>1</v>
      </c>
      <c r="P759" s="82">
        <f t="shared" ca="1" si="63"/>
        <v>0</v>
      </c>
      <c r="Q759" s="84">
        <f t="shared" ca="1" si="64"/>
        <v>1</v>
      </c>
      <c r="R759" s="82">
        <f t="shared" ca="1" si="61"/>
        <v>4</v>
      </c>
      <c r="S759" s="82">
        <f ca="1">SUM(R$22:$R759)</f>
        <v>1952.4000000000015</v>
      </c>
      <c r="W759" s="60">
        <v>738</v>
      </c>
      <c r="X759" s="82">
        <f ca="1"/>
        <v>2862.4000000000078</v>
      </c>
    </row>
    <row r="760" spans="7:24" x14ac:dyDescent="0.2">
      <c r="G760" s="60">
        <v>739</v>
      </c>
      <c r="H760" s="82">
        <f ca="1"/>
        <v>0</v>
      </c>
      <c r="I760" s="82">
        <f t="shared" ca="1" si="62"/>
        <v>451</v>
      </c>
      <c r="J760" s="83">
        <f t="shared" ca="1" si="60"/>
        <v>0.6102841677943166</v>
      </c>
      <c r="N760" s="60">
        <v>739</v>
      </c>
      <c r="O760" s="82">
        <f ca="1">IF(AND(N760&lt;=U$22,RAND()&lt;=$H$7),1,0)</f>
        <v>1</v>
      </c>
      <c r="P760" s="82">
        <f t="shared" ca="1" si="63"/>
        <v>1</v>
      </c>
      <c r="Q760" s="84">
        <f t="shared" ca="1" si="64"/>
        <v>1</v>
      </c>
      <c r="R760" s="82">
        <f t="shared" ca="1" si="61"/>
        <v>4</v>
      </c>
      <c r="S760" s="82">
        <f ca="1">SUM(R$22:$R760)</f>
        <v>1956.4000000000015</v>
      </c>
      <c r="W760" s="60">
        <v>739</v>
      </c>
      <c r="X760" s="82">
        <f ca="1"/>
        <v>2850.8000000000088</v>
      </c>
    </row>
    <row r="761" spans="7:24" x14ac:dyDescent="0.2">
      <c r="G761" s="60">
        <v>740</v>
      </c>
      <c r="H761" s="82">
        <f ca="1"/>
        <v>0</v>
      </c>
      <c r="I761" s="82">
        <f t="shared" ca="1" si="62"/>
        <v>451</v>
      </c>
      <c r="J761" s="83">
        <f t="shared" ca="1" si="60"/>
        <v>0.60945945945945945</v>
      </c>
      <c r="N761" s="60">
        <v>740</v>
      </c>
      <c r="O761" s="82">
        <f ca="1">IF(AND(N761&lt;=U$22,RAND()&lt;=$H$7),1,0)</f>
        <v>1</v>
      </c>
      <c r="P761" s="82">
        <f t="shared" ca="1" si="63"/>
        <v>2</v>
      </c>
      <c r="Q761" s="84">
        <f t="shared" ca="1" si="64"/>
        <v>1.1000000000000001</v>
      </c>
      <c r="R761" s="82">
        <f t="shared" ca="1" si="61"/>
        <v>4.4000000000000004</v>
      </c>
      <c r="S761" s="82">
        <f ca="1">SUM(R$22:$R761)</f>
        <v>1960.8000000000015</v>
      </c>
      <c r="W761" s="60">
        <v>740</v>
      </c>
      <c r="X761" s="82">
        <f ca="1"/>
        <v>2734.8000000000075</v>
      </c>
    </row>
    <row r="762" spans="7:24" x14ac:dyDescent="0.2">
      <c r="G762" s="60">
        <v>741</v>
      </c>
      <c r="H762" s="82">
        <f ca="1"/>
        <v>1</v>
      </c>
      <c r="I762" s="82">
        <f t="shared" ca="1" si="62"/>
        <v>452</v>
      </c>
      <c r="J762" s="83">
        <f t="shared" ca="1" si="60"/>
        <v>0.60998650472334681</v>
      </c>
      <c r="N762" s="60">
        <v>741</v>
      </c>
      <c r="O762" s="82">
        <f ca="1">IF(AND(N762&lt;=U$22,RAND()&lt;=$H$7),1,0)</f>
        <v>1</v>
      </c>
      <c r="P762" s="82">
        <f t="shared" ca="1" si="63"/>
        <v>3</v>
      </c>
      <c r="Q762" s="84">
        <f t="shared" ca="1" si="64"/>
        <v>1.2</v>
      </c>
      <c r="R762" s="82">
        <f t="shared" ca="1" si="61"/>
        <v>4.8</v>
      </c>
      <c r="S762" s="82">
        <f ca="1">SUM(R$22:$R762)</f>
        <v>1965.6000000000015</v>
      </c>
      <c r="W762" s="60">
        <v>741</v>
      </c>
      <c r="X762" s="82">
        <f ca="1"/>
        <v>2794.4000000000087</v>
      </c>
    </row>
    <row r="763" spans="7:24" x14ac:dyDescent="0.2">
      <c r="G763" s="60">
        <v>742</v>
      </c>
      <c r="H763" s="82">
        <f ca="1"/>
        <v>1</v>
      </c>
      <c r="I763" s="82">
        <f t="shared" ca="1" si="62"/>
        <v>453</v>
      </c>
      <c r="J763" s="83">
        <f t="shared" ca="1" si="60"/>
        <v>0.61051212938005395</v>
      </c>
      <c r="N763" s="60">
        <v>742</v>
      </c>
      <c r="O763" s="82">
        <f ca="1">IF(AND(N763&lt;=U$22,RAND()&lt;=$H$7),1,0)</f>
        <v>0</v>
      </c>
      <c r="P763" s="82">
        <f t="shared" ca="1" si="63"/>
        <v>0</v>
      </c>
      <c r="Q763" s="84">
        <f t="shared" ca="1" si="64"/>
        <v>1</v>
      </c>
      <c r="R763" s="82">
        <f t="shared" ca="1" si="61"/>
        <v>0</v>
      </c>
      <c r="S763" s="82">
        <f ca="1">SUM(R$22:$R763)</f>
        <v>1965.6000000000015</v>
      </c>
      <c r="W763" s="60">
        <v>742</v>
      </c>
      <c r="X763" s="82">
        <f ca="1"/>
        <v>2727.6000000000072</v>
      </c>
    </row>
    <row r="764" spans="7:24" x14ac:dyDescent="0.2">
      <c r="G764" s="60">
        <v>743</v>
      </c>
      <c r="H764" s="82">
        <f ca="1"/>
        <v>0</v>
      </c>
      <c r="I764" s="82">
        <f t="shared" ca="1" si="62"/>
        <v>453</v>
      </c>
      <c r="J764" s="83">
        <f t="shared" ca="1" si="60"/>
        <v>0.60969044414535667</v>
      </c>
      <c r="N764" s="60">
        <v>743</v>
      </c>
      <c r="O764" s="82">
        <f ca="1">IF(AND(N764&lt;=U$22,RAND()&lt;=$H$7),1,0)</f>
        <v>1</v>
      </c>
      <c r="P764" s="82">
        <f t="shared" ca="1" si="63"/>
        <v>0</v>
      </c>
      <c r="Q764" s="84">
        <f t="shared" ca="1" si="64"/>
        <v>1</v>
      </c>
      <c r="R764" s="82">
        <f t="shared" ca="1" si="61"/>
        <v>4</v>
      </c>
      <c r="S764" s="82">
        <f ca="1">SUM(R$22:$R764)</f>
        <v>1969.6000000000015</v>
      </c>
      <c r="W764" s="60">
        <v>743</v>
      </c>
      <c r="X764" s="82">
        <f ca="1"/>
        <v>2790.8000000000075</v>
      </c>
    </row>
    <row r="765" spans="7:24" x14ac:dyDescent="0.2">
      <c r="G765" s="60">
        <v>744</v>
      </c>
      <c r="H765" s="82">
        <f ca="1"/>
        <v>1</v>
      </c>
      <c r="I765" s="82">
        <f t="shared" ca="1" si="62"/>
        <v>454</v>
      </c>
      <c r="J765" s="83">
        <f t="shared" ca="1" si="60"/>
        <v>0.61021505376344087</v>
      </c>
      <c r="N765" s="60">
        <v>744</v>
      </c>
      <c r="O765" s="82">
        <f ca="1">IF(AND(N765&lt;=U$22,RAND()&lt;=$H$7),1,0)</f>
        <v>0</v>
      </c>
      <c r="P765" s="82">
        <f t="shared" ca="1" si="63"/>
        <v>0</v>
      </c>
      <c r="Q765" s="84">
        <f t="shared" ca="1" si="64"/>
        <v>1</v>
      </c>
      <c r="R765" s="82">
        <f t="shared" ca="1" si="61"/>
        <v>0</v>
      </c>
      <c r="S765" s="82">
        <f ca="1">SUM(R$22:$R765)</f>
        <v>1969.6000000000015</v>
      </c>
      <c r="W765" s="60">
        <v>744</v>
      </c>
      <c r="X765" s="82">
        <f ca="1"/>
        <v>2982.800000000007</v>
      </c>
    </row>
    <row r="766" spans="7:24" x14ac:dyDescent="0.2">
      <c r="G766" s="60">
        <v>745</v>
      </c>
      <c r="H766" s="82">
        <f ca="1"/>
        <v>1</v>
      </c>
      <c r="I766" s="82">
        <f t="shared" ca="1" si="62"/>
        <v>455</v>
      </c>
      <c r="J766" s="83">
        <f t="shared" ca="1" si="60"/>
        <v>0.61073825503355705</v>
      </c>
      <c r="N766" s="60">
        <v>745</v>
      </c>
      <c r="O766" s="82">
        <f ca="1">IF(AND(N766&lt;=U$22,RAND()&lt;=$H$7),1,0)</f>
        <v>1</v>
      </c>
      <c r="P766" s="82">
        <f t="shared" ca="1" si="63"/>
        <v>0</v>
      </c>
      <c r="Q766" s="84">
        <f t="shared" ca="1" si="64"/>
        <v>1</v>
      </c>
      <c r="R766" s="82">
        <f t="shared" ca="1" si="61"/>
        <v>4</v>
      </c>
      <c r="S766" s="82">
        <f ca="1">SUM(R$22:$R766)</f>
        <v>1973.6000000000015</v>
      </c>
      <c r="W766" s="60">
        <v>745</v>
      </c>
      <c r="X766" s="82">
        <f ca="1"/>
        <v>2681.6000000000067</v>
      </c>
    </row>
    <row r="767" spans="7:24" x14ac:dyDescent="0.2">
      <c r="G767" s="60">
        <v>746</v>
      </c>
      <c r="H767" s="82">
        <f ca="1"/>
        <v>0</v>
      </c>
      <c r="I767" s="82">
        <f t="shared" ca="1" si="62"/>
        <v>455</v>
      </c>
      <c r="J767" s="83">
        <f t="shared" ca="1" si="60"/>
        <v>0.60991957104557637</v>
      </c>
      <c r="N767" s="60">
        <v>746</v>
      </c>
      <c r="O767" s="82">
        <f ca="1">IF(AND(N767&lt;=U$22,RAND()&lt;=$H$7),1,0)</f>
        <v>1</v>
      </c>
      <c r="P767" s="82">
        <f t="shared" ca="1" si="63"/>
        <v>1</v>
      </c>
      <c r="Q767" s="84">
        <f t="shared" ca="1" si="64"/>
        <v>1</v>
      </c>
      <c r="R767" s="82">
        <f t="shared" ca="1" si="61"/>
        <v>4</v>
      </c>
      <c r="S767" s="82">
        <f ca="1">SUM(R$22:$R767)</f>
        <v>1977.6000000000015</v>
      </c>
      <c r="W767" s="60">
        <v>746</v>
      </c>
      <c r="X767" s="82">
        <f ca="1"/>
        <v>2740.0000000000086</v>
      </c>
    </row>
    <row r="768" spans="7:24" x14ac:dyDescent="0.2">
      <c r="G768" s="60">
        <v>747</v>
      </c>
      <c r="H768" s="82">
        <f ca="1"/>
        <v>0</v>
      </c>
      <c r="I768" s="82">
        <f t="shared" ca="1" si="62"/>
        <v>455</v>
      </c>
      <c r="J768" s="83">
        <f t="shared" ca="1" si="60"/>
        <v>0.60910307898259708</v>
      </c>
      <c r="N768" s="60">
        <v>747</v>
      </c>
      <c r="O768" s="82">
        <f ca="1">IF(AND(N768&lt;=U$22,RAND()&lt;=$H$7),1,0)</f>
        <v>1</v>
      </c>
      <c r="P768" s="82">
        <f t="shared" ca="1" si="63"/>
        <v>2</v>
      </c>
      <c r="Q768" s="84">
        <f t="shared" ca="1" si="64"/>
        <v>1.1000000000000001</v>
      </c>
      <c r="R768" s="82">
        <f t="shared" ca="1" si="61"/>
        <v>4.4000000000000004</v>
      </c>
      <c r="S768" s="82">
        <f ca="1">SUM(R$22:$R768)</f>
        <v>1982.0000000000016</v>
      </c>
      <c r="W768" s="60">
        <v>747</v>
      </c>
      <c r="X768" s="82">
        <f ca="1"/>
        <v>2763.6000000000081</v>
      </c>
    </row>
    <row r="769" spans="7:24" x14ac:dyDescent="0.2">
      <c r="G769" s="60">
        <v>748</v>
      </c>
      <c r="H769" s="82">
        <f ca="1"/>
        <v>0</v>
      </c>
      <c r="I769" s="82">
        <f t="shared" ca="1" si="62"/>
        <v>455</v>
      </c>
      <c r="J769" s="83">
        <f t="shared" ca="1" si="60"/>
        <v>0.60828877005347592</v>
      </c>
      <c r="N769" s="60">
        <v>748</v>
      </c>
      <c r="O769" s="82">
        <f ca="1">IF(AND(N769&lt;=U$22,RAND()&lt;=$H$7),1,0)</f>
        <v>0</v>
      </c>
      <c r="P769" s="82">
        <f t="shared" ca="1" si="63"/>
        <v>0</v>
      </c>
      <c r="Q769" s="84">
        <f t="shared" ca="1" si="64"/>
        <v>1</v>
      </c>
      <c r="R769" s="82">
        <f t="shared" ca="1" si="61"/>
        <v>0</v>
      </c>
      <c r="S769" s="82">
        <f ca="1">SUM(R$22:$R769)</f>
        <v>1982.0000000000016</v>
      </c>
      <c r="W769" s="60">
        <v>748</v>
      </c>
      <c r="X769" s="82">
        <f ca="1"/>
        <v>2654.8000000000084</v>
      </c>
    </row>
    <row r="770" spans="7:24" x14ac:dyDescent="0.2">
      <c r="G770" s="60">
        <v>749</v>
      </c>
      <c r="H770" s="82">
        <f ca="1"/>
        <v>0</v>
      </c>
      <c r="I770" s="82">
        <f t="shared" ca="1" si="62"/>
        <v>455</v>
      </c>
      <c r="J770" s="83">
        <f t="shared" ca="1" si="60"/>
        <v>0.60747663551401865</v>
      </c>
      <c r="N770" s="60">
        <v>749</v>
      </c>
      <c r="O770" s="82">
        <f ca="1">IF(AND(N770&lt;=U$22,RAND()&lt;=$H$7),1,0)</f>
        <v>1</v>
      </c>
      <c r="P770" s="82">
        <f t="shared" ca="1" si="63"/>
        <v>0</v>
      </c>
      <c r="Q770" s="84">
        <f t="shared" ca="1" si="64"/>
        <v>1</v>
      </c>
      <c r="R770" s="82">
        <f t="shared" ca="1" si="61"/>
        <v>4</v>
      </c>
      <c r="S770" s="82">
        <f ca="1">SUM(R$22:$R770)</f>
        <v>1986.0000000000016</v>
      </c>
      <c r="W770" s="60">
        <v>749</v>
      </c>
      <c r="X770" s="82">
        <f ca="1"/>
        <v>2755.2000000000075</v>
      </c>
    </row>
    <row r="771" spans="7:24" x14ac:dyDescent="0.2">
      <c r="G771" s="60">
        <v>750</v>
      </c>
      <c r="H771" s="82">
        <f ca="1"/>
        <v>1</v>
      </c>
      <c r="I771" s="82">
        <f t="shared" ca="1" si="62"/>
        <v>456</v>
      </c>
      <c r="J771" s="83">
        <f t="shared" ca="1" si="60"/>
        <v>0.60799999999999998</v>
      </c>
      <c r="N771" s="60">
        <v>750</v>
      </c>
      <c r="O771" s="82">
        <f ca="1">IF(AND(N771&lt;=U$22,RAND()&lt;=$H$7),1,0)</f>
        <v>1</v>
      </c>
      <c r="P771" s="82">
        <f t="shared" ca="1" si="63"/>
        <v>1</v>
      </c>
      <c r="Q771" s="84">
        <f t="shared" ca="1" si="64"/>
        <v>1</v>
      </c>
      <c r="R771" s="82">
        <f t="shared" ca="1" si="61"/>
        <v>4</v>
      </c>
      <c r="S771" s="82">
        <f ca="1">SUM(R$22:$R771)</f>
        <v>1990.0000000000016</v>
      </c>
      <c r="W771" s="60">
        <v>750</v>
      </c>
      <c r="X771" s="82">
        <f ca="1"/>
        <v>2604.8000000000084</v>
      </c>
    </row>
    <row r="772" spans="7:24" x14ac:dyDescent="0.2">
      <c r="G772" s="60">
        <v>751</v>
      </c>
      <c r="H772" s="82">
        <f ca="1"/>
        <v>1</v>
      </c>
      <c r="I772" s="82">
        <f t="shared" ca="1" si="62"/>
        <v>457</v>
      </c>
      <c r="J772" s="83">
        <f t="shared" ca="1" si="60"/>
        <v>0.60852197070572567</v>
      </c>
      <c r="N772" s="60">
        <v>751</v>
      </c>
      <c r="O772" s="82">
        <f ca="1">IF(AND(N772&lt;=U$22,RAND()&lt;=$H$7),1,0)</f>
        <v>1</v>
      </c>
      <c r="P772" s="82">
        <f t="shared" ca="1" si="63"/>
        <v>2</v>
      </c>
      <c r="Q772" s="84">
        <f t="shared" ca="1" si="64"/>
        <v>1.1000000000000001</v>
      </c>
      <c r="R772" s="82">
        <f t="shared" ca="1" si="61"/>
        <v>4.4000000000000004</v>
      </c>
      <c r="S772" s="82">
        <f ca="1">SUM(R$22:$R772)</f>
        <v>1994.4000000000017</v>
      </c>
      <c r="W772" s="60">
        <v>751</v>
      </c>
      <c r="X772" s="82">
        <f ca="1"/>
        <v>3011.2000000000062</v>
      </c>
    </row>
    <row r="773" spans="7:24" x14ac:dyDescent="0.2">
      <c r="G773" s="60">
        <v>752</v>
      </c>
      <c r="H773" s="82">
        <f ca="1"/>
        <v>0</v>
      </c>
      <c r="I773" s="82">
        <f t="shared" ca="1" si="62"/>
        <v>457</v>
      </c>
      <c r="J773" s="83">
        <f t="shared" ca="1" si="60"/>
        <v>0.60771276595744683</v>
      </c>
      <c r="N773" s="60">
        <v>752</v>
      </c>
      <c r="O773" s="82">
        <f ca="1">IF(AND(N773&lt;=U$22,RAND()&lt;=$H$7),1,0)</f>
        <v>0</v>
      </c>
      <c r="P773" s="82">
        <f t="shared" ca="1" si="63"/>
        <v>0</v>
      </c>
      <c r="Q773" s="84">
        <f t="shared" ca="1" si="64"/>
        <v>1</v>
      </c>
      <c r="R773" s="82">
        <f t="shared" ca="1" si="61"/>
        <v>0</v>
      </c>
      <c r="S773" s="82">
        <f ca="1">SUM(R$22:$R773)</f>
        <v>1994.4000000000017</v>
      </c>
      <c r="W773" s="60">
        <v>752</v>
      </c>
      <c r="X773" s="82">
        <f ca="1"/>
        <v>2610.400000000006</v>
      </c>
    </row>
    <row r="774" spans="7:24" x14ac:dyDescent="0.2">
      <c r="G774" s="60">
        <v>753</v>
      </c>
      <c r="H774" s="82">
        <f ca="1"/>
        <v>0</v>
      </c>
      <c r="I774" s="82">
        <f t="shared" ca="1" si="62"/>
        <v>457</v>
      </c>
      <c r="J774" s="83">
        <f t="shared" ca="1" si="60"/>
        <v>0.60690571049136788</v>
      </c>
      <c r="N774" s="60">
        <v>753</v>
      </c>
      <c r="O774" s="82">
        <f ca="1">IF(AND(N774&lt;=U$22,RAND()&lt;=$H$7),1,0)</f>
        <v>1</v>
      </c>
      <c r="P774" s="82">
        <f t="shared" ca="1" si="63"/>
        <v>0</v>
      </c>
      <c r="Q774" s="84">
        <f t="shared" ca="1" si="64"/>
        <v>1</v>
      </c>
      <c r="R774" s="82">
        <f t="shared" ca="1" si="61"/>
        <v>4</v>
      </c>
      <c r="S774" s="82">
        <f ca="1">SUM(R$22:$R774)</f>
        <v>1998.4000000000017</v>
      </c>
      <c r="W774" s="60">
        <v>753</v>
      </c>
      <c r="X774" s="82">
        <f ca="1"/>
        <v>2937.2000000000094</v>
      </c>
    </row>
    <row r="775" spans="7:24" x14ac:dyDescent="0.2">
      <c r="G775" s="60">
        <v>754</v>
      </c>
      <c r="H775" s="82">
        <f ca="1"/>
        <v>1</v>
      </c>
      <c r="I775" s="82">
        <f t="shared" ca="1" si="62"/>
        <v>458</v>
      </c>
      <c r="J775" s="83">
        <f t="shared" ca="1" si="60"/>
        <v>0.60742705570291777</v>
      </c>
      <c r="N775" s="60">
        <v>754</v>
      </c>
      <c r="O775" s="82">
        <f ca="1">IF(AND(N775&lt;=U$22,RAND()&lt;=$H$7),1,0)</f>
        <v>0</v>
      </c>
      <c r="P775" s="82">
        <f t="shared" ca="1" si="63"/>
        <v>0</v>
      </c>
      <c r="Q775" s="84">
        <f t="shared" ca="1" si="64"/>
        <v>1</v>
      </c>
      <c r="R775" s="82">
        <f t="shared" ca="1" si="61"/>
        <v>0</v>
      </c>
      <c r="S775" s="82">
        <f ca="1">SUM(R$22:$R775)</f>
        <v>1998.4000000000017</v>
      </c>
      <c r="W775" s="60">
        <v>754</v>
      </c>
      <c r="X775" s="82">
        <f ca="1"/>
        <v>2871.2000000000085</v>
      </c>
    </row>
    <row r="776" spans="7:24" x14ac:dyDescent="0.2">
      <c r="G776" s="60">
        <v>755</v>
      </c>
      <c r="H776" s="82">
        <f ca="1"/>
        <v>1</v>
      </c>
      <c r="I776" s="82">
        <f t="shared" ca="1" si="62"/>
        <v>459</v>
      </c>
      <c r="J776" s="83">
        <f t="shared" ca="1" si="60"/>
        <v>0.60794701986754962</v>
      </c>
      <c r="N776" s="60">
        <v>755</v>
      </c>
      <c r="O776" s="82">
        <f ca="1">IF(AND(N776&lt;=U$22,RAND()&lt;=$H$7),1,0)</f>
        <v>1</v>
      </c>
      <c r="P776" s="82">
        <f t="shared" ca="1" si="63"/>
        <v>0</v>
      </c>
      <c r="Q776" s="84">
        <f t="shared" ca="1" si="64"/>
        <v>1</v>
      </c>
      <c r="R776" s="82">
        <f t="shared" ca="1" si="61"/>
        <v>4</v>
      </c>
      <c r="S776" s="82">
        <f ca="1">SUM(R$22:$R776)</f>
        <v>2002.4000000000017</v>
      </c>
      <c r="W776" s="60">
        <v>755</v>
      </c>
      <c r="X776" s="82">
        <f ca="1"/>
        <v>2685.6000000000067</v>
      </c>
    </row>
    <row r="777" spans="7:24" x14ac:dyDescent="0.2">
      <c r="G777" s="60">
        <v>756</v>
      </c>
      <c r="H777" s="82">
        <f ca="1"/>
        <v>0</v>
      </c>
      <c r="I777" s="82">
        <f t="shared" ca="1" si="62"/>
        <v>459</v>
      </c>
      <c r="J777" s="83">
        <f t="shared" ca="1" si="60"/>
        <v>0.6071428571428571</v>
      </c>
      <c r="N777" s="60">
        <v>756</v>
      </c>
      <c r="O777" s="82">
        <f ca="1">IF(AND(N777&lt;=U$22,RAND()&lt;=$H$7),1,0)</f>
        <v>0</v>
      </c>
      <c r="P777" s="82">
        <f t="shared" ca="1" si="63"/>
        <v>0</v>
      </c>
      <c r="Q777" s="84">
        <f t="shared" ca="1" si="64"/>
        <v>1</v>
      </c>
      <c r="R777" s="82">
        <f t="shared" ca="1" si="61"/>
        <v>0</v>
      </c>
      <c r="S777" s="82">
        <f ca="1">SUM(R$22:$R777)</f>
        <v>2002.4000000000017</v>
      </c>
      <c r="W777" s="60">
        <v>756</v>
      </c>
      <c r="X777" s="82">
        <f ca="1"/>
        <v>3027.2000000000071</v>
      </c>
    </row>
    <row r="778" spans="7:24" x14ac:dyDescent="0.2">
      <c r="G778" s="60">
        <v>757</v>
      </c>
      <c r="H778" s="82">
        <f ca="1"/>
        <v>0</v>
      </c>
      <c r="I778" s="82">
        <f t="shared" ca="1" si="62"/>
        <v>459</v>
      </c>
      <c r="J778" s="83">
        <f t="shared" ca="1" si="60"/>
        <v>0.60634081902245707</v>
      </c>
      <c r="N778" s="60">
        <v>757</v>
      </c>
      <c r="O778" s="82">
        <f ca="1">IF(AND(N778&lt;=U$22,RAND()&lt;=$H$7),1,0)</f>
        <v>1</v>
      </c>
      <c r="P778" s="82">
        <f t="shared" ca="1" si="63"/>
        <v>0</v>
      </c>
      <c r="Q778" s="84">
        <f t="shared" ca="1" si="64"/>
        <v>1</v>
      </c>
      <c r="R778" s="82">
        <f t="shared" ca="1" si="61"/>
        <v>4</v>
      </c>
      <c r="S778" s="82">
        <f ca="1">SUM(R$22:$R778)</f>
        <v>2006.4000000000017</v>
      </c>
      <c r="W778" s="60">
        <v>757</v>
      </c>
      <c r="X778" s="82">
        <f ca="1"/>
        <v>2682.0000000000055</v>
      </c>
    </row>
    <row r="779" spans="7:24" x14ac:dyDescent="0.2">
      <c r="G779" s="60">
        <v>758</v>
      </c>
      <c r="H779" s="82">
        <f ca="1"/>
        <v>0</v>
      </c>
      <c r="I779" s="82">
        <f t="shared" ca="1" si="62"/>
        <v>459</v>
      </c>
      <c r="J779" s="83">
        <f t="shared" ca="1" si="60"/>
        <v>0.60554089709762537</v>
      </c>
      <c r="N779" s="60">
        <v>758</v>
      </c>
      <c r="O779" s="82">
        <f ca="1">IF(AND(N779&lt;=U$22,RAND()&lt;=$H$7),1,0)</f>
        <v>1</v>
      </c>
      <c r="P779" s="82">
        <f t="shared" ca="1" si="63"/>
        <v>1</v>
      </c>
      <c r="Q779" s="84">
        <f t="shared" ca="1" si="64"/>
        <v>1</v>
      </c>
      <c r="R779" s="82">
        <f t="shared" ca="1" si="61"/>
        <v>4</v>
      </c>
      <c r="S779" s="82">
        <f ca="1">SUM(R$22:$R779)</f>
        <v>2010.4000000000017</v>
      </c>
      <c r="W779" s="60">
        <v>758</v>
      </c>
      <c r="X779" s="82">
        <f ca="1"/>
        <v>2858.8000000000097</v>
      </c>
    </row>
    <row r="780" spans="7:24" x14ac:dyDescent="0.2">
      <c r="G780" s="60">
        <v>759</v>
      </c>
      <c r="H780" s="82">
        <f ca="1"/>
        <v>1</v>
      </c>
      <c r="I780" s="82">
        <f t="shared" ca="1" si="62"/>
        <v>460</v>
      </c>
      <c r="J780" s="83">
        <f t="shared" ca="1" si="60"/>
        <v>0.60606060606060608</v>
      </c>
      <c r="N780" s="60">
        <v>759</v>
      </c>
      <c r="O780" s="82">
        <f ca="1">IF(AND(N780&lt;=U$22,RAND()&lt;=$H$7),1,0)</f>
        <v>1</v>
      </c>
      <c r="P780" s="82">
        <f t="shared" ca="1" si="63"/>
        <v>2</v>
      </c>
      <c r="Q780" s="84">
        <f t="shared" ca="1" si="64"/>
        <v>1.1000000000000001</v>
      </c>
      <c r="R780" s="82">
        <f t="shared" ca="1" si="61"/>
        <v>4.4000000000000004</v>
      </c>
      <c r="S780" s="82">
        <f ca="1">SUM(R$22:$R780)</f>
        <v>2014.8000000000018</v>
      </c>
      <c r="W780" s="60">
        <v>759</v>
      </c>
      <c r="X780" s="82">
        <f ca="1"/>
        <v>2740.8000000000075</v>
      </c>
    </row>
    <row r="781" spans="7:24" x14ac:dyDescent="0.2">
      <c r="G781" s="60">
        <v>760</v>
      </c>
      <c r="H781" s="82">
        <f ca="1"/>
        <v>1</v>
      </c>
      <c r="I781" s="82">
        <f t="shared" ca="1" si="62"/>
        <v>461</v>
      </c>
      <c r="J781" s="83">
        <f t="shared" ca="1" si="60"/>
        <v>0.60657894736842111</v>
      </c>
      <c r="N781" s="60">
        <v>760</v>
      </c>
      <c r="O781" s="82">
        <f ca="1">IF(AND(N781&lt;=U$22,RAND()&lt;=$H$7),1,0)</f>
        <v>1</v>
      </c>
      <c r="P781" s="82">
        <f t="shared" ca="1" si="63"/>
        <v>3</v>
      </c>
      <c r="Q781" s="84">
        <f t="shared" ca="1" si="64"/>
        <v>1.2</v>
      </c>
      <c r="R781" s="82">
        <f t="shared" ca="1" si="61"/>
        <v>4.8</v>
      </c>
      <c r="S781" s="82">
        <f ca="1">SUM(R$22:$R781)</f>
        <v>2019.6000000000017</v>
      </c>
      <c r="W781" s="60">
        <v>760</v>
      </c>
      <c r="X781" s="82">
        <f ca="1"/>
        <v>2921.6000000000063</v>
      </c>
    </row>
    <row r="782" spans="7:24" x14ac:dyDescent="0.2">
      <c r="G782" s="60">
        <v>761</v>
      </c>
      <c r="H782" s="82">
        <f ca="1"/>
        <v>1</v>
      </c>
      <c r="I782" s="82">
        <f t="shared" ca="1" si="62"/>
        <v>462</v>
      </c>
      <c r="J782" s="83">
        <f t="shared" ca="1" si="60"/>
        <v>0.60709592641261501</v>
      </c>
      <c r="N782" s="60">
        <v>761</v>
      </c>
      <c r="O782" s="82">
        <f ca="1">IF(AND(N782&lt;=U$22,RAND()&lt;=$H$7),1,0)</f>
        <v>0</v>
      </c>
      <c r="P782" s="82">
        <f t="shared" ca="1" si="63"/>
        <v>0</v>
      </c>
      <c r="Q782" s="84">
        <f t="shared" ca="1" si="64"/>
        <v>1</v>
      </c>
      <c r="R782" s="82">
        <f t="shared" ca="1" si="61"/>
        <v>0</v>
      </c>
      <c r="S782" s="82">
        <f ca="1">SUM(R$22:$R782)</f>
        <v>2019.6000000000017</v>
      </c>
      <c r="W782" s="60">
        <v>761</v>
      </c>
      <c r="X782" s="82">
        <f ca="1"/>
        <v>2576.0000000000064</v>
      </c>
    </row>
    <row r="783" spans="7:24" x14ac:dyDescent="0.2">
      <c r="G783" s="60">
        <v>762</v>
      </c>
      <c r="H783" s="82">
        <f ca="1"/>
        <v>1</v>
      </c>
      <c r="I783" s="82">
        <f t="shared" ca="1" si="62"/>
        <v>463</v>
      </c>
      <c r="J783" s="83">
        <f t="shared" ca="1" si="60"/>
        <v>0.6076115485564304</v>
      </c>
      <c r="N783" s="60">
        <v>762</v>
      </c>
      <c r="O783" s="82">
        <f ca="1">IF(AND(N783&lt;=U$22,RAND()&lt;=$H$7),1,0)</f>
        <v>1</v>
      </c>
      <c r="P783" s="82">
        <f t="shared" ca="1" si="63"/>
        <v>0</v>
      </c>
      <c r="Q783" s="84">
        <f t="shared" ca="1" si="64"/>
        <v>1</v>
      </c>
      <c r="R783" s="82">
        <f t="shared" ca="1" si="61"/>
        <v>4</v>
      </c>
      <c r="S783" s="82">
        <f ca="1">SUM(R$22:$R783)</f>
        <v>2023.6000000000017</v>
      </c>
      <c r="W783" s="60">
        <v>762</v>
      </c>
      <c r="X783" s="82">
        <f ca="1"/>
        <v>2643.6000000000076</v>
      </c>
    </row>
    <row r="784" spans="7:24" x14ac:dyDescent="0.2">
      <c r="G784" s="60">
        <v>763</v>
      </c>
      <c r="H784" s="82">
        <f ca="1"/>
        <v>0</v>
      </c>
      <c r="I784" s="82">
        <f t="shared" ca="1" si="62"/>
        <v>463</v>
      </c>
      <c r="J784" s="83">
        <f t="shared" ca="1" si="60"/>
        <v>0.60681520314547832</v>
      </c>
      <c r="N784" s="60">
        <v>763</v>
      </c>
      <c r="O784" s="82">
        <f ca="1">IF(AND(N784&lt;=U$22,RAND()&lt;=$H$7),1,0)</f>
        <v>0</v>
      </c>
      <c r="P784" s="82">
        <f t="shared" ca="1" si="63"/>
        <v>0</v>
      </c>
      <c r="Q784" s="84">
        <f t="shared" ca="1" si="64"/>
        <v>1</v>
      </c>
      <c r="R784" s="82">
        <f t="shared" ca="1" si="61"/>
        <v>0</v>
      </c>
      <c r="S784" s="82">
        <f ca="1">SUM(R$22:$R784)</f>
        <v>2023.6000000000017</v>
      </c>
      <c r="W784" s="60">
        <v>763</v>
      </c>
      <c r="X784" s="82">
        <f ca="1"/>
        <v>2609.6000000000067</v>
      </c>
    </row>
    <row r="785" spans="7:24" x14ac:dyDescent="0.2">
      <c r="G785" s="60">
        <v>764</v>
      </c>
      <c r="H785" s="82">
        <f ca="1"/>
        <v>1</v>
      </c>
      <c r="I785" s="82">
        <f t="shared" ca="1" si="62"/>
        <v>464</v>
      </c>
      <c r="J785" s="83">
        <f t="shared" ca="1" si="60"/>
        <v>0.60732984293193715</v>
      </c>
      <c r="N785" s="60">
        <v>764</v>
      </c>
      <c r="O785" s="82">
        <f ca="1">IF(AND(N785&lt;=U$22,RAND()&lt;=$H$7),1,0)</f>
        <v>0</v>
      </c>
      <c r="P785" s="82">
        <f t="shared" ca="1" si="63"/>
        <v>0</v>
      </c>
      <c r="Q785" s="84">
        <f t="shared" ca="1" si="64"/>
        <v>1</v>
      </c>
      <c r="R785" s="82">
        <f t="shared" ca="1" si="61"/>
        <v>0</v>
      </c>
      <c r="S785" s="82">
        <f ca="1">SUM(R$22:$R785)</f>
        <v>2023.6000000000017</v>
      </c>
      <c r="W785" s="60">
        <v>764</v>
      </c>
      <c r="X785" s="82">
        <f ca="1"/>
        <v>2620.0000000000064</v>
      </c>
    </row>
    <row r="786" spans="7:24" x14ac:dyDescent="0.2">
      <c r="G786" s="60">
        <v>765</v>
      </c>
      <c r="H786" s="82">
        <f ca="1"/>
        <v>1</v>
      </c>
      <c r="I786" s="82">
        <f t="shared" ca="1" si="62"/>
        <v>465</v>
      </c>
      <c r="J786" s="83">
        <f t="shared" ca="1" si="60"/>
        <v>0.60784313725490191</v>
      </c>
      <c r="N786" s="60">
        <v>765</v>
      </c>
      <c r="O786" s="82">
        <f ca="1">IF(AND(N786&lt;=U$22,RAND()&lt;=$H$7),1,0)</f>
        <v>0</v>
      </c>
      <c r="P786" s="82">
        <f t="shared" ca="1" si="63"/>
        <v>0</v>
      </c>
      <c r="Q786" s="84">
        <f t="shared" ca="1" si="64"/>
        <v>1</v>
      </c>
      <c r="R786" s="82">
        <f t="shared" ca="1" si="61"/>
        <v>0</v>
      </c>
      <c r="S786" s="82">
        <f ca="1">SUM(R$22:$R786)</f>
        <v>2023.6000000000017</v>
      </c>
      <c r="W786" s="60">
        <v>765</v>
      </c>
      <c r="X786" s="82">
        <f ca="1"/>
        <v>2596.8000000000075</v>
      </c>
    </row>
    <row r="787" spans="7:24" x14ac:dyDescent="0.2">
      <c r="G787" s="60">
        <v>766</v>
      </c>
      <c r="H787" s="82">
        <f ca="1"/>
        <v>1</v>
      </c>
      <c r="I787" s="82">
        <f t="shared" ca="1" si="62"/>
        <v>466</v>
      </c>
      <c r="J787" s="83">
        <f t="shared" ca="1" si="60"/>
        <v>0.60835509138381205</v>
      </c>
      <c r="N787" s="60">
        <v>766</v>
      </c>
      <c r="O787" s="82">
        <f ca="1">IF(AND(N787&lt;=U$22,RAND()&lt;=$H$7),1,0)</f>
        <v>1</v>
      </c>
      <c r="P787" s="82">
        <f t="shared" ca="1" si="63"/>
        <v>0</v>
      </c>
      <c r="Q787" s="84">
        <f t="shared" ca="1" si="64"/>
        <v>1</v>
      </c>
      <c r="R787" s="82">
        <f t="shared" ca="1" si="61"/>
        <v>4</v>
      </c>
      <c r="S787" s="82">
        <f ca="1">SUM(R$22:$R787)</f>
        <v>2027.6000000000017</v>
      </c>
      <c r="W787" s="60">
        <v>766</v>
      </c>
      <c r="X787" s="82">
        <f ca="1"/>
        <v>2651.200000000008</v>
      </c>
    </row>
    <row r="788" spans="7:24" x14ac:dyDescent="0.2">
      <c r="G788" s="60">
        <v>767</v>
      </c>
      <c r="H788" s="82">
        <f ca="1"/>
        <v>1</v>
      </c>
      <c r="I788" s="82">
        <f t="shared" ca="1" si="62"/>
        <v>467</v>
      </c>
      <c r="J788" s="83">
        <f t="shared" ca="1" si="60"/>
        <v>0.60886571056062577</v>
      </c>
      <c r="N788" s="60">
        <v>767</v>
      </c>
      <c r="O788" s="82">
        <f ca="1">IF(AND(N788&lt;=U$22,RAND()&lt;=$H$7),1,0)</f>
        <v>0</v>
      </c>
      <c r="P788" s="82">
        <f t="shared" ca="1" si="63"/>
        <v>0</v>
      </c>
      <c r="Q788" s="84">
        <f t="shared" ca="1" si="64"/>
        <v>1</v>
      </c>
      <c r="R788" s="82">
        <f t="shared" ca="1" si="61"/>
        <v>0</v>
      </c>
      <c r="S788" s="82">
        <f ca="1">SUM(R$22:$R788)</f>
        <v>2027.6000000000017</v>
      </c>
      <c r="W788" s="60">
        <v>767</v>
      </c>
      <c r="X788" s="82">
        <f ca="1"/>
        <v>2719.2000000000066</v>
      </c>
    </row>
    <row r="789" spans="7:24" x14ac:dyDescent="0.2">
      <c r="G789" s="60">
        <v>768</v>
      </c>
      <c r="H789" s="82">
        <f ca="1"/>
        <v>0</v>
      </c>
      <c r="I789" s="82">
        <f t="shared" ca="1" si="62"/>
        <v>467</v>
      </c>
      <c r="J789" s="83">
        <f t="shared" ca="1" si="60"/>
        <v>0.60807291666666663</v>
      </c>
      <c r="N789" s="60">
        <v>768</v>
      </c>
      <c r="O789" s="82">
        <f ca="1">IF(AND(N789&lt;=U$22,RAND()&lt;=$H$7),1,0)</f>
        <v>1</v>
      </c>
      <c r="P789" s="82">
        <f t="shared" ca="1" si="63"/>
        <v>0</v>
      </c>
      <c r="Q789" s="84">
        <f t="shared" ca="1" si="64"/>
        <v>1</v>
      </c>
      <c r="R789" s="82">
        <f t="shared" ca="1" si="61"/>
        <v>4</v>
      </c>
      <c r="S789" s="82">
        <f ca="1">SUM(R$22:$R789)</f>
        <v>2031.6000000000017</v>
      </c>
      <c r="W789" s="60">
        <v>768</v>
      </c>
      <c r="X789" s="82">
        <f ca="1"/>
        <v>2618.8000000000075</v>
      </c>
    </row>
    <row r="790" spans="7:24" x14ac:dyDescent="0.2">
      <c r="G790" s="60">
        <v>769</v>
      </c>
      <c r="H790" s="82">
        <f ca="1"/>
        <v>0</v>
      </c>
      <c r="I790" s="82">
        <f t="shared" ca="1" si="62"/>
        <v>467</v>
      </c>
      <c r="J790" s="83">
        <f t="shared" ca="1" si="60"/>
        <v>0.60728218465539663</v>
      </c>
      <c r="N790" s="60">
        <v>769</v>
      </c>
      <c r="O790" s="82">
        <f ca="1">IF(AND(N790&lt;=U$22,RAND()&lt;=$H$7),1,0)</f>
        <v>1</v>
      </c>
      <c r="P790" s="82">
        <f t="shared" ca="1" si="63"/>
        <v>1</v>
      </c>
      <c r="Q790" s="84">
        <f t="shared" ca="1" si="64"/>
        <v>1</v>
      </c>
      <c r="R790" s="82">
        <f t="shared" ca="1" si="61"/>
        <v>4</v>
      </c>
      <c r="S790" s="82">
        <f ca="1">SUM(R$22:$R790)</f>
        <v>2035.6000000000017</v>
      </c>
      <c r="W790" s="60">
        <v>769</v>
      </c>
      <c r="X790" s="82">
        <f ca="1"/>
        <v>2788.8000000000061</v>
      </c>
    </row>
    <row r="791" spans="7:24" x14ac:dyDescent="0.2">
      <c r="G791" s="60">
        <v>770</v>
      </c>
      <c r="H791" s="82">
        <f ca="1"/>
        <v>0</v>
      </c>
      <c r="I791" s="82">
        <f t="shared" ca="1" si="62"/>
        <v>467</v>
      </c>
      <c r="J791" s="83">
        <f t="shared" ref="J791:J854" ca="1" si="65">I791/G791</f>
        <v>0.60649350649350653</v>
      </c>
      <c r="N791" s="60">
        <v>770</v>
      </c>
      <c r="O791" s="82">
        <f ca="1">IF(AND(N791&lt;=U$22,RAND()&lt;=$H$7),1,0)</f>
        <v>1</v>
      </c>
      <c r="P791" s="82">
        <f t="shared" ca="1" si="63"/>
        <v>2</v>
      </c>
      <c r="Q791" s="84">
        <f t="shared" ca="1" si="64"/>
        <v>1.1000000000000001</v>
      </c>
      <c r="R791" s="82">
        <f t="shared" ref="R791:R854" ca="1" si="66">Q791*$I$7*O791</f>
        <v>4.4000000000000004</v>
      </c>
      <c r="S791" s="82">
        <f ca="1">SUM(R$22:$R791)</f>
        <v>2040.0000000000018</v>
      </c>
      <c r="W791" s="60">
        <v>770</v>
      </c>
      <c r="X791" s="82">
        <f ca="1"/>
        <v>2895.2000000000057</v>
      </c>
    </row>
    <row r="792" spans="7:24" x14ac:dyDescent="0.2">
      <c r="G792" s="60">
        <v>771</v>
      </c>
      <c r="H792" s="82">
        <f ca="1"/>
        <v>1</v>
      </c>
      <c r="I792" s="82">
        <f t="shared" ref="I792:I855" ca="1" si="67">H792+I791</f>
        <v>468</v>
      </c>
      <c r="J792" s="83">
        <f t="shared" ca="1" si="65"/>
        <v>0.60700389105058361</v>
      </c>
      <c r="N792" s="60">
        <v>771</v>
      </c>
      <c r="O792" s="82">
        <f ca="1">IF(AND(N792&lt;=U$22,RAND()&lt;=$H$7),1,0)</f>
        <v>0</v>
      </c>
      <c r="P792" s="82">
        <f t="shared" ref="P792:P855" ca="1" si="68">IF(AND(O791=1,O792=1),P791+1,0)</f>
        <v>0</v>
      </c>
      <c r="Q792" s="84">
        <f t="shared" ref="Q792:Q855" ca="1" si="69">IF(P792&gt;1,1+(P792-1)*0.1,1)</f>
        <v>1</v>
      </c>
      <c r="R792" s="82">
        <f t="shared" ca="1" si="66"/>
        <v>0</v>
      </c>
      <c r="S792" s="82">
        <f ca="1">SUM(R$22:$R792)</f>
        <v>2040.0000000000018</v>
      </c>
      <c r="W792" s="60">
        <v>771</v>
      </c>
      <c r="X792" s="82">
        <f ca="1"/>
        <v>2923.2000000000075</v>
      </c>
    </row>
    <row r="793" spans="7:24" x14ac:dyDescent="0.2">
      <c r="G793" s="60">
        <v>772</v>
      </c>
      <c r="H793" s="82">
        <f ca="1"/>
        <v>1</v>
      </c>
      <c r="I793" s="82">
        <f t="shared" ca="1" si="67"/>
        <v>469</v>
      </c>
      <c r="J793" s="83">
        <f t="shared" ca="1" si="65"/>
        <v>0.6075129533678757</v>
      </c>
      <c r="N793" s="60">
        <v>772</v>
      </c>
      <c r="O793" s="82">
        <f ca="1">IF(AND(N793&lt;=U$22,RAND()&lt;=$H$7),1,0)</f>
        <v>1</v>
      </c>
      <c r="P793" s="82">
        <f t="shared" ca="1" si="68"/>
        <v>0</v>
      </c>
      <c r="Q793" s="84">
        <f t="shared" ca="1" si="69"/>
        <v>1</v>
      </c>
      <c r="R793" s="82">
        <f t="shared" ca="1" si="66"/>
        <v>4</v>
      </c>
      <c r="S793" s="82">
        <f ca="1">SUM(R$22:$R793)</f>
        <v>2044.0000000000018</v>
      </c>
      <c r="W793" s="60">
        <v>772</v>
      </c>
      <c r="X793" s="82">
        <f ca="1"/>
        <v>2543.6000000000063</v>
      </c>
    </row>
    <row r="794" spans="7:24" x14ac:dyDescent="0.2">
      <c r="G794" s="60">
        <v>773</v>
      </c>
      <c r="H794" s="82">
        <f ca="1"/>
        <v>1</v>
      </c>
      <c r="I794" s="82">
        <f t="shared" ca="1" si="67"/>
        <v>470</v>
      </c>
      <c r="J794" s="83">
        <f t="shared" ca="1" si="65"/>
        <v>0.60802069857697283</v>
      </c>
      <c r="N794" s="60">
        <v>773</v>
      </c>
      <c r="O794" s="82">
        <f ca="1">IF(AND(N794&lt;=U$22,RAND()&lt;=$H$7),1,0)</f>
        <v>1</v>
      </c>
      <c r="P794" s="82">
        <f t="shared" ca="1" si="68"/>
        <v>1</v>
      </c>
      <c r="Q794" s="84">
        <f t="shared" ca="1" si="69"/>
        <v>1</v>
      </c>
      <c r="R794" s="82">
        <f t="shared" ca="1" si="66"/>
        <v>4</v>
      </c>
      <c r="S794" s="82">
        <f ca="1">SUM(R$22:$R794)</f>
        <v>2048.0000000000018</v>
      </c>
      <c r="W794" s="60">
        <v>773</v>
      </c>
      <c r="X794" s="82">
        <f ca="1"/>
        <v>2836.8000000000084</v>
      </c>
    </row>
    <row r="795" spans="7:24" x14ac:dyDescent="0.2">
      <c r="G795" s="60">
        <v>774</v>
      </c>
      <c r="H795" s="82">
        <f ca="1"/>
        <v>0</v>
      </c>
      <c r="I795" s="82">
        <f t="shared" ca="1" si="67"/>
        <v>470</v>
      </c>
      <c r="J795" s="83">
        <f t="shared" ca="1" si="65"/>
        <v>0.60723514211886309</v>
      </c>
      <c r="N795" s="60">
        <v>774</v>
      </c>
      <c r="O795" s="82">
        <f ca="1">IF(AND(N795&lt;=U$22,RAND()&lt;=$H$7),1,0)</f>
        <v>0</v>
      </c>
      <c r="P795" s="82">
        <f t="shared" ca="1" si="68"/>
        <v>0</v>
      </c>
      <c r="Q795" s="84">
        <f t="shared" ca="1" si="69"/>
        <v>1</v>
      </c>
      <c r="R795" s="82">
        <f t="shared" ca="1" si="66"/>
        <v>0</v>
      </c>
      <c r="S795" s="82">
        <f ca="1">SUM(R$22:$R795)</f>
        <v>2048.0000000000018</v>
      </c>
      <c r="W795" s="60">
        <v>774</v>
      </c>
      <c r="X795" s="82">
        <f ca="1"/>
        <v>2803.2000000000066</v>
      </c>
    </row>
    <row r="796" spans="7:24" x14ac:dyDescent="0.2">
      <c r="G796" s="60">
        <v>775</v>
      </c>
      <c r="H796" s="82">
        <f ca="1"/>
        <v>1</v>
      </c>
      <c r="I796" s="82">
        <f t="shared" ca="1" si="67"/>
        <v>471</v>
      </c>
      <c r="J796" s="83">
        <f t="shared" ca="1" si="65"/>
        <v>0.60774193548387101</v>
      </c>
      <c r="N796" s="60">
        <v>775</v>
      </c>
      <c r="O796" s="82">
        <f ca="1">IF(AND(N796&lt;=U$22,RAND()&lt;=$H$7),1,0)</f>
        <v>1</v>
      </c>
      <c r="P796" s="82">
        <f t="shared" ca="1" si="68"/>
        <v>0</v>
      </c>
      <c r="Q796" s="84">
        <f t="shared" ca="1" si="69"/>
        <v>1</v>
      </c>
      <c r="R796" s="82">
        <f t="shared" ca="1" si="66"/>
        <v>4</v>
      </c>
      <c r="S796" s="82">
        <f ca="1">SUM(R$22:$R796)</f>
        <v>2052.0000000000018</v>
      </c>
      <c r="W796" s="60">
        <v>775</v>
      </c>
      <c r="X796" s="82">
        <f ca="1"/>
        <v>2724.4000000000078</v>
      </c>
    </row>
    <row r="797" spans="7:24" x14ac:dyDescent="0.2">
      <c r="G797" s="60">
        <v>776</v>
      </c>
      <c r="H797" s="82">
        <f ca="1"/>
        <v>1</v>
      </c>
      <c r="I797" s="82">
        <f t="shared" ca="1" si="67"/>
        <v>472</v>
      </c>
      <c r="J797" s="83">
        <f t="shared" ca="1" si="65"/>
        <v>0.60824742268041232</v>
      </c>
      <c r="N797" s="60">
        <v>776</v>
      </c>
      <c r="O797" s="82">
        <f ca="1">IF(AND(N797&lt;=U$22,RAND()&lt;=$H$7),1,0)</f>
        <v>1</v>
      </c>
      <c r="P797" s="82">
        <f t="shared" ca="1" si="68"/>
        <v>1</v>
      </c>
      <c r="Q797" s="84">
        <f t="shared" ca="1" si="69"/>
        <v>1</v>
      </c>
      <c r="R797" s="82">
        <f t="shared" ca="1" si="66"/>
        <v>4</v>
      </c>
      <c r="S797" s="82">
        <f ca="1">SUM(R$22:$R797)</f>
        <v>2056.0000000000018</v>
      </c>
      <c r="W797" s="60">
        <v>776</v>
      </c>
      <c r="X797" s="82">
        <f ca="1"/>
        <v>2802.0000000000077</v>
      </c>
    </row>
    <row r="798" spans="7:24" x14ac:dyDescent="0.2">
      <c r="G798" s="60">
        <v>777</v>
      </c>
      <c r="H798" s="82">
        <f ca="1"/>
        <v>1</v>
      </c>
      <c r="I798" s="82">
        <f t="shared" ca="1" si="67"/>
        <v>473</v>
      </c>
      <c r="J798" s="83">
        <f t="shared" ca="1" si="65"/>
        <v>0.60875160875160872</v>
      </c>
      <c r="N798" s="60">
        <v>777</v>
      </c>
      <c r="O798" s="82">
        <f ca="1">IF(AND(N798&lt;=U$22,RAND()&lt;=$H$7),1,0)</f>
        <v>1</v>
      </c>
      <c r="P798" s="82">
        <f t="shared" ca="1" si="68"/>
        <v>2</v>
      </c>
      <c r="Q798" s="84">
        <f t="shared" ca="1" si="69"/>
        <v>1.1000000000000001</v>
      </c>
      <c r="R798" s="82">
        <f t="shared" ca="1" si="66"/>
        <v>4.4000000000000004</v>
      </c>
      <c r="S798" s="82">
        <f ca="1">SUM(R$22:$R798)</f>
        <v>2060.4000000000019</v>
      </c>
      <c r="W798" s="60">
        <v>777</v>
      </c>
      <c r="X798" s="82">
        <f ca="1"/>
        <v>2820.0000000000095</v>
      </c>
    </row>
    <row r="799" spans="7:24" x14ac:dyDescent="0.2">
      <c r="G799" s="60">
        <v>778</v>
      </c>
      <c r="H799" s="82">
        <f ca="1"/>
        <v>1</v>
      </c>
      <c r="I799" s="82">
        <f t="shared" ca="1" si="67"/>
        <v>474</v>
      </c>
      <c r="J799" s="83">
        <f t="shared" ca="1" si="65"/>
        <v>0.60925449871465298</v>
      </c>
      <c r="N799" s="60">
        <v>778</v>
      </c>
      <c r="O799" s="82">
        <f ca="1">IF(AND(N799&lt;=U$22,RAND()&lt;=$H$7),1,0)</f>
        <v>1</v>
      </c>
      <c r="P799" s="82">
        <f t="shared" ca="1" si="68"/>
        <v>3</v>
      </c>
      <c r="Q799" s="84">
        <f t="shared" ca="1" si="69"/>
        <v>1.2</v>
      </c>
      <c r="R799" s="82">
        <f t="shared" ca="1" si="66"/>
        <v>4.8</v>
      </c>
      <c r="S799" s="82">
        <f ca="1">SUM(R$22:$R799)</f>
        <v>2065.2000000000021</v>
      </c>
      <c r="W799" s="60">
        <v>778</v>
      </c>
      <c r="X799" s="82">
        <f ca="1"/>
        <v>2771.2000000000066</v>
      </c>
    </row>
    <row r="800" spans="7:24" x14ac:dyDescent="0.2">
      <c r="G800" s="60">
        <v>779</v>
      </c>
      <c r="H800" s="82">
        <f ca="1"/>
        <v>1</v>
      </c>
      <c r="I800" s="82">
        <f t="shared" ca="1" si="67"/>
        <v>475</v>
      </c>
      <c r="J800" s="83">
        <f t="shared" ca="1" si="65"/>
        <v>0.6097560975609756</v>
      </c>
      <c r="N800" s="60">
        <v>779</v>
      </c>
      <c r="O800" s="82">
        <f ca="1">IF(AND(N800&lt;=U$22,RAND()&lt;=$H$7),1,0)</f>
        <v>1</v>
      </c>
      <c r="P800" s="82">
        <f t="shared" ca="1" si="68"/>
        <v>4</v>
      </c>
      <c r="Q800" s="84">
        <f t="shared" ca="1" si="69"/>
        <v>1.3</v>
      </c>
      <c r="R800" s="82">
        <f t="shared" ca="1" si="66"/>
        <v>5.2</v>
      </c>
      <c r="S800" s="82">
        <f ca="1">SUM(R$22:$R800)</f>
        <v>2070.4000000000019</v>
      </c>
      <c r="W800" s="60">
        <v>779</v>
      </c>
      <c r="X800" s="82">
        <f ca="1"/>
        <v>2911.2000000000075</v>
      </c>
    </row>
    <row r="801" spans="7:24" x14ac:dyDescent="0.2">
      <c r="G801" s="60">
        <v>780</v>
      </c>
      <c r="H801" s="82">
        <f ca="1"/>
        <v>0</v>
      </c>
      <c r="I801" s="82">
        <f t="shared" ca="1" si="67"/>
        <v>475</v>
      </c>
      <c r="J801" s="83">
        <f t="shared" ca="1" si="65"/>
        <v>0.60897435897435892</v>
      </c>
      <c r="N801" s="60">
        <v>780</v>
      </c>
      <c r="O801" s="82">
        <f ca="1">IF(AND(N801&lt;=U$22,RAND()&lt;=$H$7),1,0)</f>
        <v>1</v>
      </c>
      <c r="P801" s="82">
        <f t="shared" ca="1" si="68"/>
        <v>5</v>
      </c>
      <c r="Q801" s="84">
        <f t="shared" ca="1" si="69"/>
        <v>1.4</v>
      </c>
      <c r="R801" s="82">
        <f t="shared" ca="1" si="66"/>
        <v>5.6</v>
      </c>
      <c r="S801" s="82">
        <f ca="1">SUM(R$22:$R801)</f>
        <v>2076.0000000000018</v>
      </c>
      <c r="W801" s="60">
        <v>780</v>
      </c>
      <c r="X801" s="82">
        <f ca="1"/>
        <v>2575.2000000000071</v>
      </c>
    </row>
    <row r="802" spans="7:24" x14ac:dyDescent="0.2">
      <c r="G802" s="60">
        <v>781</v>
      </c>
      <c r="H802" s="82">
        <f ca="1"/>
        <v>1</v>
      </c>
      <c r="I802" s="82">
        <f t="shared" ca="1" si="67"/>
        <v>476</v>
      </c>
      <c r="J802" s="83">
        <f t="shared" ca="1" si="65"/>
        <v>0.60947503201024322</v>
      </c>
      <c r="N802" s="60">
        <v>781</v>
      </c>
      <c r="O802" s="82">
        <f ca="1">IF(AND(N802&lt;=U$22,RAND()&lt;=$H$7),1,0)</f>
        <v>0</v>
      </c>
      <c r="P802" s="82">
        <f t="shared" ca="1" si="68"/>
        <v>0</v>
      </c>
      <c r="Q802" s="84">
        <f t="shared" ca="1" si="69"/>
        <v>1</v>
      </c>
      <c r="R802" s="82">
        <f t="shared" ca="1" si="66"/>
        <v>0</v>
      </c>
      <c r="S802" s="82">
        <f ca="1">SUM(R$22:$R802)</f>
        <v>2076.0000000000018</v>
      </c>
      <c r="W802" s="60">
        <v>781</v>
      </c>
      <c r="X802" s="82">
        <f ca="1"/>
        <v>2809.6000000000063</v>
      </c>
    </row>
    <row r="803" spans="7:24" x14ac:dyDescent="0.2">
      <c r="G803" s="60">
        <v>782</v>
      </c>
      <c r="H803" s="82">
        <f ca="1"/>
        <v>1</v>
      </c>
      <c r="I803" s="82">
        <f t="shared" ca="1" si="67"/>
        <v>477</v>
      </c>
      <c r="J803" s="83">
        <f t="shared" ca="1" si="65"/>
        <v>0.60997442455242967</v>
      </c>
      <c r="N803" s="60">
        <v>782</v>
      </c>
      <c r="O803" s="82">
        <f ca="1">IF(AND(N803&lt;=U$22,RAND()&lt;=$H$7),1,0)</f>
        <v>0</v>
      </c>
      <c r="P803" s="82">
        <f t="shared" ca="1" si="68"/>
        <v>0</v>
      </c>
      <c r="Q803" s="84">
        <f t="shared" ca="1" si="69"/>
        <v>1</v>
      </c>
      <c r="R803" s="82">
        <f t="shared" ca="1" si="66"/>
        <v>0</v>
      </c>
      <c r="S803" s="82">
        <f ca="1">SUM(R$22:$R803)</f>
        <v>2076.0000000000018</v>
      </c>
      <c r="W803" s="60">
        <v>782</v>
      </c>
      <c r="X803" s="82">
        <f ca="1"/>
        <v>2817.6000000000076</v>
      </c>
    </row>
    <row r="804" spans="7:24" x14ac:dyDescent="0.2">
      <c r="G804" s="60">
        <v>783</v>
      </c>
      <c r="H804" s="82">
        <f ca="1"/>
        <v>1</v>
      </c>
      <c r="I804" s="82">
        <f t="shared" ca="1" si="67"/>
        <v>478</v>
      </c>
      <c r="J804" s="83">
        <f t="shared" ca="1" si="65"/>
        <v>0.61047254150702424</v>
      </c>
      <c r="N804" s="60">
        <v>783</v>
      </c>
      <c r="O804" s="82">
        <f ca="1">IF(AND(N804&lt;=U$22,RAND()&lt;=$H$7),1,0)</f>
        <v>1</v>
      </c>
      <c r="P804" s="82">
        <f t="shared" ca="1" si="68"/>
        <v>0</v>
      </c>
      <c r="Q804" s="84">
        <f t="shared" ca="1" si="69"/>
        <v>1</v>
      </c>
      <c r="R804" s="82">
        <f t="shared" ca="1" si="66"/>
        <v>4</v>
      </c>
      <c r="S804" s="82">
        <f ca="1">SUM(R$22:$R804)</f>
        <v>2080.0000000000018</v>
      </c>
      <c r="W804" s="60">
        <v>783</v>
      </c>
      <c r="X804" s="82">
        <f ca="1"/>
        <v>2874.8000000000065</v>
      </c>
    </row>
    <row r="805" spans="7:24" x14ac:dyDescent="0.2">
      <c r="G805" s="60">
        <v>784</v>
      </c>
      <c r="H805" s="82">
        <f ca="1"/>
        <v>1</v>
      </c>
      <c r="I805" s="82">
        <f t="shared" ca="1" si="67"/>
        <v>479</v>
      </c>
      <c r="J805" s="83">
        <f t="shared" ca="1" si="65"/>
        <v>0.61096938775510201</v>
      </c>
      <c r="N805" s="60">
        <v>784</v>
      </c>
      <c r="O805" s="82">
        <f ca="1">IF(AND(N805&lt;=U$22,RAND()&lt;=$H$7),1,0)</f>
        <v>1</v>
      </c>
      <c r="P805" s="82">
        <f t="shared" ca="1" si="68"/>
        <v>1</v>
      </c>
      <c r="Q805" s="84">
        <f t="shared" ca="1" si="69"/>
        <v>1</v>
      </c>
      <c r="R805" s="82">
        <f t="shared" ca="1" si="66"/>
        <v>4</v>
      </c>
      <c r="S805" s="82">
        <f ca="1">SUM(R$22:$R805)</f>
        <v>2084.0000000000018</v>
      </c>
      <c r="W805" s="60">
        <v>784</v>
      </c>
      <c r="X805" s="82">
        <f ca="1"/>
        <v>2588.4000000000065</v>
      </c>
    </row>
    <row r="806" spans="7:24" x14ac:dyDescent="0.2">
      <c r="G806" s="60">
        <v>785</v>
      </c>
      <c r="H806" s="82">
        <f ca="1"/>
        <v>0</v>
      </c>
      <c r="I806" s="82">
        <f t="shared" ca="1" si="67"/>
        <v>479</v>
      </c>
      <c r="J806" s="83">
        <f t="shared" ca="1" si="65"/>
        <v>0.61019108280254775</v>
      </c>
      <c r="N806" s="60">
        <v>785</v>
      </c>
      <c r="O806" s="82">
        <f ca="1">IF(AND(N806&lt;=U$22,RAND()&lt;=$H$7),1,0)</f>
        <v>0</v>
      </c>
      <c r="P806" s="82">
        <f t="shared" ca="1" si="68"/>
        <v>0</v>
      </c>
      <c r="Q806" s="84">
        <f t="shared" ca="1" si="69"/>
        <v>1</v>
      </c>
      <c r="R806" s="82">
        <f t="shared" ca="1" si="66"/>
        <v>0</v>
      </c>
      <c r="S806" s="82">
        <f ca="1">SUM(R$22:$R806)</f>
        <v>2084.0000000000018</v>
      </c>
      <c r="W806" s="60">
        <v>785</v>
      </c>
      <c r="X806" s="82">
        <f ca="1"/>
        <v>2810.0000000000073</v>
      </c>
    </row>
    <row r="807" spans="7:24" x14ac:dyDescent="0.2">
      <c r="G807" s="60">
        <v>786</v>
      </c>
      <c r="H807" s="82">
        <f ca="1"/>
        <v>1</v>
      </c>
      <c r="I807" s="82">
        <f t="shared" ca="1" si="67"/>
        <v>480</v>
      </c>
      <c r="J807" s="83">
        <f t="shared" ca="1" si="65"/>
        <v>0.61068702290076338</v>
      </c>
      <c r="N807" s="60">
        <v>786</v>
      </c>
      <c r="O807" s="82">
        <f ca="1">IF(AND(N807&lt;=U$22,RAND()&lt;=$H$7),1,0)</f>
        <v>1</v>
      </c>
      <c r="P807" s="82">
        <f t="shared" ca="1" si="68"/>
        <v>0</v>
      </c>
      <c r="Q807" s="84">
        <f t="shared" ca="1" si="69"/>
        <v>1</v>
      </c>
      <c r="R807" s="82">
        <f t="shared" ca="1" si="66"/>
        <v>4</v>
      </c>
      <c r="S807" s="82">
        <f ca="1">SUM(R$22:$R807)</f>
        <v>2088.0000000000018</v>
      </c>
      <c r="W807" s="60">
        <v>786</v>
      </c>
      <c r="X807" s="82">
        <f ca="1"/>
        <v>2745.6000000000054</v>
      </c>
    </row>
    <row r="808" spans="7:24" x14ac:dyDescent="0.2">
      <c r="G808" s="60">
        <v>787</v>
      </c>
      <c r="H808" s="82">
        <f ca="1"/>
        <v>0</v>
      </c>
      <c r="I808" s="82">
        <f t="shared" ca="1" si="67"/>
        <v>480</v>
      </c>
      <c r="J808" s="83">
        <f t="shared" ca="1" si="65"/>
        <v>0.60991105463786532</v>
      </c>
      <c r="N808" s="60">
        <v>787</v>
      </c>
      <c r="O808" s="82">
        <f ca="1">IF(AND(N808&lt;=U$22,RAND()&lt;=$H$7),1,0)</f>
        <v>1</v>
      </c>
      <c r="P808" s="82">
        <f t="shared" ca="1" si="68"/>
        <v>1</v>
      </c>
      <c r="Q808" s="84">
        <f t="shared" ca="1" si="69"/>
        <v>1</v>
      </c>
      <c r="R808" s="82">
        <f t="shared" ca="1" si="66"/>
        <v>4</v>
      </c>
      <c r="S808" s="82">
        <f ca="1">SUM(R$22:$R808)</f>
        <v>2092.0000000000018</v>
      </c>
      <c r="W808" s="60">
        <v>787</v>
      </c>
      <c r="X808" s="82">
        <f ca="1"/>
        <v>3020.400000000006</v>
      </c>
    </row>
    <row r="809" spans="7:24" x14ac:dyDescent="0.2">
      <c r="G809" s="60">
        <v>788</v>
      </c>
      <c r="H809" s="82">
        <f ca="1"/>
        <v>1</v>
      </c>
      <c r="I809" s="82">
        <f t="shared" ca="1" si="67"/>
        <v>481</v>
      </c>
      <c r="J809" s="83">
        <f t="shared" ca="1" si="65"/>
        <v>0.61040609137055835</v>
      </c>
      <c r="N809" s="60">
        <v>788</v>
      </c>
      <c r="O809" s="82">
        <f ca="1">IF(AND(N809&lt;=U$22,RAND()&lt;=$H$7),1,0)</f>
        <v>1</v>
      </c>
      <c r="P809" s="82">
        <f t="shared" ca="1" si="68"/>
        <v>2</v>
      </c>
      <c r="Q809" s="84">
        <f t="shared" ca="1" si="69"/>
        <v>1.1000000000000001</v>
      </c>
      <c r="R809" s="82">
        <f t="shared" ca="1" si="66"/>
        <v>4.4000000000000004</v>
      </c>
      <c r="S809" s="82">
        <f ca="1">SUM(R$22:$R809)</f>
        <v>2096.4000000000019</v>
      </c>
      <c r="W809" s="60">
        <v>788</v>
      </c>
      <c r="X809" s="82">
        <f ca="1"/>
        <v>2913.6000000000072</v>
      </c>
    </row>
    <row r="810" spans="7:24" x14ac:dyDescent="0.2">
      <c r="G810" s="60">
        <v>789</v>
      </c>
      <c r="H810" s="82">
        <f ca="1"/>
        <v>0</v>
      </c>
      <c r="I810" s="82">
        <f t="shared" ca="1" si="67"/>
        <v>481</v>
      </c>
      <c r="J810" s="83">
        <f t="shared" ca="1" si="65"/>
        <v>0.60963244613434731</v>
      </c>
      <c r="N810" s="60">
        <v>789</v>
      </c>
      <c r="O810" s="82">
        <f ca="1">IF(AND(N810&lt;=U$22,RAND()&lt;=$H$7),1,0)</f>
        <v>1</v>
      </c>
      <c r="P810" s="82">
        <f t="shared" ca="1" si="68"/>
        <v>3</v>
      </c>
      <c r="Q810" s="84">
        <f t="shared" ca="1" si="69"/>
        <v>1.2</v>
      </c>
      <c r="R810" s="82">
        <f t="shared" ca="1" si="66"/>
        <v>4.8</v>
      </c>
      <c r="S810" s="82">
        <f ca="1">SUM(R$22:$R810)</f>
        <v>2101.2000000000021</v>
      </c>
      <c r="W810" s="60">
        <v>789</v>
      </c>
      <c r="X810" s="82">
        <f ca="1"/>
        <v>2721.6000000000076</v>
      </c>
    </row>
    <row r="811" spans="7:24" x14ac:dyDescent="0.2">
      <c r="G811" s="60">
        <v>790</v>
      </c>
      <c r="H811" s="82">
        <f ca="1"/>
        <v>0</v>
      </c>
      <c r="I811" s="82">
        <f t="shared" ca="1" si="67"/>
        <v>481</v>
      </c>
      <c r="J811" s="83">
        <f t="shared" ca="1" si="65"/>
        <v>0.60886075949367091</v>
      </c>
      <c r="N811" s="60">
        <v>790</v>
      </c>
      <c r="O811" s="82">
        <f ca="1">IF(AND(N811&lt;=U$22,RAND()&lt;=$H$7),1,0)</f>
        <v>0</v>
      </c>
      <c r="P811" s="82">
        <f t="shared" ca="1" si="68"/>
        <v>0</v>
      </c>
      <c r="Q811" s="84">
        <f t="shared" ca="1" si="69"/>
        <v>1</v>
      </c>
      <c r="R811" s="82">
        <f t="shared" ca="1" si="66"/>
        <v>0</v>
      </c>
      <c r="S811" s="82">
        <f ca="1">SUM(R$22:$R811)</f>
        <v>2101.2000000000021</v>
      </c>
      <c r="W811" s="60">
        <v>790</v>
      </c>
      <c r="X811" s="82">
        <f ca="1"/>
        <v>2766.4000000000092</v>
      </c>
    </row>
    <row r="812" spans="7:24" x14ac:dyDescent="0.2">
      <c r="G812" s="60">
        <v>791</v>
      </c>
      <c r="H812" s="82">
        <f ca="1"/>
        <v>1</v>
      </c>
      <c r="I812" s="82">
        <f t="shared" ca="1" si="67"/>
        <v>482</v>
      </c>
      <c r="J812" s="83">
        <f t="shared" ca="1" si="65"/>
        <v>0.60935524652338813</v>
      </c>
      <c r="N812" s="60">
        <v>791</v>
      </c>
      <c r="O812" s="82">
        <f ca="1">IF(AND(N812&lt;=U$22,RAND()&lt;=$H$7),1,0)</f>
        <v>1</v>
      </c>
      <c r="P812" s="82">
        <f t="shared" ca="1" si="68"/>
        <v>0</v>
      </c>
      <c r="Q812" s="84">
        <f t="shared" ca="1" si="69"/>
        <v>1</v>
      </c>
      <c r="R812" s="82">
        <f t="shared" ca="1" si="66"/>
        <v>4</v>
      </c>
      <c r="S812" s="82">
        <f ca="1">SUM(R$22:$R812)</f>
        <v>2105.2000000000021</v>
      </c>
      <c r="W812" s="60">
        <v>791</v>
      </c>
      <c r="X812" s="82">
        <f ca="1"/>
        <v>2794.4000000000074</v>
      </c>
    </row>
    <row r="813" spans="7:24" x14ac:dyDescent="0.2">
      <c r="G813" s="60">
        <v>792</v>
      </c>
      <c r="H813" s="82">
        <f ca="1"/>
        <v>0</v>
      </c>
      <c r="I813" s="82">
        <f t="shared" ca="1" si="67"/>
        <v>482</v>
      </c>
      <c r="J813" s="83">
        <f t="shared" ca="1" si="65"/>
        <v>0.60858585858585856</v>
      </c>
      <c r="N813" s="60">
        <v>792</v>
      </c>
      <c r="O813" s="82">
        <f ca="1">IF(AND(N813&lt;=U$22,RAND()&lt;=$H$7),1,0)</f>
        <v>1</v>
      </c>
      <c r="P813" s="82">
        <f t="shared" ca="1" si="68"/>
        <v>1</v>
      </c>
      <c r="Q813" s="84">
        <f t="shared" ca="1" si="69"/>
        <v>1</v>
      </c>
      <c r="R813" s="82">
        <f t="shared" ca="1" si="66"/>
        <v>4</v>
      </c>
      <c r="S813" s="82">
        <f ca="1">SUM(R$22:$R813)</f>
        <v>2109.2000000000021</v>
      </c>
      <c r="W813" s="60">
        <v>792</v>
      </c>
      <c r="X813" s="82">
        <f ca="1"/>
        <v>2661.2000000000066</v>
      </c>
    </row>
    <row r="814" spans="7:24" x14ac:dyDescent="0.2">
      <c r="G814" s="60">
        <v>793</v>
      </c>
      <c r="H814" s="82">
        <f ca="1"/>
        <v>1</v>
      </c>
      <c r="I814" s="82">
        <f t="shared" ca="1" si="67"/>
        <v>483</v>
      </c>
      <c r="J814" s="83">
        <f t="shared" ca="1" si="65"/>
        <v>0.60907944514501888</v>
      </c>
      <c r="N814" s="60">
        <v>793</v>
      </c>
      <c r="O814" s="82">
        <f ca="1">IF(AND(N814&lt;=U$22,RAND()&lt;=$H$7),1,0)</f>
        <v>1</v>
      </c>
      <c r="P814" s="82">
        <f t="shared" ca="1" si="68"/>
        <v>2</v>
      </c>
      <c r="Q814" s="84">
        <f t="shared" ca="1" si="69"/>
        <v>1.1000000000000001</v>
      </c>
      <c r="R814" s="82">
        <f t="shared" ca="1" si="66"/>
        <v>4.4000000000000004</v>
      </c>
      <c r="S814" s="82">
        <f ca="1">SUM(R$22:$R814)</f>
        <v>2113.6000000000022</v>
      </c>
      <c r="W814" s="60">
        <v>793</v>
      </c>
      <c r="X814" s="82">
        <f ca="1"/>
        <v>2702.8000000000061</v>
      </c>
    </row>
    <row r="815" spans="7:24" x14ac:dyDescent="0.2">
      <c r="G815" s="60">
        <v>794</v>
      </c>
      <c r="H815" s="82">
        <f ca="1"/>
        <v>1</v>
      </c>
      <c r="I815" s="82">
        <f t="shared" ca="1" si="67"/>
        <v>484</v>
      </c>
      <c r="J815" s="83">
        <f t="shared" ca="1" si="65"/>
        <v>0.60957178841309823</v>
      </c>
      <c r="N815" s="60">
        <v>794</v>
      </c>
      <c r="O815" s="82">
        <f ca="1">IF(AND(N815&lt;=U$22,RAND()&lt;=$H$7),1,0)</f>
        <v>1</v>
      </c>
      <c r="P815" s="82">
        <f t="shared" ca="1" si="68"/>
        <v>3</v>
      </c>
      <c r="Q815" s="84">
        <f t="shared" ca="1" si="69"/>
        <v>1.2</v>
      </c>
      <c r="R815" s="82">
        <f t="shared" ca="1" si="66"/>
        <v>4.8</v>
      </c>
      <c r="S815" s="82">
        <f ca="1">SUM(R$22:$R815)</f>
        <v>2118.4000000000024</v>
      </c>
      <c r="W815" s="60">
        <v>794</v>
      </c>
      <c r="X815" s="82">
        <f ca="1"/>
        <v>2692.4000000000074</v>
      </c>
    </row>
    <row r="816" spans="7:24" x14ac:dyDescent="0.2">
      <c r="G816" s="60">
        <v>795</v>
      </c>
      <c r="H816" s="82">
        <f ca="1"/>
        <v>0</v>
      </c>
      <c r="I816" s="82">
        <f t="shared" ca="1" si="67"/>
        <v>484</v>
      </c>
      <c r="J816" s="83">
        <f t="shared" ca="1" si="65"/>
        <v>0.60880503144654086</v>
      </c>
      <c r="N816" s="60">
        <v>795</v>
      </c>
      <c r="O816" s="82">
        <f ca="1">IF(AND(N816&lt;=U$22,RAND()&lt;=$H$7),1,0)</f>
        <v>1</v>
      </c>
      <c r="P816" s="82">
        <f t="shared" ca="1" si="68"/>
        <v>4</v>
      </c>
      <c r="Q816" s="84">
        <f t="shared" ca="1" si="69"/>
        <v>1.3</v>
      </c>
      <c r="R816" s="82">
        <f t="shared" ca="1" si="66"/>
        <v>5.2</v>
      </c>
      <c r="S816" s="82">
        <f ca="1">SUM(R$22:$R816)</f>
        <v>2123.6000000000022</v>
      </c>
      <c r="W816" s="60">
        <v>795</v>
      </c>
      <c r="X816" s="82">
        <f ca="1"/>
        <v>2686.0000000000077</v>
      </c>
    </row>
    <row r="817" spans="7:24" x14ac:dyDescent="0.2">
      <c r="G817" s="60">
        <v>796</v>
      </c>
      <c r="H817" s="82">
        <f ca="1"/>
        <v>0</v>
      </c>
      <c r="I817" s="82">
        <f t="shared" ca="1" si="67"/>
        <v>484</v>
      </c>
      <c r="J817" s="83">
        <f t="shared" ca="1" si="65"/>
        <v>0.60804020100502509</v>
      </c>
      <c r="N817" s="60">
        <v>796</v>
      </c>
      <c r="O817" s="82">
        <f ca="1">IF(AND(N817&lt;=U$22,RAND()&lt;=$H$7),1,0)</f>
        <v>1</v>
      </c>
      <c r="P817" s="82">
        <f t="shared" ca="1" si="68"/>
        <v>5</v>
      </c>
      <c r="Q817" s="84">
        <f t="shared" ca="1" si="69"/>
        <v>1.4</v>
      </c>
      <c r="R817" s="82">
        <f t="shared" ca="1" si="66"/>
        <v>5.6</v>
      </c>
      <c r="S817" s="82">
        <f ca="1">SUM(R$22:$R817)</f>
        <v>2129.2000000000021</v>
      </c>
      <c r="W817" s="60">
        <v>796</v>
      </c>
      <c r="X817" s="82">
        <f ca="1"/>
        <v>2716.0000000000073</v>
      </c>
    </row>
    <row r="818" spans="7:24" x14ac:dyDescent="0.2">
      <c r="G818" s="60">
        <v>797</v>
      </c>
      <c r="H818" s="82">
        <f ca="1"/>
        <v>1</v>
      </c>
      <c r="I818" s="82">
        <f t="shared" ca="1" si="67"/>
        <v>485</v>
      </c>
      <c r="J818" s="83">
        <f t="shared" ca="1" si="65"/>
        <v>0.60853199498117938</v>
      </c>
      <c r="N818" s="60">
        <v>797</v>
      </c>
      <c r="O818" s="82">
        <f ca="1">IF(AND(N818&lt;=U$22,RAND()&lt;=$H$7),1,0)</f>
        <v>1</v>
      </c>
      <c r="P818" s="82">
        <f t="shared" ca="1" si="68"/>
        <v>6</v>
      </c>
      <c r="Q818" s="84">
        <f t="shared" ca="1" si="69"/>
        <v>1.5</v>
      </c>
      <c r="R818" s="82">
        <f t="shared" ca="1" si="66"/>
        <v>6</v>
      </c>
      <c r="S818" s="82">
        <f ca="1">SUM(R$22:$R818)</f>
        <v>2135.2000000000021</v>
      </c>
      <c r="W818" s="60">
        <v>797</v>
      </c>
      <c r="X818" s="82">
        <f ca="1"/>
        <v>2755.6000000000063</v>
      </c>
    </row>
    <row r="819" spans="7:24" x14ac:dyDescent="0.2">
      <c r="G819" s="60">
        <v>798</v>
      </c>
      <c r="H819" s="82">
        <f ca="1"/>
        <v>0</v>
      </c>
      <c r="I819" s="82">
        <f t="shared" ca="1" si="67"/>
        <v>485</v>
      </c>
      <c r="J819" s="83">
        <f t="shared" ca="1" si="65"/>
        <v>0.60776942355889729</v>
      </c>
      <c r="N819" s="60">
        <v>798</v>
      </c>
      <c r="O819" s="82">
        <f ca="1">IF(AND(N819&lt;=U$22,RAND()&lt;=$H$7),1,0)</f>
        <v>0</v>
      </c>
      <c r="P819" s="82">
        <f t="shared" ca="1" si="68"/>
        <v>0</v>
      </c>
      <c r="Q819" s="84">
        <f t="shared" ca="1" si="69"/>
        <v>1</v>
      </c>
      <c r="R819" s="82">
        <f t="shared" ca="1" si="66"/>
        <v>0</v>
      </c>
      <c r="S819" s="82">
        <f ca="1">SUM(R$22:$R819)</f>
        <v>2135.2000000000021</v>
      </c>
      <c r="W819" s="60">
        <v>798</v>
      </c>
      <c r="X819" s="82">
        <f ca="1"/>
        <v>2844.800000000007</v>
      </c>
    </row>
    <row r="820" spans="7:24" x14ac:dyDescent="0.2">
      <c r="G820" s="60">
        <v>799</v>
      </c>
      <c r="H820" s="82">
        <f ca="1"/>
        <v>1</v>
      </c>
      <c r="I820" s="82">
        <f t="shared" ca="1" si="67"/>
        <v>486</v>
      </c>
      <c r="J820" s="83">
        <f t="shared" ca="1" si="65"/>
        <v>0.60826032540675845</v>
      </c>
      <c r="N820" s="60">
        <v>799</v>
      </c>
      <c r="O820" s="82">
        <f ca="1">IF(AND(N820&lt;=U$22,RAND()&lt;=$H$7),1,0)</f>
        <v>1</v>
      </c>
      <c r="P820" s="82">
        <f t="shared" ca="1" si="68"/>
        <v>0</v>
      </c>
      <c r="Q820" s="84">
        <f t="shared" ca="1" si="69"/>
        <v>1</v>
      </c>
      <c r="R820" s="82">
        <f t="shared" ca="1" si="66"/>
        <v>4</v>
      </c>
      <c r="S820" s="82">
        <f ca="1">SUM(R$22:$R820)</f>
        <v>2139.2000000000021</v>
      </c>
      <c r="W820" s="60">
        <v>799</v>
      </c>
      <c r="X820" s="82">
        <f ca="1"/>
        <v>2667.6000000000058</v>
      </c>
    </row>
    <row r="821" spans="7:24" x14ac:dyDescent="0.2">
      <c r="G821" s="60">
        <v>800</v>
      </c>
      <c r="H821" s="82">
        <f ca="1"/>
        <v>1</v>
      </c>
      <c r="I821" s="82">
        <f t="shared" ca="1" si="67"/>
        <v>487</v>
      </c>
      <c r="J821" s="83">
        <f t="shared" ca="1" si="65"/>
        <v>0.60875000000000001</v>
      </c>
      <c r="N821" s="60">
        <v>800</v>
      </c>
      <c r="O821" s="82">
        <f ca="1">IF(AND(N821&lt;=U$22,RAND()&lt;=$H$7),1,0)</f>
        <v>0</v>
      </c>
      <c r="P821" s="82">
        <f t="shared" ca="1" si="68"/>
        <v>0</v>
      </c>
      <c r="Q821" s="84">
        <f t="shared" ca="1" si="69"/>
        <v>1</v>
      </c>
      <c r="R821" s="82">
        <f t="shared" ca="1" si="66"/>
        <v>0</v>
      </c>
      <c r="S821" s="82">
        <f ca="1">SUM(R$22:$R821)</f>
        <v>2139.2000000000021</v>
      </c>
      <c r="W821" s="60">
        <v>800</v>
      </c>
      <c r="X821" s="82">
        <f ca="1"/>
        <v>2811.6000000000067</v>
      </c>
    </row>
    <row r="822" spans="7:24" x14ac:dyDescent="0.2">
      <c r="G822" s="60">
        <v>801</v>
      </c>
      <c r="H822" s="82">
        <f ca="1"/>
        <v>1</v>
      </c>
      <c r="I822" s="82">
        <f t="shared" ca="1" si="67"/>
        <v>488</v>
      </c>
      <c r="J822" s="83">
        <f t="shared" ca="1" si="65"/>
        <v>0.60923845193508119</v>
      </c>
      <c r="N822" s="60">
        <v>801</v>
      </c>
      <c r="O822" s="82">
        <f ca="1">IF(AND(N822&lt;=U$22,RAND()&lt;=$H$7),1,0)</f>
        <v>1</v>
      </c>
      <c r="P822" s="82">
        <f t="shared" ca="1" si="68"/>
        <v>0</v>
      </c>
      <c r="Q822" s="84">
        <f t="shared" ca="1" si="69"/>
        <v>1</v>
      </c>
      <c r="R822" s="82">
        <f t="shared" ca="1" si="66"/>
        <v>4</v>
      </c>
      <c r="S822" s="82">
        <f ca="1">SUM(R$22:$R822)</f>
        <v>2143.2000000000021</v>
      </c>
      <c r="W822" s="60">
        <v>801</v>
      </c>
      <c r="X822" s="82">
        <f ca="1"/>
        <v>2763.6000000000072</v>
      </c>
    </row>
    <row r="823" spans="7:24" x14ac:dyDescent="0.2">
      <c r="G823" s="60">
        <v>802</v>
      </c>
      <c r="H823" s="82">
        <f ca="1"/>
        <v>1</v>
      </c>
      <c r="I823" s="82">
        <f t="shared" ca="1" si="67"/>
        <v>489</v>
      </c>
      <c r="J823" s="83">
        <f t="shared" ca="1" si="65"/>
        <v>0.60972568578553621</v>
      </c>
      <c r="N823" s="60">
        <v>802</v>
      </c>
      <c r="O823" s="82">
        <f ca="1">IF(AND(N823&lt;=U$22,RAND()&lt;=$H$7),1,0)</f>
        <v>1</v>
      </c>
      <c r="P823" s="82">
        <f t="shared" ca="1" si="68"/>
        <v>1</v>
      </c>
      <c r="Q823" s="84">
        <f t="shared" ca="1" si="69"/>
        <v>1</v>
      </c>
      <c r="R823" s="82">
        <f t="shared" ca="1" si="66"/>
        <v>4</v>
      </c>
      <c r="S823" s="82">
        <f ca="1">SUM(R$22:$R823)</f>
        <v>2147.2000000000021</v>
      </c>
      <c r="W823" s="60">
        <v>802</v>
      </c>
      <c r="X823" s="82">
        <f ca="1"/>
        <v>2710.8000000000088</v>
      </c>
    </row>
    <row r="824" spans="7:24" x14ac:dyDescent="0.2">
      <c r="G824" s="60">
        <v>803</v>
      </c>
      <c r="H824" s="82">
        <f ca="1"/>
        <v>1</v>
      </c>
      <c r="I824" s="82">
        <f t="shared" ca="1" si="67"/>
        <v>490</v>
      </c>
      <c r="J824" s="83">
        <f t="shared" ca="1" si="65"/>
        <v>0.61021170610211706</v>
      </c>
      <c r="N824" s="60">
        <v>803</v>
      </c>
      <c r="O824" s="82">
        <f ca="1">IF(AND(N824&lt;=U$22,RAND()&lt;=$H$7),1,0)</f>
        <v>0</v>
      </c>
      <c r="P824" s="82">
        <f t="shared" ca="1" si="68"/>
        <v>0</v>
      </c>
      <c r="Q824" s="84">
        <f t="shared" ca="1" si="69"/>
        <v>1</v>
      </c>
      <c r="R824" s="82">
        <f t="shared" ca="1" si="66"/>
        <v>0</v>
      </c>
      <c r="S824" s="82">
        <f ca="1">SUM(R$22:$R824)</f>
        <v>2147.2000000000021</v>
      </c>
      <c r="W824" s="60">
        <v>803</v>
      </c>
      <c r="X824" s="82">
        <f ca="1"/>
        <v>2900.4000000000065</v>
      </c>
    </row>
    <row r="825" spans="7:24" x14ac:dyDescent="0.2">
      <c r="G825" s="60">
        <v>804</v>
      </c>
      <c r="H825" s="82">
        <f ca="1"/>
        <v>1</v>
      </c>
      <c r="I825" s="82">
        <f t="shared" ca="1" si="67"/>
        <v>491</v>
      </c>
      <c r="J825" s="83">
        <f t="shared" ca="1" si="65"/>
        <v>0.61069651741293529</v>
      </c>
      <c r="N825" s="60">
        <v>804</v>
      </c>
      <c r="O825" s="82">
        <f ca="1">IF(AND(N825&lt;=U$22,RAND()&lt;=$H$7),1,0)</f>
        <v>1</v>
      </c>
      <c r="P825" s="82">
        <f t="shared" ca="1" si="68"/>
        <v>0</v>
      </c>
      <c r="Q825" s="84">
        <f t="shared" ca="1" si="69"/>
        <v>1</v>
      </c>
      <c r="R825" s="82">
        <f t="shared" ca="1" si="66"/>
        <v>4</v>
      </c>
      <c r="S825" s="82">
        <f ca="1">SUM(R$22:$R825)</f>
        <v>2151.2000000000021</v>
      </c>
      <c r="W825" s="60">
        <v>804</v>
      </c>
      <c r="X825" s="82">
        <f ca="1"/>
        <v>2620.0000000000077</v>
      </c>
    </row>
    <row r="826" spans="7:24" x14ac:dyDescent="0.2">
      <c r="G826" s="60">
        <v>805</v>
      </c>
      <c r="H826" s="82">
        <f ca="1"/>
        <v>1</v>
      </c>
      <c r="I826" s="82">
        <f t="shared" ca="1" si="67"/>
        <v>492</v>
      </c>
      <c r="J826" s="83">
        <f t="shared" ca="1" si="65"/>
        <v>0.61118012422360246</v>
      </c>
      <c r="N826" s="60">
        <v>805</v>
      </c>
      <c r="O826" s="82">
        <f ca="1">IF(AND(N826&lt;=U$22,RAND()&lt;=$H$7),1,0)</f>
        <v>1</v>
      </c>
      <c r="P826" s="82">
        <f t="shared" ca="1" si="68"/>
        <v>1</v>
      </c>
      <c r="Q826" s="84">
        <f t="shared" ca="1" si="69"/>
        <v>1</v>
      </c>
      <c r="R826" s="82">
        <f t="shared" ca="1" si="66"/>
        <v>4</v>
      </c>
      <c r="S826" s="82">
        <f ca="1">SUM(R$22:$R826)</f>
        <v>2155.2000000000021</v>
      </c>
      <c r="W826" s="60">
        <v>805</v>
      </c>
      <c r="X826" s="82">
        <f ca="1"/>
        <v>2780.4000000000078</v>
      </c>
    </row>
    <row r="827" spans="7:24" x14ac:dyDescent="0.2">
      <c r="G827" s="60">
        <v>806</v>
      </c>
      <c r="H827" s="82">
        <f ca="1"/>
        <v>1</v>
      </c>
      <c r="I827" s="82">
        <f t="shared" ca="1" si="67"/>
        <v>493</v>
      </c>
      <c r="J827" s="83">
        <f t="shared" ca="1" si="65"/>
        <v>0.61166253101736978</v>
      </c>
      <c r="N827" s="60">
        <v>806</v>
      </c>
      <c r="O827" s="82">
        <f ca="1">IF(AND(N827&lt;=U$22,RAND()&lt;=$H$7),1,0)</f>
        <v>1</v>
      </c>
      <c r="P827" s="82">
        <f t="shared" ca="1" si="68"/>
        <v>2</v>
      </c>
      <c r="Q827" s="84">
        <f t="shared" ca="1" si="69"/>
        <v>1.1000000000000001</v>
      </c>
      <c r="R827" s="82">
        <f t="shared" ca="1" si="66"/>
        <v>4.4000000000000004</v>
      </c>
      <c r="S827" s="82">
        <f ca="1">SUM(R$22:$R827)</f>
        <v>2159.6000000000022</v>
      </c>
      <c r="W827" s="60">
        <v>806</v>
      </c>
      <c r="X827" s="82">
        <f ca="1"/>
        <v>2792.8000000000084</v>
      </c>
    </row>
    <row r="828" spans="7:24" x14ac:dyDescent="0.2">
      <c r="G828" s="60">
        <v>807</v>
      </c>
      <c r="H828" s="82">
        <f ca="1"/>
        <v>1</v>
      </c>
      <c r="I828" s="82">
        <f t="shared" ca="1" si="67"/>
        <v>494</v>
      </c>
      <c r="J828" s="83">
        <f t="shared" ca="1" si="65"/>
        <v>0.61214374225526647</v>
      </c>
      <c r="N828" s="60">
        <v>807</v>
      </c>
      <c r="O828" s="82">
        <f ca="1">IF(AND(N828&lt;=U$22,RAND()&lt;=$H$7),1,0)</f>
        <v>1</v>
      </c>
      <c r="P828" s="82">
        <f t="shared" ca="1" si="68"/>
        <v>3</v>
      </c>
      <c r="Q828" s="84">
        <f t="shared" ca="1" si="69"/>
        <v>1.2</v>
      </c>
      <c r="R828" s="82">
        <f t="shared" ca="1" si="66"/>
        <v>4.8</v>
      </c>
      <c r="S828" s="82">
        <f ca="1">SUM(R$22:$R828)</f>
        <v>2164.4000000000024</v>
      </c>
      <c r="W828" s="60">
        <v>807</v>
      </c>
      <c r="X828" s="82">
        <f ca="1"/>
        <v>2759.6000000000063</v>
      </c>
    </row>
    <row r="829" spans="7:24" x14ac:dyDescent="0.2">
      <c r="G829" s="60">
        <v>808</v>
      </c>
      <c r="H829" s="82">
        <f ca="1"/>
        <v>0</v>
      </c>
      <c r="I829" s="82">
        <f t="shared" ca="1" si="67"/>
        <v>494</v>
      </c>
      <c r="J829" s="83">
        <f t="shared" ca="1" si="65"/>
        <v>0.61138613861386137</v>
      </c>
      <c r="N829" s="60">
        <v>808</v>
      </c>
      <c r="O829" s="82">
        <f ca="1">IF(AND(N829&lt;=U$22,RAND()&lt;=$H$7),1,0)</f>
        <v>1</v>
      </c>
      <c r="P829" s="82">
        <f t="shared" ca="1" si="68"/>
        <v>4</v>
      </c>
      <c r="Q829" s="84">
        <f t="shared" ca="1" si="69"/>
        <v>1.3</v>
      </c>
      <c r="R829" s="82">
        <f t="shared" ca="1" si="66"/>
        <v>5.2</v>
      </c>
      <c r="S829" s="82">
        <f ca="1">SUM(R$22:$R829)</f>
        <v>2169.6000000000022</v>
      </c>
      <c r="W829" s="60">
        <v>808</v>
      </c>
      <c r="X829" s="82">
        <f ca="1"/>
        <v>2776.8000000000061</v>
      </c>
    </row>
    <row r="830" spans="7:24" x14ac:dyDescent="0.2">
      <c r="G830" s="60">
        <v>809</v>
      </c>
      <c r="H830" s="82">
        <f ca="1"/>
        <v>0</v>
      </c>
      <c r="I830" s="82">
        <f t="shared" ca="1" si="67"/>
        <v>494</v>
      </c>
      <c r="J830" s="83">
        <f t="shared" ca="1" si="65"/>
        <v>0.61063040791100121</v>
      </c>
      <c r="N830" s="60">
        <v>809</v>
      </c>
      <c r="O830" s="82">
        <f ca="1">IF(AND(N830&lt;=U$22,RAND()&lt;=$H$7),1,0)</f>
        <v>1</v>
      </c>
      <c r="P830" s="82">
        <f t="shared" ca="1" si="68"/>
        <v>5</v>
      </c>
      <c r="Q830" s="84">
        <f t="shared" ca="1" si="69"/>
        <v>1.4</v>
      </c>
      <c r="R830" s="82">
        <f t="shared" ca="1" si="66"/>
        <v>5.6</v>
      </c>
      <c r="S830" s="82">
        <f ca="1">SUM(R$22:$R830)</f>
        <v>2175.2000000000021</v>
      </c>
      <c r="W830" s="60">
        <v>809</v>
      </c>
      <c r="X830" s="82">
        <f ca="1"/>
        <v>2641.2000000000057</v>
      </c>
    </row>
    <row r="831" spans="7:24" x14ac:dyDescent="0.2">
      <c r="G831" s="60">
        <v>810</v>
      </c>
      <c r="H831" s="82">
        <f ca="1"/>
        <v>1</v>
      </c>
      <c r="I831" s="82">
        <f t="shared" ca="1" si="67"/>
        <v>495</v>
      </c>
      <c r="J831" s="83">
        <f t="shared" ca="1" si="65"/>
        <v>0.61111111111111116</v>
      </c>
      <c r="N831" s="60">
        <v>810</v>
      </c>
      <c r="O831" s="82">
        <f ca="1">IF(AND(N831&lt;=U$22,RAND()&lt;=$H$7),1,0)</f>
        <v>1</v>
      </c>
      <c r="P831" s="82">
        <f t="shared" ca="1" si="68"/>
        <v>6</v>
      </c>
      <c r="Q831" s="84">
        <f t="shared" ca="1" si="69"/>
        <v>1.5</v>
      </c>
      <c r="R831" s="82">
        <f t="shared" ca="1" si="66"/>
        <v>6</v>
      </c>
      <c r="S831" s="82">
        <f ca="1">SUM(R$22:$R831)</f>
        <v>2181.2000000000021</v>
      </c>
      <c r="W831" s="60">
        <v>810</v>
      </c>
      <c r="X831" s="82">
        <f ca="1"/>
        <v>2720.0000000000077</v>
      </c>
    </row>
    <row r="832" spans="7:24" x14ac:dyDescent="0.2">
      <c r="G832" s="60">
        <v>811</v>
      </c>
      <c r="H832" s="82">
        <f ca="1"/>
        <v>1</v>
      </c>
      <c r="I832" s="82">
        <f t="shared" ca="1" si="67"/>
        <v>496</v>
      </c>
      <c r="J832" s="83">
        <f t="shared" ca="1" si="65"/>
        <v>0.61159062885326754</v>
      </c>
      <c r="N832" s="60">
        <v>811</v>
      </c>
      <c r="O832" s="82">
        <f ca="1">IF(AND(N832&lt;=U$22,RAND()&lt;=$H$7),1,0)</f>
        <v>1</v>
      </c>
      <c r="P832" s="82">
        <f t="shared" ca="1" si="68"/>
        <v>7</v>
      </c>
      <c r="Q832" s="84">
        <f t="shared" ca="1" si="69"/>
        <v>1.6</v>
      </c>
      <c r="R832" s="82">
        <f t="shared" ca="1" si="66"/>
        <v>6.4</v>
      </c>
      <c r="S832" s="82">
        <f ca="1">SUM(R$22:$R832)</f>
        <v>2187.6000000000022</v>
      </c>
      <c r="W832" s="60">
        <v>811</v>
      </c>
      <c r="X832" s="82">
        <f ca="1"/>
        <v>2722.4000000000087</v>
      </c>
    </row>
    <row r="833" spans="7:24" x14ac:dyDescent="0.2">
      <c r="G833" s="60">
        <v>812</v>
      </c>
      <c r="H833" s="82">
        <f ca="1"/>
        <v>0</v>
      </c>
      <c r="I833" s="82">
        <f t="shared" ca="1" si="67"/>
        <v>496</v>
      </c>
      <c r="J833" s="83">
        <f t="shared" ca="1" si="65"/>
        <v>0.61083743842364535</v>
      </c>
      <c r="N833" s="60">
        <v>812</v>
      </c>
      <c r="O833" s="82">
        <f ca="1">IF(AND(N833&lt;=U$22,RAND()&lt;=$H$7),1,0)</f>
        <v>1</v>
      </c>
      <c r="P833" s="82">
        <f t="shared" ca="1" si="68"/>
        <v>8</v>
      </c>
      <c r="Q833" s="84">
        <f t="shared" ca="1" si="69"/>
        <v>1.7000000000000002</v>
      </c>
      <c r="R833" s="82">
        <f t="shared" ca="1" si="66"/>
        <v>6.8000000000000007</v>
      </c>
      <c r="S833" s="82">
        <f ca="1">SUM(R$22:$R833)</f>
        <v>2194.4000000000024</v>
      </c>
      <c r="W833" s="60">
        <v>812</v>
      </c>
      <c r="X833" s="82">
        <f ca="1"/>
        <v>2742.0000000000064</v>
      </c>
    </row>
    <row r="834" spans="7:24" x14ac:dyDescent="0.2">
      <c r="G834" s="60">
        <v>813</v>
      </c>
      <c r="H834" s="82">
        <f ca="1"/>
        <v>1</v>
      </c>
      <c r="I834" s="82">
        <f t="shared" ca="1" si="67"/>
        <v>497</v>
      </c>
      <c r="J834" s="83">
        <f t="shared" ca="1" si="65"/>
        <v>0.61131611316113166</v>
      </c>
      <c r="N834" s="60">
        <v>813</v>
      </c>
      <c r="O834" s="82">
        <f ca="1">IF(AND(N834&lt;=U$22,RAND()&lt;=$H$7),1,0)</f>
        <v>1</v>
      </c>
      <c r="P834" s="82">
        <f t="shared" ca="1" si="68"/>
        <v>9</v>
      </c>
      <c r="Q834" s="84">
        <f t="shared" ca="1" si="69"/>
        <v>1.8</v>
      </c>
      <c r="R834" s="82">
        <f t="shared" ca="1" si="66"/>
        <v>7.2</v>
      </c>
      <c r="S834" s="82">
        <f ca="1">SUM(R$22:$R834)</f>
        <v>2201.6000000000022</v>
      </c>
      <c r="W834" s="60">
        <v>813</v>
      </c>
      <c r="X834" s="82">
        <f ca="1"/>
        <v>2550.4000000000069</v>
      </c>
    </row>
    <row r="835" spans="7:24" x14ac:dyDescent="0.2">
      <c r="G835" s="60">
        <v>814</v>
      </c>
      <c r="H835" s="82">
        <f ca="1"/>
        <v>0</v>
      </c>
      <c r="I835" s="82">
        <f t="shared" ca="1" si="67"/>
        <v>497</v>
      </c>
      <c r="J835" s="83">
        <f t="shared" ca="1" si="65"/>
        <v>0.61056511056511054</v>
      </c>
      <c r="N835" s="60">
        <v>814</v>
      </c>
      <c r="O835" s="82">
        <f ca="1">IF(AND(N835&lt;=U$22,RAND()&lt;=$H$7),1,0)</f>
        <v>1</v>
      </c>
      <c r="P835" s="82">
        <f t="shared" ca="1" si="68"/>
        <v>10</v>
      </c>
      <c r="Q835" s="84">
        <f t="shared" ca="1" si="69"/>
        <v>1.9</v>
      </c>
      <c r="R835" s="82">
        <f t="shared" ca="1" si="66"/>
        <v>7.6</v>
      </c>
      <c r="S835" s="82">
        <f ca="1">SUM(R$22:$R835)</f>
        <v>2209.2000000000021</v>
      </c>
      <c r="W835" s="60">
        <v>814</v>
      </c>
      <c r="X835" s="82">
        <f ca="1"/>
        <v>2738.0000000000073</v>
      </c>
    </row>
    <row r="836" spans="7:24" x14ac:dyDescent="0.2">
      <c r="G836" s="60">
        <v>815</v>
      </c>
      <c r="H836" s="82">
        <f ca="1"/>
        <v>1</v>
      </c>
      <c r="I836" s="82">
        <f t="shared" ca="1" si="67"/>
        <v>498</v>
      </c>
      <c r="J836" s="83">
        <f t="shared" ca="1" si="65"/>
        <v>0.6110429447852761</v>
      </c>
      <c r="N836" s="60">
        <v>815</v>
      </c>
      <c r="O836" s="82">
        <f ca="1">IF(AND(N836&lt;=U$22,RAND()&lt;=$H$7),1,0)</f>
        <v>0</v>
      </c>
      <c r="P836" s="82">
        <f t="shared" ca="1" si="68"/>
        <v>0</v>
      </c>
      <c r="Q836" s="84">
        <f t="shared" ca="1" si="69"/>
        <v>1</v>
      </c>
      <c r="R836" s="82">
        <f t="shared" ca="1" si="66"/>
        <v>0</v>
      </c>
      <c r="S836" s="82">
        <f ca="1">SUM(R$22:$R836)</f>
        <v>2209.2000000000021</v>
      </c>
      <c r="W836" s="60">
        <v>815</v>
      </c>
      <c r="X836" s="82">
        <f ca="1"/>
        <v>2731.200000000008</v>
      </c>
    </row>
    <row r="837" spans="7:24" x14ac:dyDescent="0.2">
      <c r="G837" s="60">
        <v>816</v>
      </c>
      <c r="H837" s="82">
        <f ca="1"/>
        <v>0</v>
      </c>
      <c r="I837" s="82">
        <f t="shared" ca="1" si="67"/>
        <v>498</v>
      </c>
      <c r="J837" s="83">
        <f t="shared" ca="1" si="65"/>
        <v>0.61029411764705888</v>
      </c>
      <c r="N837" s="60">
        <v>816</v>
      </c>
      <c r="O837" s="82">
        <f ca="1">IF(AND(N837&lt;=U$22,RAND()&lt;=$H$7),1,0)</f>
        <v>0</v>
      </c>
      <c r="P837" s="82">
        <f t="shared" ca="1" si="68"/>
        <v>0</v>
      </c>
      <c r="Q837" s="84">
        <f t="shared" ca="1" si="69"/>
        <v>1</v>
      </c>
      <c r="R837" s="82">
        <f t="shared" ca="1" si="66"/>
        <v>0</v>
      </c>
      <c r="S837" s="82">
        <f ca="1">SUM(R$22:$R837)</f>
        <v>2209.2000000000021</v>
      </c>
      <c r="W837" s="60">
        <v>816</v>
      </c>
      <c r="X837" s="82">
        <f ca="1"/>
        <v>2766.800000000007</v>
      </c>
    </row>
    <row r="838" spans="7:24" x14ac:dyDescent="0.2">
      <c r="G838" s="60">
        <v>817</v>
      </c>
      <c r="H838" s="82">
        <f ca="1"/>
        <v>1</v>
      </c>
      <c r="I838" s="82">
        <f t="shared" ca="1" si="67"/>
        <v>499</v>
      </c>
      <c r="J838" s="83">
        <f t="shared" ca="1" si="65"/>
        <v>0.6107711138310894</v>
      </c>
      <c r="N838" s="60">
        <v>817</v>
      </c>
      <c r="O838" s="82">
        <f ca="1">IF(AND(N838&lt;=U$22,RAND()&lt;=$H$7),1,0)</f>
        <v>0</v>
      </c>
      <c r="P838" s="82">
        <f t="shared" ca="1" si="68"/>
        <v>0</v>
      </c>
      <c r="Q838" s="84">
        <f t="shared" ca="1" si="69"/>
        <v>1</v>
      </c>
      <c r="R838" s="82">
        <f t="shared" ca="1" si="66"/>
        <v>0</v>
      </c>
      <c r="S838" s="82">
        <f ca="1">SUM(R$22:$R838)</f>
        <v>2209.2000000000021</v>
      </c>
      <c r="W838" s="60">
        <v>817</v>
      </c>
      <c r="X838" s="82">
        <f ca="1"/>
        <v>2644.0000000000055</v>
      </c>
    </row>
    <row r="839" spans="7:24" x14ac:dyDescent="0.2">
      <c r="G839" s="60">
        <v>818</v>
      </c>
      <c r="H839" s="82">
        <f ca="1"/>
        <v>1</v>
      </c>
      <c r="I839" s="82">
        <f t="shared" ca="1" si="67"/>
        <v>500</v>
      </c>
      <c r="J839" s="83">
        <f t="shared" ca="1" si="65"/>
        <v>0.61124694376528121</v>
      </c>
      <c r="N839" s="60">
        <v>818</v>
      </c>
      <c r="O839" s="82">
        <f ca="1">IF(AND(N839&lt;=U$22,RAND()&lt;=$H$7),1,0)</f>
        <v>1</v>
      </c>
      <c r="P839" s="82">
        <f t="shared" ca="1" si="68"/>
        <v>0</v>
      </c>
      <c r="Q839" s="84">
        <f t="shared" ca="1" si="69"/>
        <v>1</v>
      </c>
      <c r="R839" s="82">
        <f t="shared" ca="1" si="66"/>
        <v>4</v>
      </c>
      <c r="S839" s="82">
        <f ca="1">SUM(R$22:$R839)</f>
        <v>2213.2000000000021</v>
      </c>
      <c r="W839" s="60">
        <v>818</v>
      </c>
      <c r="X839" s="82">
        <f ca="1"/>
        <v>2731.6000000000063</v>
      </c>
    </row>
    <row r="840" spans="7:24" x14ac:dyDescent="0.2">
      <c r="G840" s="60">
        <v>819</v>
      </c>
      <c r="H840" s="82">
        <f ca="1"/>
        <v>1</v>
      </c>
      <c r="I840" s="82">
        <f t="shared" ca="1" si="67"/>
        <v>501</v>
      </c>
      <c r="J840" s="83">
        <f t="shared" ca="1" si="65"/>
        <v>0.61172161172161177</v>
      </c>
      <c r="N840" s="60">
        <v>819</v>
      </c>
      <c r="O840" s="82">
        <f ca="1">IF(AND(N840&lt;=U$22,RAND()&lt;=$H$7),1,0)</f>
        <v>1</v>
      </c>
      <c r="P840" s="82">
        <f t="shared" ca="1" si="68"/>
        <v>1</v>
      </c>
      <c r="Q840" s="84">
        <f t="shared" ca="1" si="69"/>
        <v>1</v>
      </c>
      <c r="R840" s="82">
        <f t="shared" ca="1" si="66"/>
        <v>4</v>
      </c>
      <c r="S840" s="82">
        <f ca="1">SUM(R$22:$R840)</f>
        <v>2217.2000000000021</v>
      </c>
      <c r="W840" s="60">
        <v>819</v>
      </c>
      <c r="X840" s="82">
        <f ca="1"/>
        <v>2677.6000000000076</v>
      </c>
    </row>
    <row r="841" spans="7:24" x14ac:dyDescent="0.2">
      <c r="G841" s="60">
        <v>820</v>
      </c>
      <c r="H841" s="82">
        <f ca="1"/>
        <v>1</v>
      </c>
      <c r="I841" s="82">
        <f t="shared" ca="1" si="67"/>
        <v>502</v>
      </c>
      <c r="J841" s="83">
        <f t="shared" ca="1" si="65"/>
        <v>0.6121951219512195</v>
      </c>
      <c r="N841" s="60">
        <v>820</v>
      </c>
      <c r="O841" s="82">
        <f ca="1">IF(AND(N841&lt;=U$22,RAND()&lt;=$H$7),1,0)</f>
        <v>1</v>
      </c>
      <c r="P841" s="82">
        <f t="shared" ca="1" si="68"/>
        <v>2</v>
      </c>
      <c r="Q841" s="84">
        <f t="shared" ca="1" si="69"/>
        <v>1.1000000000000001</v>
      </c>
      <c r="R841" s="82">
        <f t="shared" ca="1" si="66"/>
        <v>4.4000000000000004</v>
      </c>
      <c r="S841" s="82">
        <f ca="1">SUM(R$22:$R841)</f>
        <v>2221.6000000000022</v>
      </c>
      <c r="W841" s="60">
        <v>820</v>
      </c>
      <c r="X841" s="82">
        <f ca="1"/>
        <v>2664.0000000000064</v>
      </c>
    </row>
    <row r="842" spans="7:24" x14ac:dyDescent="0.2">
      <c r="G842" s="60">
        <v>821</v>
      </c>
      <c r="H842" s="82">
        <f ca="1"/>
        <v>0</v>
      </c>
      <c r="I842" s="82">
        <f t="shared" ca="1" si="67"/>
        <v>502</v>
      </c>
      <c r="J842" s="83">
        <f t="shared" ca="1" si="65"/>
        <v>0.61144945188794153</v>
      </c>
      <c r="N842" s="60">
        <v>821</v>
      </c>
      <c r="O842" s="82">
        <f ca="1">IF(AND(N842&lt;=U$22,RAND()&lt;=$H$7),1,0)</f>
        <v>1</v>
      </c>
      <c r="P842" s="82">
        <f t="shared" ca="1" si="68"/>
        <v>3</v>
      </c>
      <c r="Q842" s="84">
        <f t="shared" ca="1" si="69"/>
        <v>1.2</v>
      </c>
      <c r="R842" s="82">
        <f t="shared" ca="1" si="66"/>
        <v>4.8</v>
      </c>
      <c r="S842" s="82">
        <f ca="1">SUM(R$22:$R842)</f>
        <v>2226.4000000000024</v>
      </c>
      <c r="W842" s="60">
        <v>821</v>
      </c>
      <c r="X842" s="82">
        <f ca="1"/>
        <v>2834.400000000006</v>
      </c>
    </row>
    <row r="843" spans="7:24" x14ac:dyDescent="0.2">
      <c r="G843" s="60">
        <v>822</v>
      </c>
      <c r="H843" s="82">
        <f ca="1"/>
        <v>1</v>
      </c>
      <c r="I843" s="82">
        <f t="shared" ca="1" si="67"/>
        <v>503</v>
      </c>
      <c r="J843" s="83">
        <f t="shared" ca="1" si="65"/>
        <v>0.61192214111922139</v>
      </c>
      <c r="N843" s="60">
        <v>822</v>
      </c>
      <c r="O843" s="82">
        <f ca="1">IF(AND(N843&lt;=U$22,RAND()&lt;=$H$7),1,0)</f>
        <v>0</v>
      </c>
      <c r="P843" s="82">
        <f t="shared" ca="1" si="68"/>
        <v>0</v>
      </c>
      <c r="Q843" s="84">
        <f t="shared" ca="1" si="69"/>
        <v>1</v>
      </c>
      <c r="R843" s="82">
        <f t="shared" ca="1" si="66"/>
        <v>0</v>
      </c>
      <c r="S843" s="82">
        <f ca="1">SUM(R$22:$R843)</f>
        <v>2226.4000000000024</v>
      </c>
      <c r="W843" s="60">
        <v>822</v>
      </c>
      <c r="X843" s="82">
        <f ca="1"/>
        <v>2907.2000000000066</v>
      </c>
    </row>
    <row r="844" spans="7:24" x14ac:dyDescent="0.2">
      <c r="G844" s="60">
        <v>823</v>
      </c>
      <c r="H844" s="82">
        <f ca="1"/>
        <v>1</v>
      </c>
      <c r="I844" s="82">
        <f t="shared" ca="1" si="67"/>
        <v>504</v>
      </c>
      <c r="J844" s="83">
        <f t="shared" ca="1" si="65"/>
        <v>0.61239368165249086</v>
      </c>
      <c r="N844" s="60">
        <v>823</v>
      </c>
      <c r="O844" s="82">
        <f ca="1">IF(AND(N844&lt;=U$22,RAND()&lt;=$H$7),1,0)</f>
        <v>0</v>
      </c>
      <c r="P844" s="82">
        <f t="shared" ca="1" si="68"/>
        <v>0</v>
      </c>
      <c r="Q844" s="84">
        <f t="shared" ca="1" si="69"/>
        <v>1</v>
      </c>
      <c r="R844" s="82">
        <f t="shared" ca="1" si="66"/>
        <v>0</v>
      </c>
      <c r="S844" s="82">
        <f ca="1">SUM(R$22:$R844)</f>
        <v>2226.4000000000024</v>
      </c>
      <c r="W844" s="60">
        <v>823</v>
      </c>
      <c r="X844" s="82">
        <f ca="1"/>
        <v>2726.8000000000075</v>
      </c>
    </row>
    <row r="845" spans="7:24" x14ac:dyDescent="0.2">
      <c r="G845" s="60">
        <v>824</v>
      </c>
      <c r="H845" s="82">
        <f ca="1"/>
        <v>0</v>
      </c>
      <c r="I845" s="82">
        <f t="shared" ca="1" si="67"/>
        <v>504</v>
      </c>
      <c r="J845" s="83">
        <f t="shared" ca="1" si="65"/>
        <v>0.61165048543689315</v>
      </c>
      <c r="N845" s="60">
        <v>824</v>
      </c>
      <c r="O845" s="82">
        <f ca="1">IF(AND(N845&lt;=U$22,RAND()&lt;=$H$7),1,0)</f>
        <v>0</v>
      </c>
      <c r="P845" s="82">
        <f t="shared" ca="1" si="68"/>
        <v>0</v>
      </c>
      <c r="Q845" s="84">
        <f t="shared" ca="1" si="69"/>
        <v>1</v>
      </c>
      <c r="R845" s="82">
        <f t="shared" ca="1" si="66"/>
        <v>0</v>
      </c>
      <c r="S845" s="82">
        <f ca="1">SUM(R$22:$R845)</f>
        <v>2226.4000000000024</v>
      </c>
      <c r="W845" s="60">
        <v>824</v>
      </c>
      <c r="X845" s="82">
        <f ca="1"/>
        <v>2884.0000000000064</v>
      </c>
    </row>
    <row r="846" spans="7:24" x14ac:dyDescent="0.2">
      <c r="G846" s="60">
        <v>825</v>
      </c>
      <c r="H846" s="82">
        <f ca="1"/>
        <v>1</v>
      </c>
      <c r="I846" s="82">
        <f t="shared" ca="1" si="67"/>
        <v>505</v>
      </c>
      <c r="J846" s="83">
        <f t="shared" ca="1" si="65"/>
        <v>0.61212121212121207</v>
      </c>
      <c r="N846" s="60">
        <v>825</v>
      </c>
      <c r="O846" s="82">
        <f ca="1">IF(AND(N846&lt;=U$22,RAND()&lt;=$H$7),1,0)</f>
        <v>0</v>
      </c>
      <c r="P846" s="82">
        <f t="shared" ca="1" si="68"/>
        <v>0</v>
      </c>
      <c r="Q846" s="84">
        <f t="shared" ca="1" si="69"/>
        <v>1</v>
      </c>
      <c r="R846" s="82">
        <f t="shared" ca="1" si="66"/>
        <v>0</v>
      </c>
      <c r="S846" s="82">
        <f ca="1">SUM(R$22:$R846)</f>
        <v>2226.4000000000024</v>
      </c>
      <c r="W846" s="60">
        <v>825</v>
      </c>
      <c r="X846" s="82">
        <f ca="1"/>
        <v>2699.6000000000076</v>
      </c>
    </row>
    <row r="847" spans="7:24" x14ac:dyDescent="0.2">
      <c r="G847" s="60">
        <v>826</v>
      </c>
      <c r="H847" s="82">
        <f ca="1"/>
        <v>0</v>
      </c>
      <c r="I847" s="82">
        <f t="shared" ca="1" si="67"/>
        <v>505</v>
      </c>
      <c r="J847" s="83">
        <f t="shared" ca="1" si="65"/>
        <v>0.61138014527845042</v>
      </c>
      <c r="N847" s="60">
        <v>826</v>
      </c>
      <c r="O847" s="82">
        <f ca="1">IF(AND(N847&lt;=U$22,RAND()&lt;=$H$7),1,0)</f>
        <v>0</v>
      </c>
      <c r="P847" s="82">
        <f t="shared" ca="1" si="68"/>
        <v>0</v>
      </c>
      <c r="Q847" s="84">
        <f t="shared" ca="1" si="69"/>
        <v>1</v>
      </c>
      <c r="R847" s="82">
        <f t="shared" ca="1" si="66"/>
        <v>0</v>
      </c>
      <c r="S847" s="82">
        <f ca="1">SUM(R$22:$R847)</f>
        <v>2226.4000000000024</v>
      </c>
      <c r="W847" s="60">
        <v>826</v>
      </c>
      <c r="X847" s="82">
        <f ca="1"/>
        <v>2716.4000000000065</v>
      </c>
    </row>
    <row r="848" spans="7:24" x14ac:dyDescent="0.2">
      <c r="G848" s="60">
        <v>827</v>
      </c>
      <c r="H848" s="82">
        <f ca="1"/>
        <v>1</v>
      </c>
      <c r="I848" s="82">
        <f t="shared" ca="1" si="67"/>
        <v>506</v>
      </c>
      <c r="J848" s="83">
        <f t="shared" ca="1" si="65"/>
        <v>0.6118500604594922</v>
      </c>
      <c r="N848" s="60">
        <v>827</v>
      </c>
      <c r="O848" s="82">
        <f ca="1">IF(AND(N848&lt;=U$22,RAND()&lt;=$H$7),1,0)</f>
        <v>0</v>
      </c>
      <c r="P848" s="82">
        <f t="shared" ca="1" si="68"/>
        <v>0</v>
      </c>
      <c r="Q848" s="84">
        <f t="shared" ca="1" si="69"/>
        <v>1</v>
      </c>
      <c r="R848" s="82">
        <f t="shared" ca="1" si="66"/>
        <v>0</v>
      </c>
      <c r="S848" s="82">
        <f ca="1">SUM(R$22:$R848)</f>
        <v>2226.4000000000024</v>
      </c>
      <c r="W848" s="60">
        <v>827</v>
      </c>
      <c r="X848" s="82">
        <f ca="1"/>
        <v>2688.0000000000077</v>
      </c>
    </row>
    <row r="849" spans="7:24" x14ac:dyDescent="0.2">
      <c r="G849" s="60">
        <v>828</v>
      </c>
      <c r="H849" s="82">
        <f ca="1"/>
        <v>1</v>
      </c>
      <c r="I849" s="82">
        <f t="shared" ca="1" si="67"/>
        <v>507</v>
      </c>
      <c r="J849" s="83">
        <f t="shared" ca="1" si="65"/>
        <v>0.6123188405797102</v>
      </c>
      <c r="N849" s="60">
        <v>828</v>
      </c>
      <c r="O849" s="82">
        <f ca="1">IF(AND(N849&lt;=U$22,RAND()&lt;=$H$7),1,0)</f>
        <v>1</v>
      </c>
      <c r="P849" s="82">
        <f t="shared" ca="1" si="68"/>
        <v>0</v>
      </c>
      <c r="Q849" s="84">
        <f t="shared" ca="1" si="69"/>
        <v>1</v>
      </c>
      <c r="R849" s="82">
        <f t="shared" ca="1" si="66"/>
        <v>4</v>
      </c>
      <c r="S849" s="82">
        <f ca="1">SUM(R$22:$R849)</f>
        <v>2230.4000000000024</v>
      </c>
      <c r="W849" s="60">
        <v>828</v>
      </c>
      <c r="X849" s="82">
        <f ca="1"/>
        <v>2816.0000000000064</v>
      </c>
    </row>
    <row r="850" spans="7:24" x14ac:dyDescent="0.2">
      <c r="G850" s="60">
        <v>829</v>
      </c>
      <c r="H850" s="82">
        <f ca="1"/>
        <v>1</v>
      </c>
      <c r="I850" s="82">
        <f t="shared" ca="1" si="67"/>
        <v>508</v>
      </c>
      <c r="J850" s="83">
        <f t="shared" ca="1" si="65"/>
        <v>0.61278648974668271</v>
      </c>
      <c r="N850" s="60">
        <v>829</v>
      </c>
      <c r="O850" s="82">
        <f ca="1">IF(AND(N850&lt;=U$22,RAND()&lt;=$H$7),1,0)</f>
        <v>1</v>
      </c>
      <c r="P850" s="82">
        <f t="shared" ca="1" si="68"/>
        <v>1</v>
      </c>
      <c r="Q850" s="84">
        <f t="shared" ca="1" si="69"/>
        <v>1</v>
      </c>
      <c r="R850" s="82">
        <f t="shared" ca="1" si="66"/>
        <v>4</v>
      </c>
      <c r="S850" s="82">
        <f ca="1">SUM(R$22:$R850)</f>
        <v>2234.4000000000024</v>
      </c>
      <c r="W850" s="60">
        <v>829</v>
      </c>
      <c r="X850" s="82">
        <f ca="1"/>
        <v>2684.8000000000075</v>
      </c>
    </row>
    <row r="851" spans="7:24" x14ac:dyDescent="0.2">
      <c r="G851" s="60">
        <v>830</v>
      </c>
      <c r="H851" s="82">
        <f ca="1"/>
        <v>1</v>
      </c>
      <c r="I851" s="82">
        <f t="shared" ca="1" si="67"/>
        <v>509</v>
      </c>
      <c r="J851" s="83">
        <f t="shared" ca="1" si="65"/>
        <v>0.61325301204819282</v>
      </c>
      <c r="N851" s="60">
        <v>830</v>
      </c>
      <c r="O851" s="82">
        <f ca="1">IF(AND(N851&lt;=U$22,RAND()&lt;=$H$7),1,0)</f>
        <v>1</v>
      </c>
      <c r="P851" s="82">
        <f t="shared" ca="1" si="68"/>
        <v>2</v>
      </c>
      <c r="Q851" s="84">
        <f t="shared" ca="1" si="69"/>
        <v>1.1000000000000001</v>
      </c>
      <c r="R851" s="82">
        <f t="shared" ca="1" si="66"/>
        <v>4.4000000000000004</v>
      </c>
      <c r="S851" s="82">
        <f ca="1">SUM(R$22:$R851)</f>
        <v>2238.8000000000025</v>
      </c>
      <c r="W851" s="60">
        <v>830</v>
      </c>
      <c r="X851" s="82">
        <f ca="1"/>
        <v>2808.0000000000064</v>
      </c>
    </row>
    <row r="852" spans="7:24" x14ac:dyDescent="0.2">
      <c r="G852" s="60">
        <v>831</v>
      </c>
      <c r="H852" s="82">
        <f ca="1"/>
        <v>0</v>
      </c>
      <c r="I852" s="82">
        <f t="shared" ca="1" si="67"/>
        <v>509</v>
      </c>
      <c r="J852" s="83">
        <f t="shared" ca="1" si="65"/>
        <v>0.61251504211793018</v>
      </c>
      <c r="N852" s="60">
        <v>831</v>
      </c>
      <c r="O852" s="82">
        <f ca="1">IF(AND(N852&lt;=U$22,RAND()&lt;=$H$7),1,0)</f>
        <v>0</v>
      </c>
      <c r="P852" s="82">
        <f t="shared" ca="1" si="68"/>
        <v>0</v>
      </c>
      <c r="Q852" s="84">
        <f t="shared" ca="1" si="69"/>
        <v>1</v>
      </c>
      <c r="R852" s="82">
        <f t="shared" ca="1" si="66"/>
        <v>0</v>
      </c>
      <c r="S852" s="82">
        <f ca="1">SUM(R$22:$R852)</f>
        <v>2238.8000000000025</v>
      </c>
      <c r="W852" s="60">
        <v>831</v>
      </c>
      <c r="X852" s="82">
        <f ca="1"/>
        <v>2778.8000000000075</v>
      </c>
    </row>
    <row r="853" spans="7:24" x14ac:dyDescent="0.2">
      <c r="G853" s="60">
        <v>832</v>
      </c>
      <c r="H853" s="82">
        <f ca="1"/>
        <v>0</v>
      </c>
      <c r="I853" s="82">
        <f t="shared" ca="1" si="67"/>
        <v>509</v>
      </c>
      <c r="J853" s="83">
        <f t="shared" ca="1" si="65"/>
        <v>0.61177884615384615</v>
      </c>
      <c r="N853" s="60">
        <v>832</v>
      </c>
      <c r="O853" s="82">
        <f ca="1">IF(AND(N853&lt;=U$22,RAND()&lt;=$H$7),1,0)</f>
        <v>1</v>
      </c>
      <c r="P853" s="82">
        <f t="shared" ca="1" si="68"/>
        <v>0</v>
      </c>
      <c r="Q853" s="84">
        <f t="shared" ca="1" si="69"/>
        <v>1</v>
      </c>
      <c r="R853" s="82">
        <f t="shared" ca="1" si="66"/>
        <v>4</v>
      </c>
      <c r="S853" s="82">
        <f ca="1">SUM(R$22:$R853)</f>
        <v>2242.8000000000025</v>
      </c>
      <c r="W853" s="60">
        <v>832</v>
      </c>
      <c r="X853" s="82">
        <f ca="1"/>
        <v>2778.400000000006</v>
      </c>
    </row>
    <row r="854" spans="7:24" x14ac:dyDescent="0.2">
      <c r="G854" s="60">
        <v>833</v>
      </c>
      <c r="H854" s="82">
        <f ca="1"/>
        <v>0</v>
      </c>
      <c r="I854" s="82">
        <f t="shared" ca="1" si="67"/>
        <v>509</v>
      </c>
      <c r="J854" s="83">
        <f t="shared" ca="1" si="65"/>
        <v>0.61104441776710683</v>
      </c>
      <c r="N854" s="60">
        <v>833</v>
      </c>
      <c r="O854" s="82">
        <f ca="1">IF(AND(N854&lt;=U$22,RAND()&lt;=$H$7),1,0)</f>
        <v>1</v>
      </c>
      <c r="P854" s="82">
        <f t="shared" ca="1" si="68"/>
        <v>1</v>
      </c>
      <c r="Q854" s="84">
        <f t="shared" ca="1" si="69"/>
        <v>1</v>
      </c>
      <c r="R854" s="82">
        <f t="shared" ca="1" si="66"/>
        <v>4</v>
      </c>
      <c r="S854" s="82">
        <f ca="1">SUM(R$22:$R854)</f>
        <v>2246.8000000000025</v>
      </c>
      <c r="W854" s="60">
        <v>833</v>
      </c>
      <c r="X854" s="82">
        <f ca="1"/>
        <v>2795.6000000000063</v>
      </c>
    </row>
    <row r="855" spans="7:24" x14ac:dyDescent="0.2">
      <c r="G855" s="60">
        <v>834</v>
      </c>
      <c r="H855" s="82">
        <f ca="1"/>
        <v>1</v>
      </c>
      <c r="I855" s="82">
        <f t="shared" ca="1" si="67"/>
        <v>510</v>
      </c>
      <c r="J855" s="83">
        <f t="shared" ref="J855:J918" ca="1" si="70">I855/G855</f>
        <v>0.61151079136690645</v>
      </c>
      <c r="N855" s="60">
        <v>834</v>
      </c>
      <c r="O855" s="82">
        <f ca="1">IF(AND(N855&lt;=U$22,RAND()&lt;=$H$7),1,0)</f>
        <v>1</v>
      </c>
      <c r="P855" s="82">
        <f t="shared" ca="1" si="68"/>
        <v>2</v>
      </c>
      <c r="Q855" s="84">
        <f t="shared" ca="1" si="69"/>
        <v>1.1000000000000001</v>
      </c>
      <c r="R855" s="82">
        <f t="shared" ref="R855:R918" ca="1" si="71">Q855*$I$7*O855</f>
        <v>4.4000000000000004</v>
      </c>
      <c r="S855" s="82">
        <f ca="1">SUM(R$22:$R855)</f>
        <v>2251.2000000000025</v>
      </c>
      <c r="W855" s="60">
        <v>834</v>
      </c>
      <c r="X855" s="82">
        <f ca="1"/>
        <v>2780.0000000000068</v>
      </c>
    </row>
    <row r="856" spans="7:24" x14ac:dyDescent="0.2">
      <c r="G856" s="60">
        <v>835</v>
      </c>
      <c r="H856" s="82">
        <f ca="1"/>
        <v>0</v>
      </c>
      <c r="I856" s="82">
        <f t="shared" ref="I856:I919" ca="1" si="72">H856+I855</f>
        <v>510</v>
      </c>
      <c r="J856" s="83">
        <f t="shared" ca="1" si="70"/>
        <v>0.6107784431137725</v>
      </c>
      <c r="N856" s="60">
        <v>835</v>
      </c>
      <c r="O856" s="82">
        <f ca="1">IF(AND(N856&lt;=U$22,RAND()&lt;=$H$7),1,0)</f>
        <v>1</v>
      </c>
      <c r="P856" s="82">
        <f t="shared" ref="P856:P919" ca="1" si="73">IF(AND(O855=1,O856=1),P855+1,0)</f>
        <v>3</v>
      </c>
      <c r="Q856" s="84">
        <f t="shared" ref="Q856:Q919" ca="1" si="74">IF(P856&gt;1,1+(P856-1)*0.1,1)</f>
        <v>1.2</v>
      </c>
      <c r="R856" s="82">
        <f t="shared" ca="1" si="71"/>
        <v>4.8</v>
      </c>
      <c r="S856" s="82">
        <f ca="1">SUM(R$22:$R856)</f>
        <v>2256.0000000000027</v>
      </c>
      <c r="W856" s="60">
        <v>835</v>
      </c>
      <c r="X856" s="82">
        <f ca="1"/>
        <v>2666.8000000000061</v>
      </c>
    </row>
    <row r="857" spans="7:24" x14ac:dyDescent="0.2">
      <c r="G857" s="60">
        <v>836</v>
      </c>
      <c r="H857" s="82">
        <f ca="1"/>
        <v>0</v>
      </c>
      <c r="I857" s="82">
        <f t="shared" ca="1" si="72"/>
        <v>510</v>
      </c>
      <c r="J857" s="83">
        <f t="shared" ca="1" si="70"/>
        <v>0.61004784688995217</v>
      </c>
      <c r="N857" s="60">
        <v>836</v>
      </c>
      <c r="O857" s="82">
        <f ca="1">IF(AND(N857&lt;=U$22,RAND()&lt;=$H$7),1,0)</f>
        <v>1</v>
      </c>
      <c r="P857" s="82">
        <f t="shared" ca="1" si="73"/>
        <v>4</v>
      </c>
      <c r="Q857" s="84">
        <f t="shared" ca="1" si="74"/>
        <v>1.3</v>
      </c>
      <c r="R857" s="82">
        <f t="shared" ca="1" si="71"/>
        <v>5.2</v>
      </c>
      <c r="S857" s="82">
        <f ca="1">SUM(R$22:$R857)</f>
        <v>2261.2000000000025</v>
      </c>
      <c r="W857" s="60">
        <v>836</v>
      </c>
      <c r="X857" s="82">
        <f ca="1"/>
        <v>2602.8000000000047</v>
      </c>
    </row>
    <row r="858" spans="7:24" x14ac:dyDescent="0.2">
      <c r="G858" s="60">
        <v>837</v>
      </c>
      <c r="H858" s="82">
        <f ca="1"/>
        <v>0</v>
      </c>
      <c r="I858" s="82">
        <f t="shared" ca="1" si="72"/>
        <v>510</v>
      </c>
      <c r="J858" s="83">
        <f t="shared" ca="1" si="70"/>
        <v>0.60931899641577059</v>
      </c>
      <c r="N858" s="60">
        <v>837</v>
      </c>
      <c r="O858" s="82">
        <f ca="1">IF(AND(N858&lt;=U$22,RAND()&lt;=$H$7),1,0)</f>
        <v>1</v>
      </c>
      <c r="P858" s="82">
        <f t="shared" ca="1" si="73"/>
        <v>5</v>
      </c>
      <c r="Q858" s="84">
        <f t="shared" ca="1" si="74"/>
        <v>1.4</v>
      </c>
      <c r="R858" s="82">
        <f t="shared" ca="1" si="71"/>
        <v>5.6</v>
      </c>
      <c r="S858" s="82">
        <f ca="1">SUM(R$22:$R858)</f>
        <v>2266.8000000000025</v>
      </c>
      <c r="W858" s="60">
        <v>837</v>
      </c>
      <c r="X858" s="82">
        <f ca="1"/>
        <v>2908.8000000000075</v>
      </c>
    </row>
    <row r="859" spans="7:24" x14ac:dyDescent="0.2">
      <c r="G859" s="60">
        <v>838</v>
      </c>
      <c r="H859" s="82">
        <f ca="1"/>
        <v>1</v>
      </c>
      <c r="I859" s="82">
        <f t="shared" ca="1" si="72"/>
        <v>511</v>
      </c>
      <c r="J859" s="83">
        <f t="shared" ca="1" si="70"/>
        <v>0.60978520286396176</v>
      </c>
      <c r="N859" s="60">
        <v>838</v>
      </c>
      <c r="O859" s="82">
        <f ca="1">IF(AND(N859&lt;=U$22,RAND()&lt;=$H$7),1,0)</f>
        <v>1</v>
      </c>
      <c r="P859" s="82">
        <f t="shared" ca="1" si="73"/>
        <v>6</v>
      </c>
      <c r="Q859" s="84">
        <f t="shared" ca="1" si="74"/>
        <v>1.5</v>
      </c>
      <c r="R859" s="82">
        <f t="shared" ca="1" si="71"/>
        <v>6</v>
      </c>
      <c r="S859" s="82">
        <f ca="1">SUM(R$22:$R859)</f>
        <v>2272.8000000000025</v>
      </c>
      <c r="W859" s="60">
        <v>838</v>
      </c>
      <c r="X859" s="82">
        <f ca="1"/>
        <v>2894.4000000000092</v>
      </c>
    </row>
    <row r="860" spans="7:24" x14ac:dyDescent="0.2">
      <c r="G860" s="60">
        <v>839</v>
      </c>
      <c r="H860" s="82">
        <f ca="1"/>
        <v>1</v>
      </c>
      <c r="I860" s="82">
        <f t="shared" ca="1" si="72"/>
        <v>512</v>
      </c>
      <c r="J860" s="83">
        <f t="shared" ca="1" si="70"/>
        <v>0.61025029797377828</v>
      </c>
      <c r="N860" s="60">
        <v>839</v>
      </c>
      <c r="O860" s="82">
        <f ca="1">IF(AND(N860&lt;=U$22,RAND()&lt;=$H$7),1,0)</f>
        <v>0</v>
      </c>
      <c r="P860" s="82">
        <f t="shared" ca="1" si="73"/>
        <v>0</v>
      </c>
      <c r="Q860" s="84">
        <f t="shared" ca="1" si="74"/>
        <v>1</v>
      </c>
      <c r="R860" s="82">
        <f t="shared" ca="1" si="71"/>
        <v>0</v>
      </c>
      <c r="S860" s="82">
        <f ca="1">SUM(R$22:$R860)</f>
        <v>2272.8000000000025</v>
      </c>
      <c r="W860" s="60">
        <v>839</v>
      </c>
      <c r="X860" s="82">
        <f ca="1"/>
        <v>2680.0000000000068</v>
      </c>
    </row>
    <row r="861" spans="7:24" x14ac:dyDescent="0.2">
      <c r="G861" s="60">
        <v>840</v>
      </c>
      <c r="H861" s="82">
        <f ca="1"/>
        <v>0</v>
      </c>
      <c r="I861" s="82">
        <f t="shared" ca="1" si="72"/>
        <v>512</v>
      </c>
      <c r="J861" s="83">
        <f t="shared" ca="1" si="70"/>
        <v>0.60952380952380958</v>
      </c>
      <c r="N861" s="60">
        <v>840</v>
      </c>
      <c r="O861" s="82">
        <f ca="1">IF(AND(N861&lt;=U$22,RAND()&lt;=$H$7),1,0)</f>
        <v>0</v>
      </c>
      <c r="P861" s="82">
        <f t="shared" ca="1" si="73"/>
        <v>0</v>
      </c>
      <c r="Q861" s="84">
        <f t="shared" ca="1" si="74"/>
        <v>1</v>
      </c>
      <c r="R861" s="82">
        <f t="shared" ca="1" si="71"/>
        <v>0</v>
      </c>
      <c r="S861" s="82">
        <f ca="1">SUM(R$22:$R861)</f>
        <v>2272.8000000000025</v>
      </c>
      <c r="W861" s="60">
        <v>840</v>
      </c>
      <c r="X861" s="82">
        <f ca="1"/>
        <v>2658.0000000000077</v>
      </c>
    </row>
    <row r="862" spans="7:24" x14ac:dyDescent="0.2">
      <c r="G862" s="60">
        <v>841</v>
      </c>
      <c r="H862" s="82">
        <f ca="1"/>
        <v>1</v>
      </c>
      <c r="I862" s="82">
        <f t="shared" ca="1" si="72"/>
        <v>513</v>
      </c>
      <c r="J862" s="83">
        <f t="shared" ca="1" si="70"/>
        <v>0.60998810939357906</v>
      </c>
      <c r="N862" s="60">
        <v>841</v>
      </c>
      <c r="O862" s="82">
        <f ca="1">IF(AND(N862&lt;=U$22,RAND()&lt;=$H$7),1,0)</f>
        <v>1</v>
      </c>
      <c r="P862" s="82">
        <f t="shared" ca="1" si="73"/>
        <v>0</v>
      </c>
      <c r="Q862" s="84">
        <f t="shared" ca="1" si="74"/>
        <v>1</v>
      </c>
      <c r="R862" s="82">
        <f t="shared" ca="1" si="71"/>
        <v>4</v>
      </c>
      <c r="S862" s="82">
        <f ca="1">SUM(R$22:$R862)</f>
        <v>2276.8000000000025</v>
      </c>
      <c r="W862" s="60">
        <v>841</v>
      </c>
      <c r="X862" s="82">
        <f ca="1"/>
        <v>2779.2000000000075</v>
      </c>
    </row>
    <row r="863" spans="7:24" x14ac:dyDescent="0.2">
      <c r="G863" s="60">
        <v>842</v>
      </c>
      <c r="H863" s="82">
        <f ca="1"/>
        <v>1</v>
      </c>
      <c r="I863" s="82">
        <f t="shared" ca="1" si="72"/>
        <v>514</v>
      </c>
      <c r="J863" s="83">
        <f t="shared" ca="1" si="70"/>
        <v>0.6104513064133017</v>
      </c>
      <c r="N863" s="60">
        <v>842</v>
      </c>
      <c r="O863" s="82">
        <f ca="1">IF(AND(N863&lt;=U$22,RAND()&lt;=$H$7),1,0)</f>
        <v>1</v>
      </c>
      <c r="P863" s="82">
        <f t="shared" ca="1" si="73"/>
        <v>1</v>
      </c>
      <c r="Q863" s="84">
        <f t="shared" ca="1" si="74"/>
        <v>1</v>
      </c>
      <c r="R863" s="82">
        <f t="shared" ca="1" si="71"/>
        <v>4</v>
      </c>
      <c r="S863" s="82">
        <f ca="1">SUM(R$22:$R863)</f>
        <v>2280.8000000000025</v>
      </c>
      <c r="W863" s="60">
        <v>842</v>
      </c>
      <c r="X863" s="82">
        <f ca="1"/>
        <v>2807.2000000000057</v>
      </c>
    </row>
    <row r="864" spans="7:24" x14ac:dyDescent="0.2">
      <c r="G864" s="60">
        <v>843</v>
      </c>
      <c r="H864" s="82">
        <f ca="1"/>
        <v>1</v>
      </c>
      <c r="I864" s="82">
        <f t="shared" ca="1" si="72"/>
        <v>515</v>
      </c>
      <c r="J864" s="83">
        <f t="shared" ca="1" si="70"/>
        <v>0.61091340450771059</v>
      </c>
      <c r="N864" s="60">
        <v>843</v>
      </c>
      <c r="O864" s="82">
        <f ca="1">IF(AND(N864&lt;=U$22,RAND()&lt;=$H$7),1,0)</f>
        <v>1</v>
      </c>
      <c r="P864" s="82">
        <f t="shared" ca="1" si="73"/>
        <v>2</v>
      </c>
      <c r="Q864" s="84">
        <f t="shared" ca="1" si="74"/>
        <v>1.1000000000000001</v>
      </c>
      <c r="R864" s="82">
        <f t="shared" ca="1" si="71"/>
        <v>4.4000000000000004</v>
      </c>
      <c r="S864" s="82">
        <f ca="1">SUM(R$22:$R864)</f>
        <v>2285.2000000000025</v>
      </c>
      <c r="W864" s="60">
        <v>843</v>
      </c>
      <c r="X864" s="82">
        <f ca="1"/>
        <v>2833.6000000000085</v>
      </c>
    </row>
    <row r="865" spans="7:24" x14ac:dyDescent="0.2">
      <c r="G865" s="60">
        <v>844</v>
      </c>
      <c r="H865" s="82">
        <f ca="1"/>
        <v>1</v>
      </c>
      <c r="I865" s="82">
        <f t="shared" ca="1" si="72"/>
        <v>516</v>
      </c>
      <c r="J865" s="83">
        <f t="shared" ca="1" si="70"/>
        <v>0.61137440758293837</v>
      </c>
      <c r="N865" s="60">
        <v>844</v>
      </c>
      <c r="O865" s="82">
        <f ca="1">IF(AND(N865&lt;=U$22,RAND()&lt;=$H$7),1,0)</f>
        <v>1</v>
      </c>
      <c r="P865" s="82">
        <f t="shared" ca="1" si="73"/>
        <v>3</v>
      </c>
      <c r="Q865" s="84">
        <f t="shared" ca="1" si="74"/>
        <v>1.2</v>
      </c>
      <c r="R865" s="82">
        <f t="shared" ca="1" si="71"/>
        <v>4.8</v>
      </c>
      <c r="S865" s="82">
        <f ca="1">SUM(R$22:$R865)</f>
        <v>2290.0000000000027</v>
      </c>
      <c r="W865" s="60">
        <v>844</v>
      </c>
      <c r="X865" s="82">
        <f ca="1"/>
        <v>2963.6000000000076</v>
      </c>
    </row>
    <row r="866" spans="7:24" x14ac:dyDescent="0.2">
      <c r="G866" s="60">
        <v>845</v>
      </c>
      <c r="H866" s="82">
        <f ca="1"/>
        <v>1</v>
      </c>
      <c r="I866" s="82">
        <f t="shared" ca="1" si="72"/>
        <v>517</v>
      </c>
      <c r="J866" s="83">
        <f t="shared" ca="1" si="70"/>
        <v>0.61183431952662726</v>
      </c>
      <c r="N866" s="60">
        <v>845</v>
      </c>
      <c r="O866" s="82">
        <f ca="1">IF(AND(N866&lt;=U$22,RAND()&lt;=$H$7),1,0)</f>
        <v>0</v>
      </c>
      <c r="P866" s="82">
        <f t="shared" ca="1" si="73"/>
        <v>0</v>
      </c>
      <c r="Q866" s="84">
        <f t="shared" ca="1" si="74"/>
        <v>1</v>
      </c>
      <c r="R866" s="82">
        <f t="shared" ca="1" si="71"/>
        <v>0</v>
      </c>
      <c r="S866" s="82">
        <f ca="1">SUM(R$22:$R866)</f>
        <v>2290.0000000000027</v>
      </c>
      <c r="W866" s="60">
        <v>845</v>
      </c>
      <c r="X866" s="82">
        <f ca="1"/>
        <v>2913.6000000000072</v>
      </c>
    </row>
    <row r="867" spans="7:24" x14ac:dyDescent="0.2">
      <c r="G867" s="60">
        <v>846</v>
      </c>
      <c r="H867" s="82">
        <f ca="1"/>
        <v>1</v>
      </c>
      <c r="I867" s="82">
        <f t="shared" ca="1" si="72"/>
        <v>518</v>
      </c>
      <c r="J867" s="83">
        <f t="shared" ca="1" si="70"/>
        <v>0.61229314420803782</v>
      </c>
      <c r="N867" s="60">
        <v>846</v>
      </c>
      <c r="O867" s="82">
        <f ca="1">IF(AND(N867&lt;=U$22,RAND()&lt;=$H$7),1,0)</f>
        <v>0</v>
      </c>
      <c r="P867" s="82">
        <f t="shared" ca="1" si="73"/>
        <v>0</v>
      </c>
      <c r="Q867" s="84">
        <f t="shared" ca="1" si="74"/>
        <v>1</v>
      </c>
      <c r="R867" s="82">
        <f t="shared" ca="1" si="71"/>
        <v>0</v>
      </c>
      <c r="S867" s="82">
        <f ca="1">SUM(R$22:$R867)</f>
        <v>2290.0000000000027</v>
      </c>
      <c r="W867" s="60">
        <v>846</v>
      </c>
      <c r="X867" s="82">
        <f ca="1"/>
        <v>2900.0000000000077</v>
      </c>
    </row>
    <row r="868" spans="7:24" x14ac:dyDescent="0.2">
      <c r="G868" s="60">
        <v>847</v>
      </c>
      <c r="H868" s="82">
        <f ca="1"/>
        <v>0</v>
      </c>
      <c r="I868" s="82">
        <f t="shared" ca="1" si="72"/>
        <v>518</v>
      </c>
      <c r="J868" s="83">
        <f t="shared" ca="1" si="70"/>
        <v>0.61157024793388426</v>
      </c>
      <c r="N868" s="60">
        <v>847</v>
      </c>
      <c r="O868" s="82">
        <f ca="1">IF(AND(N868&lt;=U$22,RAND()&lt;=$H$7),1,0)</f>
        <v>1</v>
      </c>
      <c r="P868" s="82">
        <f t="shared" ca="1" si="73"/>
        <v>0</v>
      </c>
      <c r="Q868" s="84">
        <f t="shared" ca="1" si="74"/>
        <v>1</v>
      </c>
      <c r="R868" s="82">
        <f t="shared" ca="1" si="71"/>
        <v>4</v>
      </c>
      <c r="S868" s="82">
        <f ca="1">SUM(R$22:$R868)</f>
        <v>2294.0000000000027</v>
      </c>
      <c r="W868" s="60">
        <v>847</v>
      </c>
      <c r="X868" s="82">
        <f ca="1"/>
        <v>2680.400000000006</v>
      </c>
    </row>
    <row r="869" spans="7:24" x14ac:dyDescent="0.2">
      <c r="G869" s="60">
        <v>848</v>
      </c>
      <c r="H869" s="82">
        <f ca="1"/>
        <v>0</v>
      </c>
      <c r="I869" s="82">
        <f t="shared" ca="1" si="72"/>
        <v>518</v>
      </c>
      <c r="J869" s="83">
        <f t="shared" ca="1" si="70"/>
        <v>0.61084905660377353</v>
      </c>
      <c r="N869" s="60">
        <v>848</v>
      </c>
      <c r="O869" s="82">
        <f ca="1">IF(AND(N869&lt;=U$22,RAND()&lt;=$H$7),1,0)</f>
        <v>0</v>
      </c>
      <c r="P869" s="82">
        <f t="shared" ca="1" si="73"/>
        <v>0</v>
      </c>
      <c r="Q869" s="84">
        <f t="shared" ca="1" si="74"/>
        <v>1</v>
      </c>
      <c r="R869" s="82">
        <f t="shared" ca="1" si="71"/>
        <v>0</v>
      </c>
      <c r="S869" s="82">
        <f ca="1">SUM(R$22:$R869)</f>
        <v>2294.0000000000027</v>
      </c>
      <c r="W869" s="60">
        <v>848</v>
      </c>
      <c r="X869" s="82">
        <f ca="1"/>
        <v>2802.800000000007</v>
      </c>
    </row>
    <row r="870" spans="7:24" x14ac:dyDescent="0.2">
      <c r="G870" s="60">
        <v>849</v>
      </c>
      <c r="H870" s="82">
        <f ca="1"/>
        <v>0</v>
      </c>
      <c r="I870" s="82">
        <f t="shared" ca="1" si="72"/>
        <v>518</v>
      </c>
      <c r="J870" s="83">
        <f t="shared" ca="1" si="70"/>
        <v>0.61012956419316844</v>
      </c>
      <c r="N870" s="60">
        <v>849</v>
      </c>
      <c r="O870" s="82">
        <f ca="1">IF(AND(N870&lt;=U$22,RAND()&lt;=$H$7),1,0)</f>
        <v>1</v>
      </c>
      <c r="P870" s="82">
        <f t="shared" ca="1" si="73"/>
        <v>0</v>
      </c>
      <c r="Q870" s="84">
        <f t="shared" ca="1" si="74"/>
        <v>1</v>
      </c>
      <c r="R870" s="82">
        <f t="shared" ca="1" si="71"/>
        <v>4</v>
      </c>
      <c r="S870" s="82">
        <f ca="1">SUM(R$22:$R870)</f>
        <v>2298.0000000000027</v>
      </c>
      <c r="W870" s="60">
        <v>849</v>
      </c>
      <c r="X870" s="82">
        <f ca="1"/>
        <v>2774.0000000000073</v>
      </c>
    </row>
    <row r="871" spans="7:24" x14ac:dyDescent="0.2">
      <c r="G871" s="60">
        <v>850</v>
      </c>
      <c r="H871" s="82">
        <f ca="1"/>
        <v>0</v>
      </c>
      <c r="I871" s="82">
        <f t="shared" ca="1" si="72"/>
        <v>518</v>
      </c>
      <c r="J871" s="83">
        <f t="shared" ca="1" si="70"/>
        <v>0.60941176470588232</v>
      </c>
      <c r="N871" s="60">
        <v>850</v>
      </c>
      <c r="O871" s="82">
        <f ca="1">IF(AND(N871&lt;=U$22,RAND()&lt;=$H$7),1,0)</f>
        <v>0</v>
      </c>
      <c r="P871" s="82">
        <f t="shared" ca="1" si="73"/>
        <v>0</v>
      </c>
      <c r="Q871" s="84">
        <f t="shared" ca="1" si="74"/>
        <v>1</v>
      </c>
      <c r="R871" s="82">
        <f t="shared" ca="1" si="71"/>
        <v>0</v>
      </c>
      <c r="S871" s="82">
        <f ca="1">SUM(R$22:$R871)</f>
        <v>2298.0000000000027</v>
      </c>
      <c r="W871" s="60">
        <v>850</v>
      </c>
      <c r="X871" s="82">
        <f ca="1"/>
        <v>2731.6000000000067</v>
      </c>
    </row>
    <row r="872" spans="7:24" x14ac:dyDescent="0.2">
      <c r="G872" s="60">
        <v>851</v>
      </c>
      <c r="H872" s="82">
        <f ca="1"/>
        <v>1</v>
      </c>
      <c r="I872" s="82">
        <f t="shared" ca="1" si="72"/>
        <v>519</v>
      </c>
      <c r="J872" s="83">
        <f t="shared" ca="1" si="70"/>
        <v>0.60987074030552291</v>
      </c>
      <c r="N872" s="60">
        <v>851</v>
      </c>
      <c r="O872" s="82">
        <f ca="1">IF(AND(N872&lt;=U$22,RAND()&lt;=$H$7),1,0)</f>
        <v>0</v>
      </c>
      <c r="P872" s="82">
        <f t="shared" ca="1" si="73"/>
        <v>0</v>
      </c>
      <c r="Q872" s="84">
        <f t="shared" ca="1" si="74"/>
        <v>1</v>
      </c>
      <c r="R872" s="82">
        <f t="shared" ca="1" si="71"/>
        <v>0</v>
      </c>
      <c r="S872" s="82">
        <f ca="1">SUM(R$22:$R872)</f>
        <v>2298.0000000000027</v>
      </c>
      <c r="W872" s="60">
        <v>851</v>
      </c>
      <c r="X872" s="82">
        <f ca="1"/>
        <v>2507.6000000000072</v>
      </c>
    </row>
    <row r="873" spans="7:24" x14ac:dyDescent="0.2">
      <c r="G873" s="60">
        <v>852</v>
      </c>
      <c r="H873" s="82">
        <f ca="1"/>
        <v>0</v>
      </c>
      <c r="I873" s="82">
        <f t="shared" ca="1" si="72"/>
        <v>519</v>
      </c>
      <c r="J873" s="83">
        <f t="shared" ca="1" si="70"/>
        <v>0.60915492957746475</v>
      </c>
      <c r="N873" s="60">
        <v>852</v>
      </c>
      <c r="O873" s="82">
        <f ca="1">IF(AND(N873&lt;=U$22,RAND()&lt;=$H$7),1,0)</f>
        <v>1</v>
      </c>
      <c r="P873" s="82">
        <f t="shared" ca="1" si="73"/>
        <v>0</v>
      </c>
      <c r="Q873" s="84">
        <f t="shared" ca="1" si="74"/>
        <v>1</v>
      </c>
      <c r="R873" s="82">
        <f t="shared" ca="1" si="71"/>
        <v>4</v>
      </c>
      <c r="S873" s="82">
        <f ca="1">SUM(R$22:$R873)</f>
        <v>2302.0000000000027</v>
      </c>
      <c r="W873" s="60">
        <v>852</v>
      </c>
      <c r="X873" s="82">
        <f ca="1"/>
        <v>2795.6000000000072</v>
      </c>
    </row>
    <row r="874" spans="7:24" x14ac:dyDescent="0.2">
      <c r="G874" s="60">
        <v>853</v>
      </c>
      <c r="H874" s="82">
        <f ca="1"/>
        <v>0</v>
      </c>
      <c r="I874" s="82">
        <f t="shared" ca="1" si="72"/>
        <v>519</v>
      </c>
      <c r="J874" s="83">
        <f ca="1">I874/G874</f>
        <v>0.60844079718640098</v>
      </c>
      <c r="N874" s="60">
        <v>853</v>
      </c>
      <c r="O874" s="82">
        <f ca="1">IF(AND(N874&lt;=U$22,RAND()&lt;=$H$7),1,0)</f>
        <v>1</v>
      </c>
      <c r="P874" s="82">
        <f t="shared" ca="1" si="73"/>
        <v>1</v>
      </c>
      <c r="Q874" s="84">
        <f t="shared" ca="1" si="74"/>
        <v>1</v>
      </c>
      <c r="R874" s="82">
        <f t="shared" ca="1" si="71"/>
        <v>4</v>
      </c>
      <c r="S874" s="82">
        <f ca="1">SUM(R$22:$R874)</f>
        <v>2306.0000000000027</v>
      </c>
      <c r="W874" s="60">
        <v>853</v>
      </c>
      <c r="X874" s="82">
        <f ca="1"/>
        <v>2767.600000000009</v>
      </c>
    </row>
    <row r="875" spans="7:24" x14ac:dyDescent="0.2">
      <c r="G875" s="60">
        <v>854</v>
      </c>
      <c r="H875" s="82">
        <f ca="1"/>
        <v>0</v>
      </c>
      <c r="I875" s="82">
        <f t="shared" ca="1" si="72"/>
        <v>519</v>
      </c>
      <c r="J875" s="83">
        <f t="shared" ca="1" si="70"/>
        <v>0.60772833723653397</v>
      </c>
      <c r="N875" s="60">
        <v>854</v>
      </c>
      <c r="O875" s="82">
        <f ca="1">IF(AND(N875&lt;=U$22,RAND()&lt;=$H$7),1,0)</f>
        <v>1</v>
      </c>
      <c r="P875" s="82">
        <f t="shared" ca="1" si="73"/>
        <v>2</v>
      </c>
      <c r="Q875" s="84">
        <f t="shared" ca="1" si="74"/>
        <v>1.1000000000000001</v>
      </c>
      <c r="R875" s="82">
        <f t="shared" ca="1" si="71"/>
        <v>4.4000000000000004</v>
      </c>
      <c r="S875" s="82">
        <f ca="1">SUM(R$22:$R875)</f>
        <v>2310.4000000000028</v>
      </c>
      <c r="W875" s="60">
        <v>854</v>
      </c>
      <c r="X875" s="82">
        <f ca="1"/>
        <v>2770.4000000000078</v>
      </c>
    </row>
    <row r="876" spans="7:24" x14ac:dyDescent="0.2">
      <c r="G876" s="60">
        <v>855</v>
      </c>
      <c r="H876" s="82">
        <f ca="1"/>
        <v>1</v>
      </c>
      <c r="I876" s="82">
        <f t="shared" ca="1" si="72"/>
        <v>520</v>
      </c>
      <c r="J876" s="83">
        <f t="shared" ca="1" si="70"/>
        <v>0.60818713450292394</v>
      </c>
      <c r="N876" s="60">
        <v>855</v>
      </c>
      <c r="O876" s="82">
        <f ca="1">IF(AND(N876&lt;=U$22,RAND()&lt;=$H$7),1,0)</f>
        <v>1</v>
      </c>
      <c r="P876" s="82">
        <f t="shared" ca="1" si="73"/>
        <v>3</v>
      </c>
      <c r="Q876" s="84">
        <f t="shared" ca="1" si="74"/>
        <v>1.2</v>
      </c>
      <c r="R876" s="82">
        <f t="shared" ca="1" si="71"/>
        <v>4.8</v>
      </c>
      <c r="S876" s="82">
        <f ca="1">SUM(R$22:$R876)</f>
        <v>2315.200000000003</v>
      </c>
      <c r="W876" s="60">
        <v>855</v>
      </c>
      <c r="X876" s="82">
        <f ca="1"/>
        <v>2639.2000000000066</v>
      </c>
    </row>
    <row r="877" spans="7:24" x14ac:dyDescent="0.2">
      <c r="G877" s="60">
        <v>856</v>
      </c>
      <c r="H877" s="82">
        <f ca="1"/>
        <v>0</v>
      </c>
      <c r="I877" s="82">
        <f t="shared" ca="1" si="72"/>
        <v>520</v>
      </c>
      <c r="J877" s="83">
        <f t="shared" ca="1" si="70"/>
        <v>0.60747663551401865</v>
      </c>
      <c r="N877" s="60">
        <v>856</v>
      </c>
      <c r="O877" s="82">
        <f ca="1">IF(AND(N877&lt;=U$22,RAND()&lt;=$H$7),1,0)</f>
        <v>0</v>
      </c>
      <c r="P877" s="82">
        <f t="shared" ca="1" si="73"/>
        <v>0</v>
      </c>
      <c r="Q877" s="84">
        <f t="shared" ca="1" si="74"/>
        <v>1</v>
      </c>
      <c r="R877" s="82">
        <f t="shared" ca="1" si="71"/>
        <v>0</v>
      </c>
      <c r="S877" s="82">
        <f ca="1">SUM(R$22:$R877)</f>
        <v>2315.200000000003</v>
      </c>
      <c r="W877" s="60">
        <v>856</v>
      </c>
      <c r="X877" s="82">
        <f ca="1"/>
        <v>2978.8000000000093</v>
      </c>
    </row>
    <row r="878" spans="7:24" x14ac:dyDescent="0.2">
      <c r="G878" s="60">
        <v>857</v>
      </c>
      <c r="H878" s="82">
        <f ca="1"/>
        <v>1</v>
      </c>
      <c r="I878" s="82">
        <f t="shared" ca="1" si="72"/>
        <v>521</v>
      </c>
      <c r="J878" s="83">
        <f t="shared" ca="1" si="70"/>
        <v>0.60793465577596262</v>
      </c>
      <c r="N878" s="60">
        <v>857</v>
      </c>
      <c r="O878" s="82">
        <f ca="1">IF(AND(N878&lt;=U$22,RAND()&lt;=$H$7),1,0)</f>
        <v>1</v>
      </c>
      <c r="P878" s="82">
        <f t="shared" ca="1" si="73"/>
        <v>0</v>
      </c>
      <c r="Q878" s="84">
        <f t="shared" ca="1" si="74"/>
        <v>1</v>
      </c>
      <c r="R878" s="82">
        <f t="shared" ca="1" si="71"/>
        <v>4</v>
      </c>
      <c r="S878" s="82">
        <f ca="1">SUM(R$22:$R878)</f>
        <v>2319.200000000003</v>
      </c>
      <c r="W878" s="60">
        <v>857</v>
      </c>
      <c r="X878" s="82">
        <f ca="1"/>
        <v>2848.4000000000074</v>
      </c>
    </row>
    <row r="879" spans="7:24" x14ac:dyDescent="0.2">
      <c r="G879" s="60">
        <v>858</v>
      </c>
      <c r="H879" s="82">
        <f ca="1"/>
        <v>1</v>
      </c>
      <c r="I879" s="82">
        <f t="shared" ca="1" si="72"/>
        <v>522</v>
      </c>
      <c r="J879" s="83">
        <f t="shared" ca="1" si="70"/>
        <v>0.60839160839160844</v>
      </c>
      <c r="N879" s="60">
        <v>858</v>
      </c>
      <c r="O879" s="82">
        <f ca="1">IF(AND(N879&lt;=U$22,RAND()&lt;=$H$7),1,0)</f>
        <v>0</v>
      </c>
      <c r="P879" s="82">
        <f t="shared" ca="1" si="73"/>
        <v>0</v>
      </c>
      <c r="Q879" s="84">
        <f t="shared" ca="1" si="74"/>
        <v>1</v>
      </c>
      <c r="R879" s="82">
        <f t="shared" ca="1" si="71"/>
        <v>0</v>
      </c>
      <c r="S879" s="82">
        <f ca="1">SUM(R$22:$R879)</f>
        <v>2319.200000000003</v>
      </c>
      <c r="W879" s="60">
        <v>858</v>
      </c>
      <c r="X879" s="82">
        <f ca="1"/>
        <v>2698.8000000000065</v>
      </c>
    </row>
    <row r="880" spans="7:24" x14ac:dyDescent="0.2">
      <c r="G880" s="60">
        <v>859</v>
      </c>
      <c r="H880" s="82">
        <f ca="1"/>
        <v>0</v>
      </c>
      <c r="I880" s="82">
        <f t="shared" ca="1" si="72"/>
        <v>522</v>
      </c>
      <c r="J880" s="83">
        <f t="shared" ca="1" si="70"/>
        <v>0.60768335273573926</v>
      </c>
      <c r="N880" s="60">
        <v>859</v>
      </c>
      <c r="O880" s="82">
        <f ca="1">IF(AND(N880&lt;=U$22,RAND()&lt;=$H$7),1,0)</f>
        <v>0</v>
      </c>
      <c r="P880" s="82">
        <f t="shared" ca="1" si="73"/>
        <v>0</v>
      </c>
      <c r="Q880" s="84">
        <f t="shared" ca="1" si="74"/>
        <v>1</v>
      </c>
      <c r="R880" s="82">
        <f t="shared" ca="1" si="71"/>
        <v>0</v>
      </c>
      <c r="S880" s="82">
        <f ca="1">SUM(R$22:$R880)</f>
        <v>2319.200000000003</v>
      </c>
      <c r="W880" s="60">
        <v>859</v>
      </c>
      <c r="X880" s="82">
        <f ca="1"/>
        <v>2812.0000000000073</v>
      </c>
    </row>
    <row r="881" spans="7:24" x14ac:dyDescent="0.2">
      <c r="G881" s="60">
        <v>860</v>
      </c>
      <c r="H881" s="82">
        <f ca="1"/>
        <v>1</v>
      </c>
      <c r="I881" s="82">
        <f t="shared" ca="1" si="72"/>
        <v>523</v>
      </c>
      <c r="J881" s="83">
        <f t="shared" ca="1" si="70"/>
        <v>0.60813953488372097</v>
      </c>
      <c r="N881" s="60">
        <v>860</v>
      </c>
      <c r="O881" s="82">
        <f ca="1">IF(AND(N881&lt;=U$22,RAND()&lt;=$H$7),1,0)</f>
        <v>1</v>
      </c>
      <c r="P881" s="82">
        <f t="shared" ca="1" si="73"/>
        <v>0</v>
      </c>
      <c r="Q881" s="84">
        <f t="shared" ca="1" si="74"/>
        <v>1</v>
      </c>
      <c r="R881" s="82">
        <f t="shared" ca="1" si="71"/>
        <v>4</v>
      </c>
      <c r="S881" s="82">
        <f ca="1">SUM(R$22:$R881)</f>
        <v>2323.200000000003</v>
      </c>
      <c r="W881" s="60">
        <v>860</v>
      </c>
      <c r="X881" s="82">
        <f ca="1"/>
        <v>2616.0000000000068</v>
      </c>
    </row>
    <row r="882" spans="7:24" x14ac:dyDescent="0.2">
      <c r="G882" s="60">
        <v>861</v>
      </c>
      <c r="H882" s="82">
        <f ca="1"/>
        <v>0</v>
      </c>
      <c r="I882" s="82">
        <f t="shared" ca="1" si="72"/>
        <v>523</v>
      </c>
      <c r="J882" s="83">
        <f t="shared" ca="1" si="70"/>
        <v>0.60743321718931476</v>
      </c>
      <c r="N882" s="60">
        <v>861</v>
      </c>
      <c r="O882" s="82">
        <f ca="1">IF(AND(N882&lt;=U$22,RAND()&lt;=$H$7),1,0)</f>
        <v>0</v>
      </c>
      <c r="P882" s="82">
        <f t="shared" ca="1" si="73"/>
        <v>0</v>
      </c>
      <c r="Q882" s="84">
        <f t="shared" ca="1" si="74"/>
        <v>1</v>
      </c>
      <c r="R882" s="82">
        <f t="shared" ca="1" si="71"/>
        <v>0</v>
      </c>
      <c r="S882" s="82">
        <f ca="1">SUM(R$22:$R882)</f>
        <v>2323.200000000003</v>
      </c>
      <c r="W882" s="60">
        <v>861</v>
      </c>
      <c r="X882" s="82">
        <f ca="1"/>
        <v>2610.8000000000056</v>
      </c>
    </row>
    <row r="883" spans="7:24" x14ac:dyDescent="0.2">
      <c r="G883" s="60">
        <v>862</v>
      </c>
      <c r="H883" s="82">
        <f ca="1"/>
        <v>0</v>
      </c>
      <c r="I883" s="82">
        <f t="shared" ca="1" si="72"/>
        <v>523</v>
      </c>
      <c r="J883" s="83">
        <f t="shared" ca="1" si="70"/>
        <v>0.60672853828306261</v>
      </c>
      <c r="N883" s="60">
        <v>862</v>
      </c>
      <c r="O883" s="82">
        <f ca="1">IF(AND(N883&lt;=U$22,RAND()&lt;=$H$7),1,0)</f>
        <v>1</v>
      </c>
      <c r="P883" s="82">
        <f t="shared" ca="1" si="73"/>
        <v>0</v>
      </c>
      <c r="Q883" s="84">
        <f t="shared" ca="1" si="74"/>
        <v>1</v>
      </c>
      <c r="R883" s="82">
        <f t="shared" ca="1" si="71"/>
        <v>4</v>
      </c>
      <c r="S883" s="82">
        <f ca="1">SUM(R$22:$R883)</f>
        <v>2327.200000000003</v>
      </c>
      <c r="W883" s="60">
        <v>862</v>
      </c>
      <c r="X883" s="82">
        <f ca="1"/>
        <v>2840.4000000000078</v>
      </c>
    </row>
    <row r="884" spans="7:24" x14ac:dyDescent="0.2">
      <c r="G884" s="60">
        <v>863</v>
      </c>
      <c r="H884" s="82">
        <f ca="1"/>
        <v>1</v>
      </c>
      <c r="I884" s="82">
        <f t="shared" ca="1" si="72"/>
        <v>524</v>
      </c>
      <c r="J884" s="83">
        <f t="shared" ca="1" si="70"/>
        <v>0.6071842410196987</v>
      </c>
      <c r="N884" s="60">
        <v>863</v>
      </c>
      <c r="O884" s="82">
        <f ca="1">IF(AND(N884&lt;=U$22,RAND()&lt;=$H$7),1,0)</f>
        <v>1</v>
      </c>
      <c r="P884" s="82">
        <f t="shared" ca="1" si="73"/>
        <v>1</v>
      </c>
      <c r="Q884" s="84">
        <f t="shared" ca="1" si="74"/>
        <v>1</v>
      </c>
      <c r="R884" s="82">
        <f t="shared" ca="1" si="71"/>
        <v>4</v>
      </c>
      <c r="S884" s="82">
        <f ca="1">SUM(R$22:$R884)</f>
        <v>2331.200000000003</v>
      </c>
      <c r="W884" s="60">
        <v>863</v>
      </c>
      <c r="X884" s="82">
        <f ca="1"/>
        <v>2705.6000000000063</v>
      </c>
    </row>
    <row r="885" spans="7:24" x14ac:dyDescent="0.2">
      <c r="G885" s="60">
        <v>864</v>
      </c>
      <c r="H885" s="82">
        <f ca="1"/>
        <v>1</v>
      </c>
      <c r="I885" s="82">
        <f t="shared" ca="1" si="72"/>
        <v>525</v>
      </c>
      <c r="J885" s="83">
        <f t="shared" ca="1" si="70"/>
        <v>0.60763888888888884</v>
      </c>
      <c r="N885" s="60">
        <v>864</v>
      </c>
      <c r="O885" s="82">
        <f ca="1">IF(AND(N885&lt;=U$22,RAND()&lt;=$H$7),1,0)</f>
        <v>0</v>
      </c>
      <c r="P885" s="82">
        <f t="shared" ca="1" si="73"/>
        <v>0</v>
      </c>
      <c r="Q885" s="84">
        <f t="shared" ca="1" si="74"/>
        <v>1</v>
      </c>
      <c r="R885" s="82">
        <f t="shared" ca="1" si="71"/>
        <v>0</v>
      </c>
      <c r="S885" s="82">
        <f ca="1">SUM(R$22:$R885)</f>
        <v>2331.200000000003</v>
      </c>
      <c r="W885" s="60">
        <v>864</v>
      </c>
      <c r="X885" s="82">
        <f ca="1"/>
        <v>2699.2000000000075</v>
      </c>
    </row>
    <row r="886" spans="7:24" x14ac:dyDescent="0.2">
      <c r="G886" s="60">
        <v>865</v>
      </c>
      <c r="H886" s="82">
        <f ca="1"/>
        <v>1</v>
      </c>
      <c r="I886" s="82">
        <f t="shared" ca="1" si="72"/>
        <v>526</v>
      </c>
      <c r="J886" s="83">
        <f t="shared" ca="1" si="70"/>
        <v>0.60809248554913298</v>
      </c>
      <c r="N886" s="60">
        <v>865</v>
      </c>
      <c r="O886" s="82">
        <f ca="1">IF(AND(N886&lt;=U$22,RAND()&lt;=$H$7),1,0)</f>
        <v>1</v>
      </c>
      <c r="P886" s="82">
        <f t="shared" ca="1" si="73"/>
        <v>0</v>
      </c>
      <c r="Q886" s="84">
        <f t="shared" ca="1" si="74"/>
        <v>1</v>
      </c>
      <c r="R886" s="82">
        <f t="shared" ca="1" si="71"/>
        <v>4</v>
      </c>
      <c r="S886" s="82">
        <f ca="1">SUM(R$22:$R886)</f>
        <v>2335.200000000003</v>
      </c>
      <c r="W886" s="60">
        <v>865</v>
      </c>
      <c r="X886" s="82">
        <f ca="1"/>
        <v>2698.8000000000075</v>
      </c>
    </row>
    <row r="887" spans="7:24" x14ac:dyDescent="0.2">
      <c r="G887" s="60">
        <v>866</v>
      </c>
      <c r="H887" s="82">
        <f ca="1"/>
        <v>1</v>
      </c>
      <c r="I887" s="82">
        <f t="shared" ca="1" si="72"/>
        <v>527</v>
      </c>
      <c r="J887" s="83">
        <f t="shared" ca="1" si="70"/>
        <v>0.60854503464203236</v>
      </c>
      <c r="N887" s="60">
        <v>866</v>
      </c>
      <c r="O887" s="82">
        <f ca="1">IF(AND(N887&lt;=U$22,RAND()&lt;=$H$7),1,0)</f>
        <v>1</v>
      </c>
      <c r="P887" s="82">
        <f t="shared" ca="1" si="73"/>
        <v>1</v>
      </c>
      <c r="Q887" s="84">
        <f t="shared" ca="1" si="74"/>
        <v>1</v>
      </c>
      <c r="R887" s="82">
        <f t="shared" ca="1" si="71"/>
        <v>4</v>
      </c>
      <c r="S887" s="82">
        <f ca="1">SUM(R$22:$R887)</f>
        <v>2339.200000000003</v>
      </c>
      <c r="W887" s="60">
        <v>866</v>
      </c>
      <c r="X887" s="82">
        <f ca="1"/>
        <v>2892.4000000000078</v>
      </c>
    </row>
    <row r="888" spans="7:24" x14ac:dyDescent="0.2">
      <c r="G888" s="60">
        <v>867</v>
      </c>
      <c r="H888" s="82">
        <f ca="1"/>
        <v>0</v>
      </c>
      <c r="I888" s="82">
        <f t="shared" ca="1" si="72"/>
        <v>527</v>
      </c>
      <c r="J888" s="83">
        <f t="shared" ca="1" si="70"/>
        <v>0.60784313725490191</v>
      </c>
      <c r="N888" s="60">
        <v>867</v>
      </c>
      <c r="O888" s="82">
        <f ca="1">IF(AND(N888&lt;=U$22,RAND()&lt;=$H$7),1,0)</f>
        <v>1</v>
      </c>
      <c r="P888" s="82">
        <f t="shared" ca="1" si="73"/>
        <v>2</v>
      </c>
      <c r="Q888" s="84">
        <f t="shared" ca="1" si="74"/>
        <v>1.1000000000000001</v>
      </c>
      <c r="R888" s="82">
        <f t="shared" ca="1" si="71"/>
        <v>4.4000000000000004</v>
      </c>
      <c r="S888" s="82">
        <f ca="1">SUM(R$22:$R888)</f>
        <v>2343.6000000000031</v>
      </c>
      <c r="W888" s="60">
        <v>867</v>
      </c>
      <c r="X888" s="82">
        <f ca="1"/>
        <v>2626.0000000000064</v>
      </c>
    </row>
    <row r="889" spans="7:24" x14ac:dyDescent="0.2">
      <c r="G889" s="60">
        <v>868</v>
      </c>
      <c r="H889" s="82">
        <f ca="1"/>
        <v>0</v>
      </c>
      <c r="I889" s="82">
        <f t="shared" ca="1" si="72"/>
        <v>527</v>
      </c>
      <c r="J889" s="83">
        <f t="shared" ca="1" si="70"/>
        <v>0.6071428571428571</v>
      </c>
      <c r="N889" s="60">
        <v>868</v>
      </c>
      <c r="O889" s="82">
        <f ca="1">IF(AND(N889&lt;=U$22,RAND()&lt;=$H$7),1,0)</f>
        <v>1</v>
      </c>
      <c r="P889" s="82">
        <f t="shared" ca="1" si="73"/>
        <v>3</v>
      </c>
      <c r="Q889" s="84">
        <f t="shared" ca="1" si="74"/>
        <v>1.2</v>
      </c>
      <c r="R889" s="82">
        <f t="shared" ca="1" si="71"/>
        <v>4.8</v>
      </c>
      <c r="S889" s="82">
        <f ca="1">SUM(R$22:$R889)</f>
        <v>2348.4000000000033</v>
      </c>
      <c r="W889" s="60">
        <v>868</v>
      </c>
      <c r="X889" s="82">
        <f ca="1"/>
        <v>2674.4000000000083</v>
      </c>
    </row>
    <row r="890" spans="7:24" x14ac:dyDescent="0.2">
      <c r="G890" s="60">
        <v>869</v>
      </c>
      <c r="H890" s="82">
        <f ca="1"/>
        <v>1</v>
      </c>
      <c r="I890" s="82">
        <f t="shared" ca="1" si="72"/>
        <v>528</v>
      </c>
      <c r="J890" s="83">
        <f t="shared" ca="1" si="70"/>
        <v>0.60759493670886078</v>
      </c>
      <c r="N890" s="60">
        <v>869</v>
      </c>
      <c r="O890" s="82">
        <f ca="1">IF(AND(N890&lt;=U$22,RAND()&lt;=$H$7),1,0)</f>
        <v>1</v>
      </c>
      <c r="P890" s="82">
        <f t="shared" ca="1" si="73"/>
        <v>4</v>
      </c>
      <c r="Q890" s="84">
        <f t="shared" ca="1" si="74"/>
        <v>1.3</v>
      </c>
      <c r="R890" s="82">
        <f t="shared" ca="1" si="71"/>
        <v>5.2</v>
      </c>
      <c r="S890" s="82">
        <f ca="1">SUM(R$22:$R890)</f>
        <v>2353.6000000000031</v>
      </c>
      <c r="W890" s="60">
        <v>869</v>
      </c>
      <c r="X890" s="82">
        <f ca="1"/>
        <v>2813.200000000008</v>
      </c>
    </row>
    <row r="891" spans="7:24" x14ac:dyDescent="0.2">
      <c r="G891" s="60">
        <v>870</v>
      </c>
      <c r="H891" s="82">
        <f ca="1"/>
        <v>1</v>
      </c>
      <c r="I891" s="82">
        <f t="shared" ca="1" si="72"/>
        <v>529</v>
      </c>
      <c r="J891" s="83">
        <f t="shared" ca="1" si="70"/>
        <v>0.60804597701149421</v>
      </c>
      <c r="N891" s="60">
        <v>870</v>
      </c>
      <c r="O891" s="82">
        <f ca="1">IF(AND(N891&lt;=U$22,RAND()&lt;=$H$7),1,0)</f>
        <v>0</v>
      </c>
      <c r="P891" s="82">
        <f t="shared" ca="1" si="73"/>
        <v>0</v>
      </c>
      <c r="Q891" s="84">
        <f t="shared" ca="1" si="74"/>
        <v>1</v>
      </c>
      <c r="R891" s="82">
        <f t="shared" ca="1" si="71"/>
        <v>0</v>
      </c>
      <c r="S891" s="82">
        <f ca="1">SUM(R$22:$R891)</f>
        <v>2353.6000000000031</v>
      </c>
      <c r="W891" s="60">
        <v>870</v>
      </c>
      <c r="X891" s="82">
        <f ca="1"/>
        <v>2656.4000000000078</v>
      </c>
    </row>
    <row r="892" spans="7:24" x14ac:dyDescent="0.2">
      <c r="G892" s="60">
        <v>871</v>
      </c>
      <c r="H892" s="82">
        <f ca="1"/>
        <v>0</v>
      </c>
      <c r="I892" s="82">
        <f t="shared" ca="1" si="72"/>
        <v>529</v>
      </c>
      <c r="J892" s="83">
        <f t="shared" ca="1" si="70"/>
        <v>0.60734787600459239</v>
      </c>
      <c r="N892" s="60">
        <v>871</v>
      </c>
      <c r="O892" s="82">
        <f ca="1">IF(AND(N892&lt;=U$22,RAND()&lt;=$H$7),1,0)</f>
        <v>1</v>
      </c>
      <c r="P892" s="82">
        <f t="shared" ca="1" si="73"/>
        <v>0</v>
      </c>
      <c r="Q892" s="84">
        <f t="shared" ca="1" si="74"/>
        <v>1</v>
      </c>
      <c r="R892" s="82">
        <f t="shared" ca="1" si="71"/>
        <v>4</v>
      </c>
      <c r="S892" s="82">
        <f ca="1">SUM(R$22:$R892)</f>
        <v>2357.6000000000031</v>
      </c>
      <c r="W892" s="60">
        <v>871</v>
      </c>
      <c r="X892" s="82">
        <f ca="1"/>
        <v>2774.8000000000075</v>
      </c>
    </row>
    <row r="893" spans="7:24" x14ac:dyDescent="0.2">
      <c r="G893" s="60">
        <v>872</v>
      </c>
      <c r="H893" s="82">
        <f ca="1"/>
        <v>1</v>
      </c>
      <c r="I893" s="82">
        <f t="shared" ca="1" si="72"/>
        <v>530</v>
      </c>
      <c r="J893" s="83">
        <f t="shared" ca="1" si="70"/>
        <v>0.60779816513761464</v>
      </c>
      <c r="N893" s="60">
        <v>872</v>
      </c>
      <c r="O893" s="82">
        <f ca="1">IF(AND(N893&lt;=U$22,RAND()&lt;=$H$7),1,0)</f>
        <v>0</v>
      </c>
      <c r="P893" s="82">
        <f t="shared" ca="1" si="73"/>
        <v>0</v>
      </c>
      <c r="Q893" s="84">
        <f t="shared" ca="1" si="74"/>
        <v>1</v>
      </c>
      <c r="R893" s="82">
        <f t="shared" ca="1" si="71"/>
        <v>0</v>
      </c>
      <c r="S893" s="82">
        <f ca="1">SUM(R$22:$R893)</f>
        <v>2357.6000000000031</v>
      </c>
      <c r="W893" s="60">
        <v>872</v>
      </c>
      <c r="X893" s="82">
        <f ca="1"/>
        <v>2687.2000000000062</v>
      </c>
    </row>
    <row r="894" spans="7:24" x14ac:dyDescent="0.2">
      <c r="G894" s="60">
        <v>873</v>
      </c>
      <c r="H894" s="82">
        <f ca="1"/>
        <v>1</v>
      </c>
      <c r="I894" s="82">
        <f t="shared" ca="1" si="72"/>
        <v>531</v>
      </c>
      <c r="J894" s="83">
        <f t="shared" ca="1" si="70"/>
        <v>0.60824742268041232</v>
      </c>
      <c r="N894" s="60">
        <v>873</v>
      </c>
      <c r="O894" s="82">
        <f ca="1">IF(AND(N894&lt;=U$22,RAND()&lt;=$H$7),1,0)</f>
        <v>1</v>
      </c>
      <c r="P894" s="82">
        <f t="shared" ca="1" si="73"/>
        <v>0</v>
      </c>
      <c r="Q894" s="84">
        <f t="shared" ca="1" si="74"/>
        <v>1</v>
      </c>
      <c r="R894" s="82">
        <f t="shared" ca="1" si="71"/>
        <v>4</v>
      </c>
      <c r="S894" s="82">
        <f ca="1">SUM(R$22:$R894)</f>
        <v>2361.6000000000031</v>
      </c>
      <c r="W894" s="60">
        <v>873</v>
      </c>
      <c r="X894" s="82">
        <f ca="1"/>
        <v>2780.800000000007</v>
      </c>
    </row>
    <row r="895" spans="7:24" x14ac:dyDescent="0.2">
      <c r="G895" s="60">
        <v>874</v>
      </c>
      <c r="H895" s="82">
        <f ca="1"/>
        <v>1</v>
      </c>
      <c r="I895" s="82">
        <f t="shared" ca="1" si="72"/>
        <v>532</v>
      </c>
      <c r="J895" s="83">
        <f t="shared" ca="1" si="70"/>
        <v>0.60869565217391308</v>
      </c>
      <c r="N895" s="60">
        <v>874</v>
      </c>
      <c r="O895" s="82">
        <f ca="1">IF(AND(N895&lt;=U$22,RAND()&lt;=$H$7),1,0)</f>
        <v>1</v>
      </c>
      <c r="P895" s="82">
        <f t="shared" ca="1" si="73"/>
        <v>1</v>
      </c>
      <c r="Q895" s="84">
        <f t="shared" ca="1" si="74"/>
        <v>1</v>
      </c>
      <c r="R895" s="82">
        <f t="shared" ca="1" si="71"/>
        <v>4</v>
      </c>
      <c r="S895" s="82">
        <f ca="1">SUM(R$22:$R895)</f>
        <v>2365.6000000000031</v>
      </c>
      <c r="W895" s="60">
        <v>874</v>
      </c>
      <c r="X895" s="82">
        <f ca="1"/>
        <v>2709.6000000000076</v>
      </c>
    </row>
    <row r="896" spans="7:24" x14ac:dyDescent="0.2">
      <c r="G896" s="60">
        <v>875</v>
      </c>
      <c r="H896" s="82">
        <f ca="1"/>
        <v>0</v>
      </c>
      <c r="I896" s="82">
        <f t="shared" ca="1" si="72"/>
        <v>532</v>
      </c>
      <c r="J896" s="83">
        <f t="shared" ca="1" si="70"/>
        <v>0.60799999999999998</v>
      </c>
      <c r="N896" s="60">
        <v>875</v>
      </c>
      <c r="O896" s="82">
        <f ca="1">IF(AND(N896&lt;=U$22,RAND()&lt;=$H$7),1,0)</f>
        <v>1</v>
      </c>
      <c r="P896" s="82">
        <f t="shared" ca="1" si="73"/>
        <v>2</v>
      </c>
      <c r="Q896" s="84">
        <f t="shared" ca="1" si="74"/>
        <v>1.1000000000000001</v>
      </c>
      <c r="R896" s="82">
        <f t="shared" ca="1" si="71"/>
        <v>4.4000000000000004</v>
      </c>
      <c r="S896" s="82">
        <f ca="1">SUM(R$22:$R896)</f>
        <v>2370.0000000000032</v>
      </c>
      <c r="W896" s="60">
        <v>875</v>
      </c>
      <c r="X896" s="82">
        <f ca="1"/>
        <v>2802.0000000000073</v>
      </c>
    </row>
    <row r="897" spans="7:24" x14ac:dyDescent="0.2">
      <c r="G897" s="60">
        <v>876</v>
      </c>
      <c r="H897" s="82">
        <f ca="1"/>
        <v>1</v>
      </c>
      <c r="I897" s="82">
        <f t="shared" ca="1" si="72"/>
        <v>533</v>
      </c>
      <c r="J897" s="83">
        <f t="shared" ca="1" si="70"/>
        <v>0.60844748858447484</v>
      </c>
      <c r="N897" s="60">
        <v>876</v>
      </c>
      <c r="O897" s="82">
        <f ca="1">IF(AND(N897&lt;=U$22,RAND()&lt;=$H$7),1,0)</f>
        <v>1</v>
      </c>
      <c r="P897" s="82">
        <f t="shared" ca="1" si="73"/>
        <v>3</v>
      </c>
      <c r="Q897" s="84">
        <f t="shared" ca="1" si="74"/>
        <v>1.2</v>
      </c>
      <c r="R897" s="82">
        <f t="shared" ca="1" si="71"/>
        <v>4.8</v>
      </c>
      <c r="S897" s="82">
        <f ca="1">SUM(R$22:$R897)</f>
        <v>2374.8000000000034</v>
      </c>
      <c r="W897" s="60">
        <v>876</v>
      </c>
      <c r="X897" s="82">
        <f ca="1"/>
        <v>2717.6000000000063</v>
      </c>
    </row>
    <row r="898" spans="7:24" x14ac:dyDescent="0.2">
      <c r="G898" s="60">
        <v>877</v>
      </c>
      <c r="H898" s="82">
        <f ca="1"/>
        <v>1</v>
      </c>
      <c r="I898" s="82">
        <f t="shared" ca="1" si="72"/>
        <v>534</v>
      </c>
      <c r="J898" s="83">
        <f t="shared" ca="1" si="70"/>
        <v>0.60889395667046753</v>
      </c>
      <c r="N898" s="60">
        <v>877</v>
      </c>
      <c r="O898" s="82">
        <f ca="1">IF(AND(N898&lt;=U$22,RAND()&lt;=$H$7),1,0)</f>
        <v>1</v>
      </c>
      <c r="P898" s="82">
        <f t="shared" ca="1" si="73"/>
        <v>4</v>
      </c>
      <c r="Q898" s="84">
        <f t="shared" ca="1" si="74"/>
        <v>1.3</v>
      </c>
      <c r="R898" s="82">
        <f t="shared" ca="1" si="71"/>
        <v>5.2</v>
      </c>
      <c r="S898" s="82">
        <f ca="1">SUM(R$22:$R898)</f>
        <v>2380.0000000000032</v>
      </c>
      <c r="W898" s="60">
        <v>877</v>
      </c>
      <c r="X898" s="82">
        <f ca="1"/>
        <v>2625.6000000000067</v>
      </c>
    </row>
    <row r="899" spans="7:24" x14ac:dyDescent="0.2">
      <c r="G899" s="60">
        <v>878</v>
      </c>
      <c r="H899" s="82">
        <f ca="1"/>
        <v>0</v>
      </c>
      <c r="I899" s="82">
        <f t="shared" ca="1" si="72"/>
        <v>534</v>
      </c>
      <c r="J899" s="83">
        <f t="shared" ca="1" si="70"/>
        <v>0.60820045558086555</v>
      </c>
      <c r="N899" s="60">
        <v>878</v>
      </c>
      <c r="O899" s="82">
        <f ca="1">IF(AND(N899&lt;=U$22,RAND()&lt;=$H$7),1,0)</f>
        <v>1</v>
      </c>
      <c r="P899" s="82">
        <f t="shared" ca="1" si="73"/>
        <v>5</v>
      </c>
      <c r="Q899" s="84">
        <f t="shared" ca="1" si="74"/>
        <v>1.4</v>
      </c>
      <c r="R899" s="82">
        <f t="shared" ca="1" si="71"/>
        <v>5.6</v>
      </c>
      <c r="S899" s="82">
        <f ca="1">SUM(R$22:$R899)</f>
        <v>2385.6000000000031</v>
      </c>
      <c r="W899" s="60">
        <v>878</v>
      </c>
      <c r="X899" s="82">
        <f ca="1"/>
        <v>2752.4000000000074</v>
      </c>
    </row>
    <row r="900" spans="7:24" x14ac:dyDescent="0.2">
      <c r="G900" s="60">
        <v>879</v>
      </c>
      <c r="H900" s="82">
        <f ca="1"/>
        <v>0</v>
      </c>
      <c r="I900" s="82">
        <f t="shared" ca="1" si="72"/>
        <v>534</v>
      </c>
      <c r="J900" s="83">
        <f t="shared" ca="1" si="70"/>
        <v>0.60750853242320824</v>
      </c>
      <c r="N900" s="60">
        <v>879</v>
      </c>
      <c r="O900" s="82">
        <f ca="1">IF(AND(N900&lt;=U$22,RAND()&lt;=$H$7),1,0)</f>
        <v>0</v>
      </c>
      <c r="P900" s="82">
        <f t="shared" ca="1" si="73"/>
        <v>0</v>
      </c>
      <c r="Q900" s="84">
        <f t="shared" ca="1" si="74"/>
        <v>1</v>
      </c>
      <c r="R900" s="82">
        <f t="shared" ca="1" si="71"/>
        <v>0</v>
      </c>
      <c r="S900" s="82">
        <f ca="1">SUM(R$22:$R900)</f>
        <v>2385.6000000000031</v>
      </c>
      <c r="W900" s="60">
        <v>879</v>
      </c>
      <c r="X900" s="82">
        <f ca="1"/>
        <v>2758.0000000000082</v>
      </c>
    </row>
    <row r="901" spans="7:24" x14ac:dyDescent="0.2">
      <c r="G901" s="60">
        <v>880</v>
      </c>
      <c r="H901" s="82">
        <f ca="1"/>
        <v>0</v>
      </c>
      <c r="I901" s="82">
        <f t="shared" ca="1" si="72"/>
        <v>534</v>
      </c>
      <c r="J901" s="83">
        <f t="shared" ca="1" si="70"/>
        <v>0.60681818181818181</v>
      </c>
      <c r="N901" s="60">
        <v>880</v>
      </c>
      <c r="O901" s="82">
        <f ca="1">IF(AND(N901&lt;=U$22,RAND()&lt;=$H$7),1,0)</f>
        <v>0</v>
      </c>
      <c r="P901" s="82">
        <f t="shared" ca="1" si="73"/>
        <v>0</v>
      </c>
      <c r="Q901" s="84">
        <f t="shared" ca="1" si="74"/>
        <v>1</v>
      </c>
      <c r="R901" s="82">
        <f t="shared" ca="1" si="71"/>
        <v>0</v>
      </c>
      <c r="S901" s="82">
        <f ca="1">SUM(R$22:$R901)</f>
        <v>2385.6000000000031</v>
      </c>
      <c r="W901" s="60">
        <v>880</v>
      </c>
      <c r="X901" s="82">
        <f ca="1"/>
        <v>2603.6000000000067</v>
      </c>
    </row>
    <row r="902" spans="7:24" x14ac:dyDescent="0.2">
      <c r="G902" s="60">
        <v>881</v>
      </c>
      <c r="H902" s="82">
        <f ca="1"/>
        <v>1</v>
      </c>
      <c r="I902" s="82">
        <f t="shared" ca="1" si="72"/>
        <v>535</v>
      </c>
      <c r="J902" s="83">
        <f t="shared" ca="1" si="70"/>
        <v>0.60726447219069235</v>
      </c>
      <c r="N902" s="60">
        <v>881</v>
      </c>
      <c r="O902" s="82">
        <f ca="1">IF(AND(N902&lt;=U$22,RAND()&lt;=$H$7),1,0)</f>
        <v>0</v>
      </c>
      <c r="P902" s="82">
        <f t="shared" ca="1" si="73"/>
        <v>0</v>
      </c>
      <c r="Q902" s="84">
        <f t="shared" ca="1" si="74"/>
        <v>1</v>
      </c>
      <c r="R902" s="82">
        <f t="shared" ca="1" si="71"/>
        <v>0</v>
      </c>
      <c r="S902" s="82">
        <f ca="1">SUM(R$22:$R902)</f>
        <v>2385.6000000000031</v>
      </c>
      <c r="W902" s="60">
        <v>881</v>
      </c>
      <c r="X902" s="82">
        <f ca="1"/>
        <v>2752.4000000000074</v>
      </c>
    </row>
    <row r="903" spans="7:24" x14ac:dyDescent="0.2">
      <c r="G903" s="60">
        <v>882</v>
      </c>
      <c r="H903" s="82">
        <f ca="1"/>
        <v>1</v>
      </c>
      <c r="I903" s="82">
        <f t="shared" ca="1" si="72"/>
        <v>536</v>
      </c>
      <c r="J903" s="83">
        <f t="shared" ca="1" si="70"/>
        <v>0.60770975056689347</v>
      </c>
      <c r="N903" s="60">
        <v>882</v>
      </c>
      <c r="O903" s="82">
        <f ca="1">IF(AND(N903&lt;=U$22,RAND()&lt;=$H$7),1,0)</f>
        <v>1</v>
      </c>
      <c r="P903" s="82">
        <f t="shared" ca="1" si="73"/>
        <v>0</v>
      </c>
      <c r="Q903" s="84">
        <f t="shared" ca="1" si="74"/>
        <v>1</v>
      </c>
      <c r="R903" s="82">
        <f t="shared" ca="1" si="71"/>
        <v>4</v>
      </c>
      <c r="S903" s="82">
        <f ca="1">SUM(R$22:$R903)</f>
        <v>2389.6000000000031</v>
      </c>
      <c r="W903" s="60">
        <v>882</v>
      </c>
      <c r="X903" s="82">
        <f ca="1"/>
        <v>2898.8000000000061</v>
      </c>
    </row>
    <row r="904" spans="7:24" x14ac:dyDescent="0.2">
      <c r="G904" s="60">
        <v>883</v>
      </c>
      <c r="H904" s="82">
        <f ca="1"/>
        <v>0</v>
      </c>
      <c r="I904" s="82">
        <f t="shared" ca="1" si="72"/>
        <v>536</v>
      </c>
      <c r="J904" s="83">
        <f t="shared" ca="1" si="70"/>
        <v>0.60702151755379385</v>
      </c>
      <c r="N904" s="60">
        <v>883</v>
      </c>
      <c r="O904" s="82">
        <f ca="1">IF(AND(N904&lt;=U$22,RAND()&lt;=$H$7),1,0)</f>
        <v>1</v>
      </c>
      <c r="P904" s="82">
        <f t="shared" ca="1" si="73"/>
        <v>1</v>
      </c>
      <c r="Q904" s="84">
        <f t="shared" ca="1" si="74"/>
        <v>1</v>
      </c>
      <c r="R904" s="82">
        <f t="shared" ca="1" si="71"/>
        <v>4</v>
      </c>
      <c r="S904" s="82">
        <f ca="1">SUM(R$22:$R904)</f>
        <v>2393.6000000000031</v>
      </c>
      <c r="W904" s="60">
        <v>883</v>
      </c>
      <c r="X904" s="82">
        <f ca="1"/>
        <v>2833.2000000000089</v>
      </c>
    </row>
    <row r="905" spans="7:24" x14ac:dyDescent="0.2">
      <c r="G905" s="60">
        <v>884</v>
      </c>
      <c r="H905" s="82">
        <f ca="1"/>
        <v>0</v>
      </c>
      <c r="I905" s="82">
        <f t="shared" ca="1" si="72"/>
        <v>536</v>
      </c>
      <c r="J905" s="83">
        <f t="shared" ca="1" si="70"/>
        <v>0.60633484162895923</v>
      </c>
      <c r="N905" s="60">
        <v>884</v>
      </c>
      <c r="O905" s="82">
        <f ca="1">IF(AND(N905&lt;=U$22,RAND()&lt;=$H$7),1,0)</f>
        <v>0</v>
      </c>
      <c r="P905" s="82">
        <f t="shared" ca="1" si="73"/>
        <v>0</v>
      </c>
      <c r="Q905" s="84">
        <f t="shared" ca="1" si="74"/>
        <v>1</v>
      </c>
      <c r="R905" s="82">
        <f t="shared" ca="1" si="71"/>
        <v>0</v>
      </c>
      <c r="S905" s="82">
        <f ca="1">SUM(R$22:$R905)</f>
        <v>2393.6000000000031</v>
      </c>
      <c r="W905" s="60">
        <v>884</v>
      </c>
      <c r="X905" s="82">
        <f ca="1"/>
        <v>2804.800000000007</v>
      </c>
    </row>
    <row r="906" spans="7:24" x14ac:dyDescent="0.2">
      <c r="G906" s="60">
        <v>885</v>
      </c>
      <c r="H906" s="82">
        <f ca="1"/>
        <v>1</v>
      </c>
      <c r="I906" s="82">
        <f t="shared" ca="1" si="72"/>
        <v>537</v>
      </c>
      <c r="J906" s="83">
        <f t="shared" ca="1" si="70"/>
        <v>0.60677966101694913</v>
      </c>
      <c r="N906" s="60">
        <v>885</v>
      </c>
      <c r="O906" s="82">
        <f ca="1">IF(AND(N906&lt;=U$22,RAND()&lt;=$H$7),1,0)</f>
        <v>1</v>
      </c>
      <c r="P906" s="82">
        <f t="shared" ca="1" si="73"/>
        <v>0</v>
      </c>
      <c r="Q906" s="84">
        <f t="shared" ca="1" si="74"/>
        <v>1</v>
      </c>
      <c r="R906" s="82">
        <f t="shared" ca="1" si="71"/>
        <v>4</v>
      </c>
      <c r="S906" s="82">
        <f ca="1">SUM(R$22:$R906)</f>
        <v>2397.6000000000031</v>
      </c>
      <c r="W906" s="60">
        <v>885</v>
      </c>
      <c r="X906" s="82">
        <f ca="1"/>
        <v>2902.0000000000077</v>
      </c>
    </row>
    <row r="907" spans="7:24" x14ac:dyDescent="0.2">
      <c r="G907" s="60">
        <v>886</v>
      </c>
      <c r="H907" s="82">
        <f ca="1"/>
        <v>1</v>
      </c>
      <c r="I907" s="82">
        <f t="shared" ca="1" si="72"/>
        <v>538</v>
      </c>
      <c r="J907" s="83">
        <f t="shared" ca="1" si="70"/>
        <v>0.60722347629796836</v>
      </c>
      <c r="N907" s="60">
        <v>886</v>
      </c>
      <c r="O907" s="82">
        <f ca="1">IF(AND(N907&lt;=U$22,RAND()&lt;=$H$7),1,0)</f>
        <v>0</v>
      </c>
      <c r="P907" s="82">
        <f t="shared" ca="1" si="73"/>
        <v>0</v>
      </c>
      <c r="Q907" s="84">
        <f t="shared" ca="1" si="74"/>
        <v>1</v>
      </c>
      <c r="R907" s="82">
        <f t="shared" ca="1" si="71"/>
        <v>0</v>
      </c>
      <c r="S907" s="82">
        <f ca="1">SUM(R$22:$R907)</f>
        <v>2397.6000000000031</v>
      </c>
      <c r="W907" s="60">
        <v>886</v>
      </c>
      <c r="X907" s="82">
        <f ca="1"/>
        <v>2762.8000000000052</v>
      </c>
    </row>
    <row r="908" spans="7:24" x14ac:dyDescent="0.2">
      <c r="G908" s="60">
        <v>887</v>
      </c>
      <c r="H908" s="82">
        <f ca="1"/>
        <v>1</v>
      </c>
      <c r="I908" s="82">
        <f t="shared" ca="1" si="72"/>
        <v>539</v>
      </c>
      <c r="J908" s="83">
        <f t="shared" ca="1" si="70"/>
        <v>0.60766629086809465</v>
      </c>
      <c r="N908" s="60">
        <v>887</v>
      </c>
      <c r="O908" s="82">
        <f ca="1">IF(AND(N908&lt;=U$22,RAND()&lt;=$H$7),1,0)</f>
        <v>1</v>
      </c>
      <c r="P908" s="82">
        <f t="shared" ca="1" si="73"/>
        <v>0</v>
      </c>
      <c r="Q908" s="84">
        <f t="shared" ca="1" si="74"/>
        <v>1</v>
      </c>
      <c r="R908" s="82">
        <f t="shared" ca="1" si="71"/>
        <v>4</v>
      </c>
      <c r="S908" s="82">
        <f ca="1">SUM(R$22:$R908)</f>
        <v>2401.6000000000031</v>
      </c>
      <c r="W908" s="60">
        <v>887</v>
      </c>
      <c r="X908" s="82">
        <f ca="1"/>
        <v>2872.8000000000075</v>
      </c>
    </row>
    <row r="909" spans="7:24" x14ac:dyDescent="0.2">
      <c r="G909" s="60">
        <v>888</v>
      </c>
      <c r="H909" s="82">
        <f ca="1"/>
        <v>0</v>
      </c>
      <c r="I909" s="82">
        <f t="shared" ca="1" si="72"/>
        <v>539</v>
      </c>
      <c r="J909" s="83">
        <f t="shared" ca="1" si="70"/>
        <v>0.60698198198198194</v>
      </c>
      <c r="N909" s="60">
        <v>888</v>
      </c>
      <c r="O909" s="82">
        <f ca="1">IF(AND(N909&lt;=U$22,RAND()&lt;=$H$7),1,0)</f>
        <v>1</v>
      </c>
      <c r="P909" s="82">
        <f t="shared" ca="1" si="73"/>
        <v>1</v>
      </c>
      <c r="Q909" s="84">
        <f t="shared" ca="1" si="74"/>
        <v>1</v>
      </c>
      <c r="R909" s="82">
        <f t="shared" ca="1" si="71"/>
        <v>4</v>
      </c>
      <c r="S909" s="82">
        <f ca="1">SUM(R$22:$R909)</f>
        <v>2405.6000000000031</v>
      </c>
      <c r="W909" s="60">
        <v>888</v>
      </c>
      <c r="X909" s="82">
        <f ca="1"/>
        <v>2742.0000000000073</v>
      </c>
    </row>
    <row r="910" spans="7:24" x14ac:dyDescent="0.2">
      <c r="G910" s="60">
        <v>889</v>
      </c>
      <c r="H910" s="82">
        <f ca="1"/>
        <v>0</v>
      </c>
      <c r="I910" s="82">
        <f t="shared" ca="1" si="72"/>
        <v>539</v>
      </c>
      <c r="J910" s="83">
        <f t="shared" ca="1" si="70"/>
        <v>0.60629921259842523</v>
      </c>
      <c r="N910" s="60">
        <v>889</v>
      </c>
      <c r="O910" s="82">
        <f ca="1">IF(AND(N910&lt;=U$22,RAND()&lt;=$H$7),1,0)</f>
        <v>1</v>
      </c>
      <c r="P910" s="82">
        <f t="shared" ca="1" si="73"/>
        <v>2</v>
      </c>
      <c r="Q910" s="84">
        <f t="shared" ca="1" si="74"/>
        <v>1.1000000000000001</v>
      </c>
      <c r="R910" s="82">
        <f t="shared" ca="1" si="71"/>
        <v>4.4000000000000004</v>
      </c>
      <c r="S910" s="82">
        <f ca="1">SUM(R$22:$R910)</f>
        <v>2410.0000000000032</v>
      </c>
      <c r="W910" s="60">
        <v>889</v>
      </c>
      <c r="X910" s="82">
        <f ca="1"/>
        <v>2809.6000000000058</v>
      </c>
    </row>
    <row r="911" spans="7:24" x14ac:dyDescent="0.2">
      <c r="G911" s="60">
        <v>890</v>
      </c>
      <c r="H911" s="82">
        <f ca="1"/>
        <v>1</v>
      </c>
      <c r="I911" s="82">
        <f t="shared" ca="1" si="72"/>
        <v>540</v>
      </c>
      <c r="J911" s="83">
        <f t="shared" ca="1" si="70"/>
        <v>0.6067415730337079</v>
      </c>
      <c r="N911" s="60">
        <v>890</v>
      </c>
      <c r="O911" s="82">
        <f ca="1">IF(AND(N911&lt;=U$22,RAND()&lt;=$H$7),1,0)</f>
        <v>0</v>
      </c>
      <c r="P911" s="82">
        <f t="shared" ca="1" si="73"/>
        <v>0</v>
      </c>
      <c r="Q911" s="84">
        <f t="shared" ca="1" si="74"/>
        <v>1</v>
      </c>
      <c r="R911" s="82">
        <f t="shared" ca="1" si="71"/>
        <v>0</v>
      </c>
      <c r="S911" s="82">
        <f ca="1">SUM(R$22:$R911)</f>
        <v>2410.0000000000032</v>
      </c>
      <c r="W911" s="60">
        <v>890</v>
      </c>
      <c r="X911" s="82">
        <f ca="1"/>
        <v>2817.6000000000076</v>
      </c>
    </row>
    <row r="912" spans="7:24" x14ac:dyDescent="0.2">
      <c r="G912" s="60">
        <v>891</v>
      </c>
      <c r="H912" s="82">
        <f ca="1"/>
        <v>1</v>
      </c>
      <c r="I912" s="82">
        <f t="shared" ca="1" si="72"/>
        <v>541</v>
      </c>
      <c r="J912" s="83">
        <f t="shared" ca="1" si="70"/>
        <v>0.60718294051627386</v>
      </c>
      <c r="N912" s="60">
        <v>891</v>
      </c>
      <c r="O912" s="82">
        <f ca="1">IF(AND(N912&lt;=U$22,RAND()&lt;=$H$7),1,0)</f>
        <v>1</v>
      </c>
      <c r="P912" s="82">
        <f t="shared" ca="1" si="73"/>
        <v>0</v>
      </c>
      <c r="Q912" s="84">
        <f t="shared" ca="1" si="74"/>
        <v>1</v>
      </c>
      <c r="R912" s="82">
        <f t="shared" ca="1" si="71"/>
        <v>4</v>
      </c>
      <c r="S912" s="82">
        <f ca="1">SUM(R$22:$R912)</f>
        <v>2414.0000000000032</v>
      </c>
      <c r="W912" s="60">
        <v>891</v>
      </c>
      <c r="X912" s="82">
        <f ca="1"/>
        <v>2882.4000000000083</v>
      </c>
    </row>
    <row r="913" spans="7:24" x14ac:dyDescent="0.2">
      <c r="G913" s="60">
        <v>892</v>
      </c>
      <c r="H913" s="82">
        <f ca="1"/>
        <v>1</v>
      </c>
      <c r="I913" s="82">
        <f t="shared" ca="1" si="72"/>
        <v>542</v>
      </c>
      <c r="J913" s="83">
        <f t="shared" ca="1" si="70"/>
        <v>0.6076233183856502</v>
      </c>
      <c r="N913" s="60">
        <v>892</v>
      </c>
      <c r="O913" s="82">
        <f ca="1">IF(AND(N913&lt;=U$22,RAND()&lt;=$H$7),1,0)</f>
        <v>1</v>
      </c>
      <c r="P913" s="82">
        <f t="shared" ca="1" si="73"/>
        <v>1</v>
      </c>
      <c r="Q913" s="84">
        <f t="shared" ca="1" si="74"/>
        <v>1</v>
      </c>
      <c r="R913" s="82">
        <f t="shared" ca="1" si="71"/>
        <v>4</v>
      </c>
      <c r="S913" s="82">
        <f ca="1">SUM(R$22:$R913)</f>
        <v>2418.0000000000032</v>
      </c>
      <c r="W913" s="60">
        <v>892</v>
      </c>
      <c r="X913" s="82">
        <f ca="1"/>
        <v>2790.8000000000061</v>
      </c>
    </row>
    <row r="914" spans="7:24" x14ac:dyDescent="0.2">
      <c r="G914" s="60">
        <v>893</v>
      </c>
      <c r="H914" s="82">
        <f ca="1"/>
        <v>1</v>
      </c>
      <c r="I914" s="82">
        <f t="shared" ca="1" si="72"/>
        <v>543</v>
      </c>
      <c r="J914" s="83">
        <f t="shared" ca="1" si="70"/>
        <v>0.60806270996640532</v>
      </c>
      <c r="N914" s="60">
        <v>893</v>
      </c>
      <c r="O914" s="82">
        <f ca="1">IF(AND(N914&lt;=U$22,RAND()&lt;=$H$7),1,0)</f>
        <v>0</v>
      </c>
      <c r="P914" s="82">
        <f t="shared" ca="1" si="73"/>
        <v>0</v>
      </c>
      <c r="Q914" s="84">
        <f t="shared" ca="1" si="74"/>
        <v>1</v>
      </c>
      <c r="R914" s="82">
        <f t="shared" ca="1" si="71"/>
        <v>0</v>
      </c>
      <c r="S914" s="82">
        <f ca="1">SUM(R$22:$R914)</f>
        <v>2418.0000000000032</v>
      </c>
      <c r="W914" s="60">
        <v>893</v>
      </c>
      <c r="X914" s="82">
        <f ca="1"/>
        <v>2817.2000000000062</v>
      </c>
    </row>
    <row r="915" spans="7:24" x14ac:dyDescent="0.2">
      <c r="G915" s="60">
        <v>894</v>
      </c>
      <c r="H915" s="82">
        <f ca="1"/>
        <v>0</v>
      </c>
      <c r="I915" s="82">
        <f t="shared" ca="1" si="72"/>
        <v>543</v>
      </c>
      <c r="J915" s="83">
        <f t="shared" ca="1" si="70"/>
        <v>0.60738255033557043</v>
      </c>
      <c r="N915" s="60">
        <v>894</v>
      </c>
      <c r="O915" s="82">
        <f ca="1">IF(AND(N915&lt;=U$22,RAND()&lt;=$H$7),1,0)</f>
        <v>1</v>
      </c>
      <c r="P915" s="82">
        <f t="shared" ca="1" si="73"/>
        <v>0</v>
      </c>
      <c r="Q915" s="84">
        <f t="shared" ca="1" si="74"/>
        <v>1</v>
      </c>
      <c r="R915" s="82">
        <f t="shared" ca="1" si="71"/>
        <v>4</v>
      </c>
      <c r="S915" s="82">
        <f ca="1">SUM(R$22:$R915)</f>
        <v>2422.0000000000032</v>
      </c>
      <c r="W915" s="60">
        <v>894</v>
      </c>
      <c r="X915" s="82">
        <f ca="1"/>
        <v>3008.4000000000092</v>
      </c>
    </row>
    <row r="916" spans="7:24" x14ac:dyDescent="0.2">
      <c r="G916" s="60">
        <v>895</v>
      </c>
      <c r="H916" s="82">
        <f ca="1"/>
        <v>0</v>
      </c>
      <c r="I916" s="82">
        <f t="shared" ca="1" si="72"/>
        <v>543</v>
      </c>
      <c r="J916" s="83">
        <f t="shared" ca="1" si="70"/>
        <v>0.60670391061452511</v>
      </c>
      <c r="N916" s="60">
        <v>895</v>
      </c>
      <c r="O916" s="82">
        <f ca="1">IF(AND(N916&lt;=U$22,RAND()&lt;=$H$7),1,0)</f>
        <v>1</v>
      </c>
      <c r="P916" s="82">
        <f t="shared" ca="1" si="73"/>
        <v>1</v>
      </c>
      <c r="Q916" s="84">
        <f t="shared" ca="1" si="74"/>
        <v>1</v>
      </c>
      <c r="R916" s="82">
        <f t="shared" ca="1" si="71"/>
        <v>4</v>
      </c>
      <c r="S916" s="82">
        <f ca="1">SUM(R$22:$R916)</f>
        <v>2426.0000000000032</v>
      </c>
      <c r="W916" s="60">
        <v>895</v>
      </c>
      <c r="X916" s="82">
        <f ca="1"/>
        <v>2723.2000000000066</v>
      </c>
    </row>
    <row r="917" spans="7:24" x14ac:dyDescent="0.2">
      <c r="G917" s="60">
        <v>896</v>
      </c>
      <c r="H917" s="82">
        <f ca="1"/>
        <v>1</v>
      </c>
      <c r="I917" s="82">
        <f t="shared" ca="1" si="72"/>
        <v>544</v>
      </c>
      <c r="J917" s="83">
        <f t="shared" ca="1" si="70"/>
        <v>0.6071428571428571</v>
      </c>
      <c r="N917" s="60">
        <v>896</v>
      </c>
      <c r="O917" s="82">
        <f ca="1">IF(AND(N917&lt;=U$22,RAND()&lt;=$H$7),1,0)</f>
        <v>1</v>
      </c>
      <c r="P917" s="82">
        <f t="shared" ca="1" si="73"/>
        <v>2</v>
      </c>
      <c r="Q917" s="84">
        <f t="shared" ca="1" si="74"/>
        <v>1.1000000000000001</v>
      </c>
      <c r="R917" s="82">
        <f t="shared" ca="1" si="71"/>
        <v>4.4000000000000004</v>
      </c>
      <c r="S917" s="82">
        <f ca="1">SUM(R$22:$R917)</f>
        <v>2430.4000000000033</v>
      </c>
      <c r="W917" s="60">
        <v>896</v>
      </c>
      <c r="X917" s="82">
        <f ca="1"/>
        <v>2706.0000000000068</v>
      </c>
    </row>
    <row r="918" spans="7:24" x14ac:dyDescent="0.2">
      <c r="G918" s="60">
        <v>897</v>
      </c>
      <c r="H918" s="82">
        <f ca="1"/>
        <v>1</v>
      </c>
      <c r="I918" s="82">
        <f t="shared" ca="1" si="72"/>
        <v>545</v>
      </c>
      <c r="J918" s="83">
        <f t="shared" ca="1" si="70"/>
        <v>0.60758082497212929</v>
      </c>
      <c r="N918" s="60">
        <v>897</v>
      </c>
      <c r="O918" s="82">
        <f ca="1">IF(AND(N918&lt;=U$22,RAND()&lt;=$H$7),1,0)</f>
        <v>1</v>
      </c>
      <c r="P918" s="82">
        <f t="shared" ca="1" si="73"/>
        <v>3</v>
      </c>
      <c r="Q918" s="84">
        <f t="shared" ca="1" si="74"/>
        <v>1.2</v>
      </c>
      <c r="R918" s="82">
        <f t="shared" ca="1" si="71"/>
        <v>4.8</v>
      </c>
      <c r="S918" s="82">
        <f ca="1">SUM(R$22:$R918)</f>
        <v>2435.2000000000035</v>
      </c>
      <c r="W918" s="60">
        <v>897</v>
      </c>
      <c r="X918" s="82">
        <f ca="1"/>
        <v>2751.6000000000085</v>
      </c>
    </row>
    <row r="919" spans="7:24" x14ac:dyDescent="0.2">
      <c r="G919" s="60">
        <v>898</v>
      </c>
      <c r="H919" s="82">
        <f ca="1"/>
        <v>0</v>
      </c>
      <c r="I919" s="82">
        <f t="shared" ca="1" si="72"/>
        <v>545</v>
      </c>
      <c r="J919" s="83">
        <f t="shared" ref="J919:J982" ca="1" si="75">I919/G919</f>
        <v>0.60690423162583518</v>
      </c>
      <c r="N919" s="60">
        <v>898</v>
      </c>
      <c r="O919" s="82">
        <f ca="1">IF(AND(N919&lt;=U$22,RAND()&lt;=$H$7),1,0)</f>
        <v>1</v>
      </c>
      <c r="P919" s="82">
        <f t="shared" ca="1" si="73"/>
        <v>4</v>
      </c>
      <c r="Q919" s="84">
        <f t="shared" ca="1" si="74"/>
        <v>1.3</v>
      </c>
      <c r="R919" s="82">
        <f t="shared" ref="R919:R982" ca="1" si="76">Q919*$I$7*O919</f>
        <v>5.2</v>
      </c>
      <c r="S919" s="82">
        <f ca="1">SUM(R$22:$R919)</f>
        <v>2440.4000000000033</v>
      </c>
      <c r="W919" s="60">
        <v>898</v>
      </c>
      <c r="X919" s="82">
        <f ca="1"/>
        <v>2710.0000000000073</v>
      </c>
    </row>
    <row r="920" spans="7:24" x14ac:dyDescent="0.2">
      <c r="G920" s="60">
        <v>899</v>
      </c>
      <c r="H920" s="82">
        <f ca="1"/>
        <v>1</v>
      </c>
      <c r="I920" s="82">
        <f t="shared" ref="I920:I983" ca="1" si="77">H920+I919</f>
        <v>546</v>
      </c>
      <c r="J920" s="83">
        <f t="shared" ca="1" si="75"/>
        <v>0.60734149054505004</v>
      </c>
      <c r="N920" s="60">
        <v>899</v>
      </c>
      <c r="O920" s="82">
        <f ca="1">IF(AND(N920&lt;=U$22,RAND()&lt;=$H$7),1,0)</f>
        <v>1</v>
      </c>
      <c r="P920" s="82">
        <f t="shared" ref="P920:P983" ca="1" si="78">IF(AND(O919=1,O920=1),P919+1,0)</f>
        <v>5</v>
      </c>
      <c r="Q920" s="84">
        <f t="shared" ref="Q920:Q983" ca="1" si="79">IF(P920&gt;1,1+(P920-1)*0.1,1)</f>
        <v>1.4</v>
      </c>
      <c r="R920" s="82">
        <f t="shared" ca="1" si="76"/>
        <v>5.6</v>
      </c>
      <c r="S920" s="82">
        <f ca="1">SUM(R$22:$R920)</f>
        <v>2446.0000000000032</v>
      </c>
      <c r="W920" s="60">
        <v>899</v>
      </c>
      <c r="X920" s="82">
        <f ca="1"/>
        <v>2654.0000000000059</v>
      </c>
    </row>
    <row r="921" spans="7:24" x14ac:dyDescent="0.2">
      <c r="G921" s="60">
        <v>900</v>
      </c>
      <c r="H921" s="82">
        <f ca="1"/>
        <v>1</v>
      </c>
      <c r="I921" s="82">
        <f t="shared" ca="1" si="77"/>
        <v>547</v>
      </c>
      <c r="J921" s="83">
        <f t="shared" ca="1" si="75"/>
        <v>0.60777777777777775</v>
      </c>
      <c r="N921" s="60">
        <v>900</v>
      </c>
      <c r="O921" s="82">
        <f ca="1">IF(AND(N921&lt;=U$22,RAND()&lt;=$H$7),1,0)</f>
        <v>0</v>
      </c>
      <c r="P921" s="82">
        <f t="shared" ca="1" si="78"/>
        <v>0</v>
      </c>
      <c r="Q921" s="84">
        <f t="shared" ca="1" si="79"/>
        <v>1</v>
      </c>
      <c r="R921" s="82">
        <f t="shared" ca="1" si="76"/>
        <v>0</v>
      </c>
      <c r="S921" s="82">
        <f ca="1">SUM(R$22:$R921)</f>
        <v>2446.0000000000032</v>
      </c>
      <c r="W921" s="60">
        <v>900</v>
      </c>
      <c r="X921" s="82">
        <f ca="1"/>
        <v>2676.8000000000079</v>
      </c>
    </row>
    <row r="922" spans="7:24" x14ac:dyDescent="0.2">
      <c r="G922" s="60">
        <v>901</v>
      </c>
      <c r="H922" s="82">
        <f ca="1"/>
        <v>1</v>
      </c>
      <c r="I922" s="82">
        <f t="shared" ca="1" si="77"/>
        <v>548</v>
      </c>
      <c r="J922" s="83">
        <f t="shared" ca="1" si="75"/>
        <v>0.6082130965593785</v>
      </c>
      <c r="N922" s="60">
        <v>901</v>
      </c>
      <c r="O922" s="82">
        <f ca="1">IF(AND(N922&lt;=U$22,RAND()&lt;=$H$7),1,0)</f>
        <v>0</v>
      </c>
      <c r="P922" s="82">
        <f t="shared" ca="1" si="78"/>
        <v>0</v>
      </c>
      <c r="Q922" s="84">
        <f t="shared" ca="1" si="79"/>
        <v>1</v>
      </c>
      <c r="R922" s="82">
        <f t="shared" ca="1" si="76"/>
        <v>0</v>
      </c>
      <c r="S922" s="82">
        <f ca="1">SUM(R$22:$R922)</f>
        <v>2446.0000000000032</v>
      </c>
      <c r="W922" s="60">
        <v>901</v>
      </c>
      <c r="X922" s="82">
        <f ca="1"/>
        <v>2867.200000000008</v>
      </c>
    </row>
    <row r="923" spans="7:24" x14ac:dyDescent="0.2">
      <c r="G923" s="60">
        <v>902</v>
      </c>
      <c r="H923" s="82">
        <f ca="1"/>
        <v>0</v>
      </c>
      <c r="I923" s="82">
        <f t="shared" ca="1" si="77"/>
        <v>548</v>
      </c>
      <c r="J923" s="83">
        <f t="shared" ca="1" si="75"/>
        <v>0.60753880266075388</v>
      </c>
      <c r="N923" s="60">
        <v>902</v>
      </c>
      <c r="O923" s="82">
        <f ca="1">IF(AND(N923&lt;=U$22,RAND()&lt;=$H$7),1,0)</f>
        <v>1</v>
      </c>
      <c r="P923" s="82">
        <f t="shared" ca="1" si="78"/>
        <v>0</v>
      </c>
      <c r="Q923" s="84">
        <f t="shared" ca="1" si="79"/>
        <v>1</v>
      </c>
      <c r="R923" s="82">
        <f t="shared" ca="1" si="76"/>
        <v>4</v>
      </c>
      <c r="S923" s="82">
        <f ca="1">SUM(R$22:$R923)</f>
        <v>2450.0000000000032</v>
      </c>
      <c r="W923" s="60">
        <v>902</v>
      </c>
      <c r="X923" s="82">
        <f ca="1"/>
        <v>2606.400000000006</v>
      </c>
    </row>
    <row r="924" spans="7:24" x14ac:dyDescent="0.2">
      <c r="G924" s="60">
        <v>903</v>
      </c>
      <c r="H924" s="82">
        <f ca="1"/>
        <v>0</v>
      </c>
      <c r="I924" s="82">
        <f t="shared" ca="1" si="77"/>
        <v>548</v>
      </c>
      <c r="J924" s="83">
        <f t="shared" ca="1" si="75"/>
        <v>0.60686600221483944</v>
      </c>
      <c r="N924" s="60">
        <v>903</v>
      </c>
      <c r="O924" s="82">
        <f ca="1">IF(AND(N924&lt;=U$22,RAND()&lt;=$H$7),1,0)</f>
        <v>0</v>
      </c>
      <c r="P924" s="82">
        <f t="shared" ca="1" si="78"/>
        <v>0</v>
      </c>
      <c r="Q924" s="84">
        <f t="shared" ca="1" si="79"/>
        <v>1</v>
      </c>
      <c r="R924" s="82">
        <f t="shared" ca="1" si="76"/>
        <v>0</v>
      </c>
      <c r="S924" s="82">
        <f ca="1">SUM(R$22:$R924)</f>
        <v>2450.0000000000032</v>
      </c>
      <c r="W924" s="60">
        <v>903</v>
      </c>
      <c r="X924" s="82">
        <f ca="1"/>
        <v>2650.800000000007</v>
      </c>
    </row>
    <row r="925" spans="7:24" x14ac:dyDescent="0.2">
      <c r="G925" s="60">
        <v>904</v>
      </c>
      <c r="H925" s="82">
        <f ca="1"/>
        <v>0</v>
      </c>
      <c r="I925" s="82">
        <f t="shared" ca="1" si="77"/>
        <v>548</v>
      </c>
      <c r="J925" s="83">
        <f t="shared" ca="1" si="75"/>
        <v>0.60619469026548678</v>
      </c>
      <c r="N925" s="60">
        <v>904</v>
      </c>
      <c r="O925" s="82">
        <f ca="1">IF(AND(N925&lt;=U$22,RAND()&lt;=$H$7),1,0)</f>
        <v>1</v>
      </c>
      <c r="P925" s="82">
        <f t="shared" ca="1" si="78"/>
        <v>0</v>
      </c>
      <c r="Q925" s="84">
        <f t="shared" ca="1" si="79"/>
        <v>1</v>
      </c>
      <c r="R925" s="82">
        <f t="shared" ca="1" si="76"/>
        <v>4</v>
      </c>
      <c r="S925" s="82">
        <f ca="1">SUM(R$22:$R925)</f>
        <v>2454.0000000000032</v>
      </c>
      <c r="W925" s="60">
        <v>904</v>
      </c>
      <c r="X925" s="82">
        <f ca="1"/>
        <v>2710.0000000000064</v>
      </c>
    </row>
    <row r="926" spans="7:24" x14ac:dyDescent="0.2">
      <c r="G926" s="60">
        <v>905</v>
      </c>
      <c r="H926" s="82">
        <f ca="1"/>
        <v>1</v>
      </c>
      <c r="I926" s="82">
        <f t="shared" ca="1" si="77"/>
        <v>549</v>
      </c>
      <c r="J926" s="83">
        <f t="shared" ca="1" si="75"/>
        <v>0.60662983425414363</v>
      </c>
      <c r="N926" s="60">
        <v>905</v>
      </c>
      <c r="O926" s="82">
        <f ca="1">IF(AND(N926&lt;=U$22,RAND()&lt;=$H$7),1,0)</f>
        <v>1</v>
      </c>
      <c r="P926" s="82">
        <f t="shared" ca="1" si="78"/>
        <v>1</v>
      </c>
      <c r="Q926" s="84">
        <f t="shared" ca="1" si="79"/>
        <v>1</v>
      </c>
      <c r="R926" s="82">
        <f t="shared" ca="1" si="76"/>
        <v>4</v>
      </c>
      <c r="S926" s="82">
        <f ca="1">SUM(R$22:$R926)</f>
        <v>2458.0000000000032</v>
      </c>
      <c r="W926" s="60">
        <v>905</v>
      </c>
      <c r="X926" s="82">
        <f ca="1"/>
        <v>2592.000000000005</v>
      </c>
    </row>
    <row r="927" spans="7:24" x14ac:dyDescent="0.2">
      <c r="G927" s="60">
        <v>906</v>
      </c>
      <c r="H927" s="82">
        <f ca="1"/>
        <v>0</v>
      </c>
      <c r="I927" s="82">
        <f t="shared" ca="1" si="77"/>
        <v>549</v>
      </c>
      <c r="J927" s="83">
        <f t="shared" ca="1" si="75"/>
        <v>0.60596026490066224</v>
      </c>
      <c r="N927" s="60">
        <v>906</v>
      </c>
      <c r="O927" s="82">
        <f ca="1">IF(AND(N927&lt;=U$22,RAND()&lt;=$H$7),1,0)</f>
        <v>0</v>
      </c>
      <c r="P927" s="82">
        <f t="shared" ca="1" si="78"/>
        <v>0</v>
      </c>
      <c r="Q927" s="84">
        <f t="shared" ca="1" si="79"/>
        <v>1</v>
      </c>
      <c r="R927" s="82">
        <f t="shared" ca="1" si="76"/>
        <v>0</v>
      </c>
      <c r="S927" s="82">
        <f ca="1">SUM(R$22:$R927)</f>
        <v>2458.0000000000032</v>
      </c>
      <c r="W927" s="60">
        <v>906</v>
      </c>
      <c r="X927" s="82">
        <f ca="1"/>
        <v>2749.6000000000063</v>
      </c>
    </row>
    <row r="928" spans="7:24" x14ac:dyDescent="0.2">
      <c r="G928" s="60">
        <v>907</v>
      </c>
      <c r="H928" s="82">
        <f ca="1"/>
        <v>1</v>
      </c>
      <c r="I928" s="82">
        <f t="shared" ca="1" si="77"/>
        <v>550</v>
      </c>
      <c r="J928" s="83">
        <f t="shared" ca="1" si="75"/>
        <v>0.60639470782800442</v>
      </c>
      <c r="N928" s="60">
        <v>907</v>
      </c>
      <c r="O928" s="82">
        <f ca="1">IF(AND(N928&lt;=U$22,RAND()&lt;=$H$7),1,0)</f>
        <v>1</v>
      </c>
      <c r="P928" s="82">
        <f t="shared" ca="1" si="78"/>
        <v>0</v>
      </c>
      <c r="Q928" s="84">
        <f t="shared" ca="1" si="79"/>
        <v>1</v>
      </c>
      <c r="R928" s="82">
        <f t="shared" ca="1" si="76"/>
        <v>4</v>
      </c>
      <c r="S928" s="82">
        <f ca="1">SUM(R$22:$R928)</f>
        <v>2462.0000000000032</v>
      </c>
      <c r="W928" s="60">
        <v>907</v>
      </c>
      <c r="X928" s="82">
        <f ca="1"/>
        <v>2731.6000000000067</v>
      </c>
    </row>
    <row r="929" spans="7:24" x14ac:dyDescent="0.2">
      <c r="G929" s="60">
        <v>908</v>
      </c>
      <c r="H929" s="82">
        <f ca="1"/>
        <v>1</v>
      </c>
      <c r="I929" s="82">
        <f t="shared" ca="1" si="77"/>
        <v>551</v>
      </c>
      <c r="J929" s="83">
        <f t="shared" ca="1" si="75"/>
        <v>0.60682819383259912</v>
      </c>
      <c r="N929" s="60">
        <v>908</v>
      </c>
      <c r="O929" s="82">
        <f ca="1">IF(AND(N929&lt;=U$22,RAND()&lt;=$H$7),1,0)</f>
        <v>1</v>
      </c>
      <c r="P929" s="82">
        <f t="shared" ca="1" si="78"/>
        <v>1</v>
      </c>
      <c r="Q929" s="84">
        <f t="shared" ca="1" si="79"/>
        <v>1</v>
      </c>
      <c r="R929" s="82">
        <f t="shared" ca="1" si="76"/>
        <v>4</v>
      </c>
      <c r="S929" s="82">
        <f ca="1">SUM(R$22:$R929)</f>
        <v>2466.0000000000032</v>
      </c>
      <c r="W929" s="60">
        <v>908</v>
      </c>
      <c r="X929" s="82">
        <f ca="1"/>
        <v>2860.8000000000075</v>
      </c>
    </row>
    <row r="930" spans="7:24" x14ac:dyDescent="0.2">
      <c r="G930" s="60">
        <v>909</v>
      </c>
      <c r="H930" s="82">
        <f ca="1"/>
        <v>0</v>
      </c>
      <c r="I930" s="82">
        <f t="shared" ca="1" si="77"/>
        <v>551</v>
      </c>
      <c r="J930" s="83">
        <f t="shared" ca="1" si="75"/>
        <v>0.60616061606160621</v>
      </c>
      <c r="N930" s="60">
        <v>909</v>
      </c>
      <c r="O930" s="82">
        <f ca="1">IF(AND(N930&lt;=U$22,RAND()&lt;=$H$7),1,0)</f>
        <v>1</v>
      </c>
      <c r="P930" s="82">
        <f t="shared" ca="1" si="78"/>
        <v>2</v>
      </c>
      <c r="Q930" s="84">
        <f t="shared" ca="1" si="79"/>
        <v>1.1000000000000001</v>
      </c>
      <c r="R930" s="82">
        <f t="shared" ca="1" si="76"/>
        <v>4.4000000000000004</v>
      </c>
      <c r="S930" s="82">
        <f ca="1">SUM(R$22:$R930)</f>
        <v>2470.4000000000033</v>
      </c>
      <c r="W930" s="60">
        <v>909</v>
      </c>
      <c r="X930" s="82">
        <f ca="1"/>
        <v>2822.4000000000065</v>
      </c>
    </row>
    <row r="931" spans="7:24" x14ac:dyDescent="0.2">
      <c r="G931" s="60">
        <v>910</v>
      </c>
      <c r="H931" s="82">
        <f ca="1"/>
        <v>0</v>
      </c>
      <c r="I931" s="82">
        <f t="shared" ca="1" si="77"/>
        <v>551</v>
      </c>
      <c r="J931" s="83">
        <f t="shared" ca="1" si="75"/>
        <v>0.60549450549450545</v>
      </c>
      <c r="N931" s="60">
        <v>910</v>
      </c>
      <c r="O931" s="82">
        <f ca="1">IF(AND(N931&lt;=U$22,RAND()&lt;=$H$7),1,0)</f>
        <v>0</v>
      </c>
      <c r="P931" s="82">
        <f t="shared" ca="1" si="78"/>
        <v>0</v>
      </c>
      <c r="Q931" s="84">
        <f t="shared" ca="1" si="79"/>
        <v>1</v>
      </c>
      <c r="R931" s="82">
        <f t="shared" ca="1" si="76"/>
        <v>0</v>
      </c>
      <c r="S931" s="82">
        <f ca="1">SUM(R$22:$R931)</f>
        <v>2470.4000000000033</v>
      </c>
      <c r="W931" s="60">
        <v>910</v>
      </c>
      <c r="X931" s="82">
        <f ca="1"/>
        <v>2625.6000000000063</v>
      </c>
    </row>
    <row r="932" spans="7:24" x14ac:dyDescent="0.2">
      <c r="G932" s="60">
        <v>911</v>
      </c>
      <c r="H932" s="82">
        <f ca="1"/>
        <v>1</v>
      </c>
      <c r="I932" s="82">
        <f t="shared" ca="1" si="77"/>
        <v>552</v>
      </c>
      <c r="J932" s="83">
        <f t="shared" ca="1" si="75"/>
        <v>0.60592755214050498</v>
      </c>
      <c r="N932" s="60">
        <v>911</v>
      </c>
      <c r="O932" s="82">
        <f ca="1">IF(AND(N932&lt;=U$22,RAND()&lt;=$H$7),1,0)</f>
        <v>1</v>
      </c>
      <c r="P932" s="82">
        <f t="shared" ca="1" si="78"/>
        <v>0</v>
      </c>
      <c r="Q932" s="84">
        <f t="shared" ca="1" si="79"/>
        <v>1</v>
      </c>
      <c r="R932" s="82">
        <f t="shared" ca="1" si="76"/>
        <v>4</v>
      </c>
      <c r="S932" s="82">
        <f ca="1">SUM(R$22:$R932)</f>
        <v>2474.4000000000033</v>
      </c>
      <c r="W932" s="60">
        <v>911</v>
      </c>
      <c r="X932" s="82">
        <f ca="1"/>
        <v>2754.4000000000069</v>
      </c>
    </row>
    <row r="933" spans="7:24" x14ac:dyDescent="0.2">
      <c r="G933" s="60">
        <v>912</v>
      </c>
      <c r="H933" s="82">
        <f ca="1"/>
        <v>1</v>
      </c>
      <c r="I933" s="82">
        <f t="shared" ca="1" si="77"/>
        <v>553</v>
      </c>
      <c r="J933" s="83">
        <f t="shared" ca="1" si="75"/>
        <v>0.60635964912280704</v>
      </c>
      <c r="N933" s="60">
        <v>912</v>
      </c>
      <c r="O933" s="82">
        <f ca="1">IF(AND(N933&lt;=U$22,RAND()&lt;=$H$7),1,0)</f>
        <v>0</v>
      </c>
      <c r="P933" s="82">
        <f t="shared" ca="1" si="78"/>
        <v>0</v>
      </c>
      <c r="Q933" s="84">
        <f t="shared" ca="1" si="79"/>
        <v>1</v>
      </c>
      <c r="R933" s="82">
        <f t="shared" ca="1" si="76"/>
        <v>0</v>
      </c>
      <c r="S933" s="82">
        <f ca="1">SUM(R$22:$R933)</f>
        <v>2474.4000000000033</v>
      </c>
      <c r="W933" s="60">
        <v>912</v>
      </c>
      <c r="X933" s="82">
        <f ca="1"/>
        <v>2793.6000000000067</v>
      </c>
    </row>
    <row r="934" spans="7:24" x14ac:dyDescent="0.2">
      <c r="G934" s="60">
        <v>913</v>
      </c>
      <c r="H934" s="82">
        <f ca="1"/>
        <v>0</v>
      </c>
      <c r="I934" s="82">
        <f t="shared" ca="1" si="77"/>
        <v>553</v>
      </c>
      <c r="J934" s="83">
        <f t="shared" ca="1" si="75"/>
        <v>0.60569550930996718</v>
      </c>
      <c r="N934" s="60">
        <v>913</v>
      </c>
      <c r="O934" s="82">
        <f ca="1">IF(AND(N934&lt;=U$22,RAND()&lt;=$H$7),1,0)</f>
        <v>1</v>
      </c>
      <c r="P934" s="82">
        <f t="shared" ca="1" si="78"/>
        <v>0</v>
      </c>
      <c r="Q934" s="84">
        <f t="shared" ca="1" si="79"/>
        <v>1</v>
      </c>
      <c r="R934" s="82">
        <f t="shared" ca="1" si="76"/>
        <v>4</v>
      </c>
      <c r="S934" s="82">
        <f ca="1">SUM(R$22:$R934)</f>
        <v>2478.4000000000033</v>
      </c>
      <c r="W934" s="60">
        <v>913</v>
      </c>
      <c r="X934" s="82">
        <f ca="1"/>
        <v>2652.0000000000086</v>
      </c>
    </row>
    <row r="935" spans="7:24" x14ac:dyDescent="0.2">
      <c r="G935" s="60">
        <v>914</v>
      </c>
      <c r="H935" s="82">
        <f ca="1"/>
        <v>0</v>
      </c>
      <c r="I935" s="82">
        <f t="shared" ca="1" si="77"/>
        <v>553</v>
      </c>
      <c r="J935" s="83">
        <f t="shared" ca="1" si="75"/>
        <v>0.60503282275711157</v>
      </c>
      <c r="N935" s="60">
        <v>914</v>
      </c>
      <c r="O935" s="82">
        <f ca="1">IF(AND(N935&lt;=U$22,RAND()&lt;=$H$7),1,0)</f>
        <v>0</v>
      </c>
      <c r="P935" s="82">
        <f t="shared" ca="1" si="78"/>
        <v>0</v>
      </c>
      <c r="Q935" s="84">
        <f t="shared" ca="1" si="79"/>
        <v>1</v>
      </c>
      <c r="R935" s="82">
        <f t="shared" ca="1" si="76"/>
        <v>0</v>
      </c>
      <c r="S935" s="82">
        <f ca="1">SUM(R$22:$R935)</f>
        <v>2478.4000000000033</v>
      </c>
      <c r="W935" s="60">
        <v>914</v>
      </c>
      <c r="X935" s="82">
        <f ca="1"/>
        <v>2904.4000000000065</v>
      </c>
    </row>
    <row r="936" spans="7:24" x14ac:dyDescent="0.2">
      <c r="G936" s="60">
        <v>915</v>
      </c>
      <c r="H936" s="82">
        <f ca="1"/>
        <v>0</v>
      </c>
      <c r="I936" s="82">
        <f t="shared" ca="1" si="77"/>
        <v>553</v>
      </c>
      <c r="J936" s="83">
        <f t="shared" ca="1" si="75"/>
        <v>0.60437158469945351</v>
      </c>
      <c r="N936" s="60">
        <v>915</v>
      </c>
      <c r="O936" s="82">
        <f ca="1">IF(AND(N936&lt;=U$22,RAND()&lt;=$H$7),1,0)</f>
        <v>0</v>
      </c>
      <c r="P936" s="82">
        <f t="shared" ca="1" si="78"/>
        <v>0</v>
      </c>
      <c r="Q936" s="84">
        <f t="shared" ca="1" si="79"/>
        <v>1</v>
      </c>
      <c r="R936" s="82">
        <f t="shared" ca="1" si="76"/>
        <v>0</v>
      </c>
      <c r="S936" s="82">
        <f ca="1">SUM(R$22:$R936)</f>
        <v>2478.4000000000033</v>
      </c>
      <c r="W936" s="60">
        <v>915</v>
      </c>
      <c r="X936" s="82">
        <f ca="1"/>
        <v>2692.8000000000056</v>
      </c>
    </row>
    <row r="937" spans="7:24" x14ac:dyDescent="0.2">
      <c r="G937" s="60">
        <v>916</v>
      </c>
      <c r="H937" s="82">
        <f ca="1"/>
        <v>1</v>
      </c>
      <c r="I937" s="82">
        <f t="shared" ca="1" si="77"/>
        <v>554</v>
      </c>
      <c r="J937" s="83">
        <f t="shared" ca="1" si="75"/>
        <v>0.60480349344978168</v>
      </c>
      <c r="N937" s="60">
        <v>916</v>
      </c>
      <c r="O937" s="82">
        <f ca="1">IF(AND(N937&lt;=U$22,RAND()&lt;=$H$7),1,0)</f>
        <v>1</v>
      </c>
      <c r="P937" s="82">
        <f t="shared" ca="1" si="78"/>
        <v>0</v>
      </c>
      <c r="Q937" s="84">
        <f t="shared" ca="1" si="79"/>
        <v>1</v>
      </c>
      <c r="R937" s="82">
        <f t="shared" ca="1" si="76"/>
        <v>4</v>
      </c>
      <c r="S937" s="82">
        <f ca="1">SUM(R$22:$R937)</f>
        <v>2482.4000000000033</v>
      </c>
      <c r="W937" s="60">
        <v>916</v>
      </c>
      <c r="X937" s="82">
        <f ca="1"/>
        <v>2789.2000000000089</v>
      </c>
    </row>
    <row r="938" spans="7:24" x14ac:dyDescent="0.2">
      <c r="G938" s="60">
        <v>917</v>
      </c>
      <c r="H938" s="82">
        <f ca="1"/>
        <v>0</v>
      </c>
      <c r="I938" s="82">
        <f t="shared" ca="1" si="77"/>
        <v>554</v>
      </c>
      <c r="J938" s="83">
        <f t="shared" ca="1" si="75"/>
        <v>0.60414394765539803</v>
      </c>
      <c r="N938" s="60">
        <v>917</v>
      </c>
      <c r="O938" s="82">
        <f ca="1">IF(AND(N938&lt;=U$22,RAND()&lt;=$H$7),1,0)</f>
        <v>1</v>
      </c>
      <c r="P938" s="82">
        <f t="shared" ca="1" si="78"/>
        <v>1</v>
      </c>
      <c r="Q938" s="84">
        <f t="shared" ca="1" si="79"/>
        <v>1</v>
      </c>
      <c r="R938" s="82">
        <f t="shared" ca="1" si="76"/>
        <v>4</v>
      </c>
      <c r="S938" s="82">
        <f ca="1">SUM(R$22:$R938)</f>
        <v>2486.4000000000033</v>
      </c>
      <c r="W938" s="60">
        <v>917</v>
      </c>
      <c r="X938" s="82">
        <f ca="1"/>
        <v>2729.2000000000075</v>
      </c>
    </row>
    <row r="939" spans="7:24" x14ac:dyDescent="0.2">
      <c r="G939" s="60">
        <v>918</v>
      </c>
      <c r="H939" s="82">
        <f ca="1"/>
        <v>1</v>
      </c>
      <c r="I939" s="82">
        <f t="shared" ca="1" si="77"/>
        <v>555</v>
      </c>
      <c r="J939" s="83">
        <f t="shared" ca="1" si="75"/>
        <v>0.60457516339869277</v>
      </c>
      <c r="N939" s="60">
        <v>918</v>
      </c>
      <c r="O939" s="82">
        <f ca="1">IF(AND(N939&lt;=U$22,RAND()&lt;=$H$7),1,0)</f>
        <v>0</v>
      </c>
      <c r="P939" s="82">
        <f t="shared" ca="1" si="78"/>
        <v>0</v>
      </c>
      <c r="Q939" s="84">
        <f t="shared" ca="1" si="79"/>
        <v>1</v>
      </c>
      <c r="R939" s="82">
        <f t="shared" ca="1" si="76"/>
        <v>0</v>
      </c>
      <c r="S939" s="82">
        <f ca="1">SUM(R$22:$R939)</f>
        <v>2486.4000000000033</v>
      </c>
      <c r="W939" s="60">
        <v>918</v>
      </c>
      <c r="X939" s="82">
        <f ca="1"/>
        <v>2722.0000000000077</v>
      </c>
    </row>
    <row r="940" spans="7:24" x14ac:dyDescent="0.2">
      <c r="G940" s="60">
        <v>919</v>
      </c>
      <c r="H940" s="82">
        <f ca="1"/>
        <v>1</v>
      </c>
      <c r="I940" s="82">
        <f t="shared" ca="1" si="77"/>
        <v>556</v>
      </c>
      <c r="J940" s="83">
        <f t="shared" ca="1" si="75"/>
        <v>0.60500544069640916</v>
      </c>
      <c r="N940" s="60">
        <v>919</v>
      </c>
      <c r="O940" s="82">
        <f ca="1">IF(AND(N940&lt;=U$22,RAND()&lt;=$H$7),1,0)</f>
        <v>1</v>
      </c>
      <c r="P940" s="82">
        <f t="shared" ca="1" si="78"/>
        <v>0</v>
      </c>
      <c r="Q940" s="84">
        <f t="shared" ca="1" si="79"/>
        <v>1</v>
      </c>
      <c r="R940" s="82">
        <f t="shared" ca="1" si="76"/>
        <v>4</v>
      </c>
      <c r="S940" s="82">
        <f ca="1">SUM(R$22:$R940)</f>
        <v>2490.4000000000033</v>
      </c>
      <c r="W940" s="60">
        <v>919</v>
      </c>
      <c r="X940" s="82">
        <f ca="1"/>
        <v>2717.6000000000085</v>
      </c>
    </row>
    <row r="941" spans="7:24" x14ac:dyDescent="0.2">
      <c r="G941" s="60">
        <v>920</v>
      </c>
      <c r="H941" s="82">
        <f ca="1"/>
        <v>1</v>
      </c>
      <c r="I941" s="82">
        <f t="shared" ca="1" si="77"/>
        <v>557</v>
      </c>
      <c r="J941" s="83">
        <f t="shared" ca="1" si="75"/>
        <v>0.60543478260869565</v>
      </c>
      <c r="N941" s="60">
        <v>920</v>
      </c>
      <c r="O941" s="82">
        <f ca="1">IF(AND(N941&lt;=U$22,RAND()&lt;=$H$7),1,0)</f>
        <v>1</v>
      </c>
      <c r="P941" s="82">
        <f t="shared" ca="1" si="78"/>
        <v>1</v>
      </c>
      <c r="Q941" s="84">
        <f t="shared" ca="1" si="79"/>
        <v>1</v>
      </c>
      <c r="R941" s="82">
        <f t="shared" ca="1" si="76"/>
        <v>4</v>
      </c>
      <c r="S941" s="82">
        <f ca="1">SUM(R$22:$R941)</f>
        <v>2494.4000000000033</v>
      </c>
      <c r="W941" s="60">
        <v>920</v>
      </c>
      <c r="X941" s="82">
        <f ca="1"/>
        <v>2531.2000000000053</v>
      </c>
    </row>
    <row r="942" spans="7:24" x14ac:dyDescent="0.2">
      <c r="G942" s="60">
        <v>921</v>
      </c>
      <c r="H942" s="82">
        <f ca="1"/>
        <v>1</v>
      </c>
      <c r="I942" s="82">
        <f t="shared" ca="1" si="77"/>
        <v>558</v>
      </c>
      <c r="J942" s="83">
        <f t="shared" ca="1" si="75"/>
        <v>0.60586319218241047</v>
      </c>
      <c r="N942" s="60">
        <v>921</v>
      </c>
      <c r="O942" s="82">
        <f ca="1">IF(AND(N942&lt;=U$22,RAND()&lt;=$H$7),1,0)</f>
        <v>0</v>
      </c>
      <c r="P942" s="82">
        <f t="shared" ca="1" si="78"/>
        <v>0</v>
      </c>
      <c r="Q942" s="84">
        <f t="shared" ca="1" si="79"/>
        <v>1</v>
      </c>
      <c r="R942" s="82">
        <f t="shared" ca="1" si="76"/>
        <v>0</v>
      </c>
      <c r="S942" s="82">
        <f ca="1">SUM(R$22:$R942)</f>
        <v>2494.4000000000033</v>
      </c>
      <c r="W942" s="60">
        <v>921</v>
      </c>
      <c r="X942" s="82">
        <f ca="1"/>
        <v>2750.800000000007</v>
      </c>
    </row>
    <row r="943" spans="7:24" x14ac:dyDescent="0.2">
      <c r="G943" s="60">
        <v>922</v>
      </c>
      <c r="H943" s="82">
        <f ca="1"/>
        <v>0</v>
      </c>
      <c r="I943" s="82">
        <f t="shared" ca="1" si="77"/>
        <v>558</v>
      </c>
      <c r="J943" s="83">
        <f t="shared" ca="1" si="75"/>
        <v>0.60520607375271152</v>
      </c>
      <c r="N943" s="60">
        <v>922</v>
      </c>
      <c r="O943" s="82">
        <f ca="1">IF(AND(N943&lt;=U$22,RAND()&lt;=$H$7),1,0)</f>
        <v>0</v>
      </c>
      <c r="P943" s="82">
        <f t="shared" ca="1" si="78"/>
        <v>0</v>
      </c>
      <c r="Q943" s="84">
        <f t="shared" ca="1" si="79"/>
        <v>1</v>
      </c>
      <c r="R943" s="82">
        <f t="shared" ca="1" si="76"/>
        <v>0</v>
      </c>
      <c r="S943" s="82">
        <f ca="1">SUM(R$22:$R943)</f>
        <v>2494.4000000000033</v>
      </c>
      <c r="W943" s="60">
        <v>922</v>
      </c>
      <c r="X943" s="82">
        <f ca="1"/>
        <v>2614.4000000000074</v>
      </c>
    </row>
    <row r="944" spans="7:24" x14ac:dyDescent="0.2">
      <c r="G944" s="60">
        <v>923</v>
      </c>
      <c r="H944" s="82">
        <f ca="1"/>
        <v>1</v>
      </c>
      <c r="I944" s="82">
        <f t="shared" ca="1" si="77"/>
        <v>559</v>
      </c>
      <c r="J944" s="83">
        <f t="shared" ca="1" si="75"/>
        <v>0.60563380281690138</v>
      </c>
      <c r="N944" s="60">
        <v>923</v>
      </c>
      <c r="O944" s="82">
        <f ca="1">IF(AND(N944&lt;=U$22,RAND()&lt;=$H$7),1,0)</f>
        <v>1</v>
      </c>
      <c r="P944" s="82">
        <f t="shared" ca="1" si="78"/>
        <v>0</v>
      </c>
      <c r="Q944" s="84">
        <f t="shared" ca="1" si="79"/>
        <v>1</v>
      </c>
      <c r="R944" s="82">
        <f t="shared" ca="1" si="76"/>
        <v>4</v>
      </c>
      <c r="S944" s="82">
        <f ca="1">SUM(R$22:$R944)</f>
        <v>2498.4000000000033</v>
      </c>
      <c r="W944" s="60">
        <v>923</v>
      </c>
      <c r="X944" s="82">
        <f ca="1"/>
        <v>2900.800000000007</v>
      </c>
    </row>
    <row r="945" spans="7:24" x14ac:dyDescent="0.2">
      <c r="G945" s="60">
        <v>924</v>
      </c>
      <c r="H945" s="82">
        <f ca="1"/>
        <v>1</v>
      </c>
      <c r="I945" s="82">
        <f t="shared" ca="1" si="77"/>
        <v>560</v>
      </c>
      <c r="J945" s="83">
        <f t="shared" ca="1" si="75"/>
        <v>0.60606060606060608</v>
      </c>
      <c r="N945" s="60">
        <v>924</v>
      </c>
      <c r="O945" s="82">
        <f ca="1">IF(AND(N945&lt;=U$22,RAND()&lt;=$H$7),1,0)</f>
        <v>1</v>
      </c>
      <c r="P945" s="82">
        <f t="shared" ca="1" si="78"/>
        <v>1</v>
      </c>
      <c r="Q945" s="84">
        <f t="shared" ca="1" si="79"/>
        <v>1</v>
      </c>
      <c r="R945" s="82">
        <f t="shared" ca="1" si="76"/>
        <v>4</v>
      </c>
      <c r="S945" s="82">
        <f ca="1">SUM(R$22:$R945)</f>
        <v>2502.4000000000033</v>
      </c>
      <c r="W945" s="60">
        <v>924</v>
      </c>
      <c r="X945" s="82">
        <f ca="1"/>
        <v>2904.0000000000077</v>
      </c>
    </row>
    <row r="946" spans="7:24" x14ac:dyDescent="0.2">
      <c r="G946" s="60">
        <v>925</v>
      </c>
      <c r="H946" s="82">
        <f ca="1"/>
        <v>1</v>
      </c>
      <c r="I946" s="82">
        <f t="shared" ca="1" si="77"/>
        <v>561</v>
      </c>
      <c r="J946" s="83">
        <f t="shared" ca="1" si="75"/>
        <v>0.60648648648648651</v>
      </c>
      <c r="N946" s="60">
        <v>925</v>
      </c>
      <c r="O946" s="82">
        <f ca="1">IF(AND(N946&lt;=U$22,RAND()&lt;=$H$7),1,0)</f>
        <v>1</v>
      </c>
      <c r="P946" s="82">
        <f t="shared" ca="1" si="78"/>
        <v>2</v>
      </c>
      <c r="Q946" s="84">
        <f t="shared" ca="1" si="79"/>
        <v>1.1000000000000001</v>
      </c>
      <c r="R946" s="82">
        <f t="shared" ca="1" si="76"/>
        <v>4.4000000000000004</v>
      </c>
      <c r="S946" s="82">
        <f ca="1">SUM(R$22:$R946)</f>
        <v>2506.8000000000034</v>
      </c>
      <c r="W946" s="60">
        <v>925</v>
      </c>
      <c r="X946" s="82">
        <f ca="1"/>
        <v>2816.8000000000065</v>
      </c>
    </row>
    <row r="947" spans="7:24" x14ac:dyDescent="0.2">
      <c r="G947" s="60">
        <v>926</v>
      </c>
      <c r="H947" s="82">
        <f ca="1"/>
        <v>0</v>
      </c>
      <c r="I947" s="82">
        <f t="shared" ca="1" si="77"/>
        <v>561</v>
      </c>
      <c r="J947" s="83">
        <f t="shared" ca="1" si="75"/>
        <v>0.60583153347732177</v>
      </c>
      <c r="N947" s="60">
        <v>926</v>
      </c>
      <c r="O947" s="82">
        <f ca="1">IF(AND(N947&lt;=U$22,RAND()&lt;=$H$7),1,0)</f>
        <v>0</v>
      </c>
      <c r="P947" s="82">
        <f t="shared" ca="1" si="78"/>
        <v>0</v>
      </c>
      <c r="Q947" s="84">
        <f t="shared" ca="1" si="79"/>
        <v>1</v>
      </c>
      <c r="R947" s="82">
        <f t="shared" ca="1" si="76"/>
        <v>0</v>
      </c>
      <c r="S947" s="82">
        <f ca="1">SUM(R$22:$R947)</f>
        <v>2506.8000000000034</v>
      </c>
      <c r="W947" s="60">
        <v>926</v>
      </c>
      <c r="X947" s="82">
        <f ca="1"/>
        <v>2850.8000000000075</v>
      </c>
    </row>
    <row r="948" spans="7:24" x14ac:dyDescent="0.2">
      <c r="G948" s="60">
        <v>927</v>
      </c>
      <c r="H948" s="82">
        <f ca="1"/>
        <v>1</v>
      </c>
      <c r="I948" s="82">
        <f t="shared" ca="1" si="77"/>
        <v>562</v>
      </c>
      <c r="J948" s="83">
        <f t="shared" ca="1" si="75"/>
        <v>0.60625674217907233</v>
      </c>
      <c r="N948" s="60">
        <v>927</v>
      </c>
      <c r="O948" s="82">
        <f ca="1">IF(AND(N948&lt;=U$22,RAND()&lt;=$H$7),1,0)</f>
        <v>1</v>
      </c>
      <c r="P948" s="82">
        <f t="shared" ca="1" si="78"/>
        <v>0</v>
      </c>
      <c r="Q948" s="84">
        <f t="shared" ca="1" si="79"/>
        <v>1</v>
      </c>
      <c r="R948" s="82">
        <f t="shared" ca="1" si="76"/>
        <v>4</v>
      </c>
      <c r="S948" s="82">
        <f ca="1">SUM(R$22:$R948)</f>
        <v>2510.8000000000034</v>
      </c>
      <c r="W948" s="60">
        <v>927</v>
      </c>
      <c r="X948" s="82">
        <f ca="1"/>
        <v>2733.6000000000058</v>
      </c>
    </row>
    <row r="949" spans="7:24" x14ac:dyDescent="0.2">
      <c r="G949" s="60">
        <v>928</v>
      </c>
      <c r="H949" s="82">
        <f ca="1"/>
        <v>1</v>
      </c>
      <c r="I949" s="82">
        <f t="shared" ca="1" si="77"/>
        <v>563</v>
      </c>
      <c r="J949" s="83">
        <f t="shared" ca="1" si="75"/>
        <v>0.60668103448275867</v>
      </c>
      <c r="N949" s="60">
        <v>928</v>
      </c>
      <c r="O949" s="82">
        <f ca="1">IF(AND(N949&lt;=U$22,RAND()&lt;=$H$7),1,0)</f>
        <v>1</v>
      </c>
      <c r="P949" s="82">
        <f t="shared" ca="1" si="78"/>
        <v>1</v>
      </c>
      <c r="Q949" s="84">
        <f t="shared" ca="1" si="79"/>
        <v>1</v>
      </c>
      <c r="R949" s="82">
        <f t="shared" ca="1" si="76"/>
        <v>4</v>
      </c>
      <c r="S949" s="82">
        <f ca="1">SUM(R$22:$R949)</f>
        <v>2514.8000000000034</v>
      </c>
      <c r="W949" s="60">
        <v>928</v>
      </c>
      <c r="X949" s="82">
        <f ca="1"/>
        <v>2852.0000000000068</v>
      </c>
    </row>
    <row r="950" spans="7:24" x14ac:dyDescent="0.2">
      <c r="G950" s="60">
        <v>929</v>
      </c>
      <c r="H950" s="82">
        <f ca="1"/>
        <v>1</v>
      </c>
      <c r="I950" s="82">
        <f t="shared" ca="1" si="77"/>
        <v>564</v>
      </c>
      <c r="J950" s="83">
        <f t="shared" ca="1" si="75"/>
        <v>0.60710441334768572</v>
      </c>
      <c r="N950" s="60">
        <v>929</v>
      </c>
      <c r="O950" s="82">
        <f ca="1">IF(AND(N950&lt;=U$22,RAND()&lt;=$H$7),1,0)</f>
        <v>0</v>
      </c>
      <c r="P950" s="82">
        <f t="shared" ca="1" si="78"/>
        <v>0</v>
      </c>
      <c r="Q950" s="84">
        <f t="shared" ca="1" si="79"/>
        <v>1</v>
      </c>
      <c r="R950" s="82">
        <f t="shared" ca="1" si="76"/>
        <v>0</v>
      </c>
      <c r="S950" s="82">
        <f ca="1">SUM(R$22:$R950)</f>
        <v>2514.8000000000034</v>
      </c>
      <c r="W950" s="60">
        <v>929</v>
      </c>
      <c r="X950" s="82">
        <f ca="1"/>
        <v>2757.6000000000058</v>
      </c>
    </row>
    <row r="951" spans="7:24" x14ac:dyDescent="0.2">
      <c r="G951" s="60">
        <v>930</v>
      </c>
      <c r="H951" s="82">
        <f ca="1"/>
        <v>1</v>
      </c>
      <c r="I951" s="82">
        <f t="shared" ca="1" si="77"/>
        <v>565</v>
      </c>
      <c r="J951" s="83">
        <f t="shared" ca="1" si="75"/>
        <v>0.60752688172043012</v>
      </c>
      <c r="N951" s="60">
        <v>930</v>
      </c>
      <c r="O951" s="82">
        <f ca="1">IF(AND(N951&lt;=U$22,RAND()&lt;=$H$7),1,0)</f>
        <v>0</v>
      </c>
      <c r="P951" s="82">
        <f t="shared" ca="1" si="78"/>
        <v>0</v>
      </c>
      <c r="Q951" s="84">
        <f t="shared" ca="1" si="79"/>
        <v>1</v>
      </c>
      <c r="R951" s="82">
        <f t="shared" ca="1" si="76"/>
        <v>0</v>
      </c>
      <c r="S951" s="82">
        <f ca="1">SUM(R$22:$R951)</f>
        <v>2514.8000000000034</v>
      </c>
      <c r="W951" s="60">
        <v>930</v>
      </c>
      <c r="X951" s="82">
        <f ca="1"/>
        <v>2841.6000000000067</v>
      </c>
    </row>
    <row r="952" spans="7:24" x14ac:dyDescent="0.2">
      <c r="G952" s="60">
        <v>931</v>
      </c>
      <c r="H952" s="82">
        <f ca="1"/>
        <v>0</v>
      </c>
      <c r="I952" s="82">
        <f t="shared" ca="1" si="77"/>
        <v>565</v>
      </c>
      <c r="J952" s="83">
        <f t="shared" ca="1" si="75"/>
        <v>0.60687432867883995</v>
      </c>
      <c r="N952" s="60">
        <v>931</v>
      </c>
      <c r="O952" s="82">
        <f ca="1">IF(AND(N952&lt;=U$22,RAND()&lt;=$H$7),1,0)</f>
        <v>1</v>
      </c>
      <c r="P952" s="82">
        <f t="shared" ca="1" si="78"/>
        <v>0</v>
      </c>
      <c r="Q952" s="84">
        <f t="shared" ca="1" si="79"/>
        <v>1</v>
      </c>
      <c r="R952" s="82">
        <f t="shared" ca="1" si="76"/>
        <v>4</v>
      </c>
      <c r="S952" s="82">
        <f ca="1">SUM(R$22:$R952)</f>
        <v>2518.8000000000034</v>
      </c>
      <c r="W952" s="60">
        <v>931</v>
      </c>
      <c r="X952" s="82">
        <f ca="1"/>
        <v>2583.6000000000063</v>
      </c>
    </row>
    <row r="953" spans="7:24" x14ac:dyDescent="0.2">
      <c r="G953" s="60">
        <v>932</v>
      </c>
      <c r="H953" s="82">
        <f ca="1"/>
        <v>0</v>
      </c>
      <c r="I953" s="82">
        <f t="shared" ca="1" si="77"/>
        <v>565</v>
      </c>
      <c r="J953" s="83">
        <f t="shared" ca="1" si="75"/>
        <v>0.60622317596566522</v>
      </c>
      <c r="N953" s="60">
        <v>932</v>
      </c>
      <c r="O953" s="82">
        <f ca="1">IF(AND(N953&lt;=U$22,RAND()&lt;=$H$7),1,0)</f>
        <v>1</v>
      </c>
      <c r="P953" s="82">
        <f t="shared" ca="1" si="78"/>
        <v>1</v>
      </c>
      <c r="Q953" s="84">
        <f t="shared" ca="1" si="79"/>
        <v>1</v>
      </c>
      <c r="R953" s="82">
        <f t="shared" ca="1" si="76"/>
        <v>4</v>
      </c>
      <c r="S953" s="82">
        <f ca="1">SUM(R$22:$R953)</f>
        <v>2522.8000000000034</v>
      </c>
      <c r="W953" s="60">
        <v>932</v>
      </c>
      <c r="X953" s="82">
        <f ca="1"/>
        <v>2735.2000000000066</v>
      </c>
    </row>
    <row r="954" spans="7:24" x14ac:dyDescent="0.2">
      <c r="G954" s="60">
        <v>933</v>
      </c>
      <c r="H954" s="82">
        <f ca="1"/>
        <v>0</v>
      </c>
      <c r="I954" s="82">
        <f t="shared" ca="1" si="77"/>
        <v>565</v>
      </c>
      <c r="J954" s="83">
        <f t="shared" ca="1" si="75"/>
        <v>0.60557341907824225</v>
      </c>
      <c r="N954" s="60">
        <v>933</v>
      </c>
      <c r="O954" s="82">
        <f ca="1">IF(AND(N954&lt;=U$22,RAND()&lt;=$H$7),1,0)</f>
        <v>1</v>
      </c>
      <c r="P954" s="82">
        <f t="shared" ca="1" si="78"/>
        <v>2</v>
      </c>
      <c r="Q954" s="84">
        <f t="shared" ca="1" si="79"/>
        <v>1.1000000000000001</v>
      </c>
      <c r="R954" s="82">
        <f t="shared" ca="1" si="76"/>
        <v>4.4000000000000004</v>
      </c>
      <c r="S954" s="82">
        <f ca="1">SUM(R$22:$R954)</f>
        <v>2527.2000000000035</v>
      </c>
      <c r="W954" s="60">
        <v>933</v>
      </c>
      <c r="X954" s="82">
        <f ca="1"/>
        <v>2768.4000000000083</v>
      </c>
    </row>
    <row r="955" spans="7:24" x14ac:dyDescent="0.2">
      <c r="G955" s="60">
        <v>934</v>
      </c>
      <c r="H955" s="82">
        <f ca="1"/>
        <v>0</v>
      </c>
      <c r="I955" s="82">
        <f t="shared" ca="1" si="77"/>
        <v>565</v>
      </c>
      <c r="J955" s="83">
        <f t="shared" ca="1" si="75"/>
        <v>0.60492505353319059</v>
      </c>
      <c r="N955" s="60">
        <v>934</v>
      </c>
      <c r="O955" s="82">
        <f ca="1">IF(AND(N955&lt;=U$22,RAND()&lt;=$H$7),1,0)</f>
        <v>0</v>
      </c>
      <c r="P955" s="82">
        <f t="shared" ca="1" si="78"/>
        <v>0</v>
      </c>
      <c r="Q955" s="84">
        <f t="shared" ca="1" si="79"/>
        <v>1</v>
      </c>
      <c r="R955" s="82">
        <f t="shared" ca="1" si="76"/>
        <v>0</v>
      </c>
      <c r="S955" s="82">
        <f ca="1">SUM(R$22:$R955)</f>
        <v>2527.2000000000035</v>
      </c>
      <c r="W955" s="60">
        <v>934</v>
      </c>
      <c r="X955" s="82">
        <f ca="1"/>
        <v>2818.0000000000059</v>
      </c>
    </row>
    <row r="956" spans="7:24" x14ac:dyDescent="0.2">
      <c r="G956" s="60">
        <v>935</v>
      </c>
      <c r="H956" s="82">
        <f ca="1"/>
        <v>1</v>
      </c>
      <c r="I956" s="82">
        <f t="shared" ca="1" si="77"/>
        <v>566</v>
      </c>
      <c r="J956" s="83">
        <f t="shared" ca="1" si="75"/>
        <v>0.6053475935828877</v>
      </c>
      <c r="N956" s="60">
        <v>935</v>
      </c>
      <c r="O956" s="82">
        <f ca="1">IF(AND(N956&lt;=U$22,RAND()&lt;=$H$7),1,0)</f>
        <v>0</v>
      </c>
      <c r="P956" s="82">
        <f t="shared" ca="1" si="78"/>
        <v>0</v>
      </c>
      <c r="Q956" s="84">
        <f t="shared" ca="1" si="79"/>
        <v>1</v>
      </c>
      <c r="R956" s="82">
        <f t="shared" ca="1" si="76"/>
        <v>0</v>
      </c>
      <c r="S956" s="82">
        <f ca="1">SUM(R$22:$R956)</f>
        <v>2527.2000000000035</v>
      </c>
      <c r="W956" s="60">
        <v>935</v>
      </c>
      <c r="X956" s="82">
        <f ca="1"/>
        <v>2624.0000000000064</v>
      </c>
    </row>
    <row r="957" spans="7:24" x14ac:dyDescent="0.2">
      <c r="G957" s="60">
        <v>936</v>
      </c>
      <c r="H957" s="82">
        <f ca="1"/>
        <v>1</v>
      </c>
      <c r="I957" s="82">
        <f t="shared" ca="1" si="77"/>
        <v>567</v>
      </c>
      <c r="J957" s="83">
        <f t="shared" ca="1" si="75"/>
        <v>0.60576923076923073</v>
      </c>
      <c r="N957" s="60">
        <v>936</v>
      </c>
      <c r="O957" s="82">
        <f ca="1">IF(AND(N957&lt;=U$22,RAND()&lt;=$H$7),1,0)</f>
        <v>1</v>
      </c>
      <c r="P957" s="82">
        <f t="shared" ca="1" si="78"/>
        <v>0</v>
      </c>
      <c r="Q957" s="84">
        <f t="shared" ca="1" si="79"/>
        <v>1</v>
      </c>
      <c r="R957" s="82">
        <f t="shared" ca="1" si="76"/>
        <v>4</v>
      </c>
      <c r="S957" s="82">
        <f ca="1">SUM(R$22:$R957)</f>
        <v>2531.2000000000035</v>
      </c>
      <c r="W957" s="60">
        <v>936</v>
      </c>
      <c r="X957" s="82">
        <f ca="1"/>
        <v>2511.2000000000062</v>
      </c>
    </row>
    <row r="958" spans="7:24" x14ac:dyDescent="0.2">
      <c r="G958" s="60">
        <v>937</v>
      </c>
      <c r="H958" s="82">
        <f ca="1"/>
        <v>0</v>
      </c>
      <c r="I958" s="82">
        <f t="shared" ca="1" si="77"/>
        <v>567</v>
      </c>
      <c r="J958" s="83">
        <f t="shared" ca="1" si="75"/>
        <v>0.60512273212379941</v>
      </c>
      <c r="N958" s="60">
        <v>937</v>
      </c>
      <c r="O958" s="82">
        <f ca="1">IF(AND(N958&lt;=U$22,RAND()&lt;=$H$7),1,0)</f>
        <v>0</v>
      </c>
      <c r="P958" s="82">
        <f t="shared" ca="1" si="78"/>
        <v>0</v>
      </c>
      <c r="Q958" s="84">
        <f t="shared" ca="1" si="79"/>
        <v>1</v>
      </c>
      <c r="R958" s="82">
        <f t="shared" ca="1" si="76"/>
        <v>0</v>
      </c>
      <c r="S958" s="82">
        <f ca="1">SUM(R$22:$R958)</f>
        <v>2531.2000000000035</v>
      </c>
      <c r="W958" s="60">
        <v>937</v>
      </c>
      <c r="X958" s="82">
        <f ca="1"/>
        <v>2734.8000000000084</v>
      </c>
    </row>
    <row r="959" spans="7:24" x14ac:dyDescent="0.2">
      <c r="G959" s="60">
        <v>938</v>
      </c>
      <c r="H959" s="82">
        <f ca="1"/>
        <v>1</v>
      </c>
      <c r="I959" s="82">
        <f t="shared" ca="1" si="77"/>
        <v>568</v>
      </c>
      <c r="J959" s="83">
        <f t="shared" ca="1" si="75"/>
        <v>0.60554371002132201</v>
      </c>
      <c r="N959" s="60">
        <v>938</v>
      </c>
      <c r="O959" s="82">
        <f ca="1">IF(AND(N959&lt;=U$22,RAND()&lt;=$H$7),1,0)</f>
        <v>0</v>
      </c>
      <c r="P959" s="82">
        <f t="shared" ca="1" si="78"/>
        <v>0</v>
      </c>
      <c r="Q959" s="84">
        <f t="shared" ca="1" si="79"/>
        <v>1</v>
      </c>
      <c r="R959" s="82">
        <f t="shared" ca="1" si="76"/>
        <v>0</v>
      </c>
      <c r="S959" s="82">
        <f ca="1">SUM(R$22:$R959)</f>
        <v>2531.2000000000035</v>
      </c>
      <c r="W959" s="60">
        <v>938</v>
      </c>
      <c r="X959" s="82">
        <f ca="1"/>
        <v>2794.8000000000079</v>
      </c>
    </row>
    <row r="960" spans="7:24" x14ac:dyDescent="0.2">
      <c r="G960" s="60">
        <v>939</v>
      </c>
      <c r="H960" s="82">
        <f ca="1"/>
        <v>0</v>
      </c>
      <c r="I960" s="82">
        <f t="shared" ca="1" si="77"/>
        <v>568</v>
      </c>
      <c r="J960" s="83">
        <f t="shared" ca="1" si="75"/>
        <v>0.60489882854100108</v>
      </c>
      <c r="N960" s="60">
        <v>939</v>
      </c>
      <c r="O960" s="82">
        <f ca="1">IF(AND(N960&lt;=U$22,RAND()&lt;=$H$7),1,0)</f>
        <v>1</v>
      </c>
      <c r="P960" s="82">
        <f t="shared" ca="1" si="78"/>
        <v>0</v>
      </c>
      <c r="Q960" s="84">
        <f t="shared" ca="1" si="79"/>
        <v>1</v>
      </c>
      <c r="R960" s="82">
        <f t="shared" ca="1" si="76"/>
        <v>4</v>
      </c>
      <c r="S960" s="82">
        <f ca="1">SUM(R$22:$R960)</f>
        <v>2535.2000000000035</v>
      </c>
      <c r="W960" s="60">
        <v>939</v>
      </c>
      <c r="X960" s="82">
        <f ca="1"/>
        <v>2606.4000000000069</v>
      </c>
    </row>
    <row r="961" spans="7:24" x14ac:dyDescent="0.2">
      <c r="G961" s="60">
        <v>940</v>
      </c>
      <c r="H961" s="82">
        <f ca="1"/>
        <v>1</v>
      </c>
      <c r="I961" s="82">
        <f t="shared" ca="1" si="77"/>
        <v>569</v>
      </c>
      <c r="J961" s="83">
        <f t="shared" ca="1" si="75"/>
        <v>0.60531914893617023</v>
      </c>
      <c r="N961" s="60">
        <v>940</v>
      </c>
      <c r="O961" s="82">
        <f ca="1">IF(AND(N961&lt;=U$22,RAND()&lt;=$H$7),1,0)</f>
        <v>1</v>
      </c>
      <c r="P961" s="82">
        <f t="shared" ca="1" si="78"/>
        <v>1</v>
      </c>
      <c r="Q961" s="84">
        <f t="shared" ca="1" si="79"/>
        <v>1</v>
      </c>
      <c r="R961" s="82">
        <f t="shared" ca="1" si="76"/>
        <v>4</v>
      </c>
      <c r="S961" s="82">
        <f ca="1">SUM(R$22:$R961)</f>
        <v>2539.2000000000035</v>
      </c>
      <c r="W961" s="60">
        <v>940</v>
      </c>
      <c r="X961" s="82">
        <f ca="1"/>
        <v>2824.4000000000074</v>
      </c>
    </row>
    <row r="962" spans="7:24" x14ac:dyDescent="0.2">
      <c r="G962" s="60">
        <v>941</v>
      </c>
      <c r="H962" s="82">
        <f ca="1"/>
        <v>1</v>
      </c>
      <c r="I962" s="82">
        <f t="shared" ca="1" si="77"/>
        <v>570</v>
      </c>
      <c r="J962" s="83">
        <f t="shared" ca="1" si="75"/>
        <v>0.60573857598299685</v>
      </c>
      <c r="N962" s="60">
        <v>941</v>
      </c>
      <c r="O962" s="82">
        <f ca="1">IF(AND(N962&lt;=U$22,RAND()&lt;=$H$7),1,0)</f>
        <v>0</v>
      </c>
      <c r="P962" s="82">
        <f t="shared" ca="1" si="78"/>
        <v>0</v>
      </c>
      <c r="Q962" s="84">
        <f t="shared" ca="1" si="79"/>
        <v>1</v>
      </c>
      <c r="R962" s="82">
        <f t="shared" ca="1" si="76"/>
        <v>0</v>
      </c>
      <c r="S962" s="82">
        <f ca="1">SUM(R$22:$R962)</f>
        <v>2539.2000000000035</v>
      </c>
      <c r="W962" s="60">
        <v>941</v>
      </c>
      <c r="X962" s="82">
        <f ca="1"/>
        <v>2660.0000000000059</v>
      </c>
    </row>
    <row r="963" spans="7:24" x14ac:dyDescent="0.2">
      <c r="G963" s="60">
        <v>942</v>
      </c>
      <c r="H963" s="82">
        <f ca="1"/>
        <v>0</v>
      </c>
      <c r="I963" s="82">
        <f t="shared" ca="1" si="77"/>
        <v>570</v>
      </c>
      <c r="J963" s="83">
        <f t="shared" ca="1" si="75"/>
        <v>0.60509554140127386</v>
      </c>
      <c r="N963" s="60">
        <v>942</v>
      </c>
      <c r="O963" s="82">
        <f ca="1">IF(AND(N963&lt;=U$22,RAND()&lt;=$H$7),1,0)</f>
        <v>1</v>
      </c>
      <c r="P963" s="82">
        <f t="shared" ca="1" si="78"/>
        <v>0</v>
      </c>
      <c r="Q963" s="84">
        <f t="shared" ca="1" si="79"/>
        <v>1</v>
      </c>
      <c r="R963" s="82">
        <f t="shared" ca="1" si="76"/>
        <v>4</v>
      </c>
      <c r="S963" s="82">
        <f ca="1">SUM(R$22:$R963)</f>
        <v>2543.2000000000035</v>
      </c>
      <c r="W963" s="60">
        <v>942</v>
      </c>
      <c r="X963" s="82">
        <f ca="1"/>
        <v>2751.6000000000058</v>
      </c>
    </row>
    <row r="964" spans="7:24" x14ac:dyDescent="0.2">
      <c r="G964" s="60">
        <v>943</v>
      </c>
      <c r="H964" s="82">
        <f ca="1"/>
        <v>0</v>
      </c>
      <c r="I964" s="82">
        <f t="shared" ca="1" si="77"/>
        <v>570</v>
      </c>
      <c r="J964" s="83">
        <f t="shared" ca="1" si="75"/>
        <v>0.6044538706256628</v>
      </c>
      <c r="N964" s="60">
        <v>943</v>
      </c>
      <c r="O964" s="82">
        <f ca="1">IF(AND(N964&lt;=U$22,RAND()&lt;=$H$7),1,0)</f>
        <v>0</v>
      </c>
      <c r="P964" s="82">
        <f t="shared" ca="1" si="78"/>
        <v>0</v>
      </c>
      <c r="Q964" s="84">
        <f t="shared" ca="1" si="79"/>
        <v>1</v>
      </c>
      <c r="R964" s="82">
        <f t="shared" ca="1" si="76"/>
        <v>0</v>
      </c>
      <c r="S964" s="82">
        <f ca="1">SUM(R$22:$R964)</f>
        <v>2543.2000000000035</v>
      </c>
      <c r="W964" s="60">
        <v>943</v>
      </c>
      <c r="X964" s="82">
        <f ca="1"/>
        <v>2770.000000000005</v>
      </c>
    </row>
    <row r="965" spans="7:24" x14ac:dyDescent="0.2">
      <c r="G965" s="60">
        <v>944</v>
      </c>
      <c r="H965" s="82">
        <f ca="1"/>
        <v>1</v>
      </c>
      <c r="I965" s="82">
        <f t="shared" ca="1" si="77"/>
        <v>571</v>
      </c>
      <c r="J965" s="83">
        <f t="shared" ca="1" si="75"/>
        <v>0.6048728813559322</v>
      </c>
      <c r="N965" s="60">
        <v>944</v>
      </c>
      <c r="O965" s="82">
        <f ca="1">IF(AND(N965&lt;=U$22,RAND()&lt;=$H$7),1,0)</f>
        <v>0</v>
      </c>
      <c r="P965" s="82">
        <f t="shared" ca="1" si="78"/>
        <v>0</v>
      </c>
      <c r="Q965" s="84">
        <f t="shared" ca="1" si="79"/>
        <v>1</v>
      </c>
      <c r="R965" s="82">
        <f t="shared" ca="1" si="76"/>
        <v>0</v>
      </c>
      <c r="S965" s="82">
        <f ca="1">SUM(R$22:$R965)</f>
        <v>2543.2000000000035</v>
      </c>
      <c r="W965" s="60">
        <v>944</v>
      </c>
      <c r="X965" s="82">
        <f ca="1"/>
        <v>2910.8000000000084</v>
      </c>
    </row>
    <row r="966" spans="7:24" x14ac:dyDescent="0.2">
      <c r="G966" s="60">
        <v>945</v>
      </c>
      <c r="H966" s="82">
        <f ca="1"/>
        <v>0</v>
      </c>
      <c r="I966" s="82">
        <f t="shared" ca="1" si="77"/>
        <v>571</v>
      </c>
      <c r="J966" s="83">
        <f t="shared" ca="1" si="75"/>
        <v>0.60423280423280423</v>
      </c>
      <c r="N966" s="60">
        <v>945</v>
      </c>
      <c r="O966" s="82">
        <f ca="1">IF(AND(N966&lt;=U$22,RAND()&lt;=$H$7),1,0)</f>
        <v>0</v>
      </c>
      <c r="P966" s="82">
        <f t="shared" ca="1" si="78"/>
        <v>0</v>
      </c>
      <c r="Q966" s="84">
        <f t="shared" ca="1" si="79"/>
        <v>1</v>
      </c>
      <c r="R966" s="82">
        <f t="shared" ca="1" si="76"/>
        <v>0</v>
      </c>
      <c r="S966" s="82">
        <f ca="1">SUM(R$22:$R966)</f>
        <v>2543.2000000000035</v>
      </c>
      <c r="W966" s="60">
        <v>945</v>
      </c>
      <c r="X966" s="82">
        <f ca="1"/>
        <v>2822.4000000000078</v>
      </c>
    </row>
    <row r="967" spans="7:24" x14ac:dyDescent="0.2">
      <c r="G967" s="60">
        <v>946</v>
      </c>
      <c r="H967" s="82">
        <f ca="1"/>
        <v>0</v>
      </c>
      <c r="I967" s="82">
        <f t="shared" ca="1" si="77"/>
        <v>571</v>
      </c>
      <c r="J967" s="83">
        <f t="shared" ca="1" si="75"/>
        <v>0.60359408033826634</v>
      </c>
      <c r="N967" s="60">
        <v>946</v>
      </c>
      <c r="O967" s="82">
        <f ca="1">IF(AND(N967&lt;=U$22,RAND()&lt;=$H$7),1,0)</f>
        <v>1</v>
      </c>
      <c r="P967" s="82">
        <f t="shared" ca="1" si="78"/>
        <v>0</v>
      </c>
      <c r="Q967" s="84">
        <f t="shared" ca="1" si="79"/>
        <v>1</v>
      </c>
      <c r="R967" s="82">
        <f t="shared" ca="1" si="76"/>
        <v>4</v>
      </c>
      <c r="S967" s="82">
        <f ca="1">SUM(R$22:$R967)</f>
        <v>2547.2000000000035</v>
      </c>
      <c r="W967" s="60">
        <v>946</v>
      </c>
      <c r="X967" s="82">
        <f ca="1"/>
        <v>2792.8000000000056</v>
      </c>
    </row>
    <row r="968" spans="7:24" x14ac:dyDescent="0.2">
      <c r="G968" s="60">
        <v>947</v>
      </c>
      <c r="H968" s="82">
        <f ca="1"/>
        <v>0</v>
      </c>
      <c r="I968" s="82">
        <f t="shared" ca="1" si="77"/>
        <v>571</v>
      </c>
      <c r="J968" s="83">
        <f t="shared" ca="1" si="75"/>
        <v>0.60295670538542767</v>
      </c>
      <c r="N968" s="60">
        <v>947</v>
      </c>
      <c r="O968" s="82">
        <f ca="1">IF(AND(N968&lt;=U$22,RAND()&lt;=$H$7),1,0)</f>
        <v>0</v>
      </c>
      <c r="P968" s="82">
        <f t="shared" ca="1" si="78"/>
        <v>0</v>
      </c>
      <c r="Q968" s="84">
        <f t="shared" ca="1" si="79"/>
        <v>1</v>
      </c>
      <c r="R968" s="82">
        <f t="shared" ca="1" si="76"/>
        <v>0</v>
      </c>
      <c r="S968" s="82">
        <f ca="1">SUM(R$22:$R968)</f>
        <v>2547.2000000000035</v>
      </c>
      <c r="W968" s="60">
        <v>947</v>
      </c>
      <c r="X968" s="82">
        <f ca="1"/>
        <v>2731.6000000000085</v>
      </c>
    </row>
    <row r="969" spans="7:24" x14ac:dyDescent="0.2">
      <c r="G969" s="60">
        <v>948</v>
      </c>
      <c r="H969" s="82">
        <f ca="1"/>
        <v>1</v>
      </c>
      <c r="I969" s="82">
        <f t="shared" ca="1" si="77"/>
        <v>572</v>
      </c>
      <c r="J969" s="83">
        <f t="shared" ca="1" si="75"/>
        <v>0.6033755274261603</v>
      </c>
      <c r="N969" s="60">
        <v>948</v>
      </c>
      <c r="O969" s="82">
        <f ca="1">IF(AND(N969&lt;=U$22,RAND()&lt;=$H$7),1,0)</f>
        <v>1</v>
      </c>
      <c r="P969" s="82">
        <f t="shared" ca="1" si="78"/>
        <v>0</v>
      </c>
      <c r="Q969" s="84">
        <f t="shared" ca="1" si="79"/>
        <v>1</v>
      </c>
      <c r="R969" s="82">
        <f t="shared" ca="1" si="76"/>
        <v>4</v>
      </c>
      <c r="S969" s="82">
        <f ca="1">SUM(R$22:$R969)</f>
        <v>2551.2000000000035</v>
      </c>
      <c r="W969" s="60">
        <v>948</v>
      </c>
      <c r="X969" s="82">
        <f ca="1"/>
        <v>2684.4000000000074</v>
      </c>
    </row>
    <row r="970" spans="7:24" x14ac:dyDescent="0.2">
      <c r="G970" s="60">
        <v>949</v>
      </c>
      <c r="H970" s="82">
        <f ca="1"/>
        <v>1</v>
      </c>
      <c r="I970" s="82">
        <f t="shared" ca="1" si="77"/>
        <v>573</v>
      </c>
      <c r="J970" s="83">
        <f t="shared" ca="1" si="75"/>
        <v>0.60379346680716539</v>
      </c>
      <c r="N970" s="60">
        <v>949</v>
      </c>
      <c r="O970" s="82">
        <f ca="1">IF(AND(N970&lt;=U$22,RAND()&lt;=$H$7),1,0)</f>
        <v>1</v>
      </c>
      <c r="P970" s="82">
        <f t="shared" ca="1" si="78"/>
        <v>1</v>
      </c>
      <c r="Q970" s="84">
        <f t="shared" ca="1" si="79"/>
        <v>1</v>
      </c>
      <c r="R970" s="82">
        <f t="shared" ca="1" si="76"/>
        <v>4</v>
      </c>
      <c r="S970" s="82">
        <f ca="1">SUM(R$22:$R970)</f>
        <v>2555.2000000000035</v>
      </c>
      <c r="W970" s="60">
        <v>949</v>
      </c>
      <c r="X970" s="82">
        <f ca="1"/>
        <v>2724.8000000000065</v>
      </c>
    </row>
    <row r="971" spans="7:24" x14ac:dyDescent="0.2">
      <c r="G971" s="60">
        <v>950</v>
      </c>
      <c r="H971" s="82">
        <f ca="1"/>
        <v>1</v>
      </c>
      <c r="I971" s="82">
        <f t="shared" ca="1" si="77"/>
        <v>574</v>
      </c>
      <c r="J971" s="83">
        <f t="shared" ca="1" si="75"/>
        <v>0.60421052631578942</v>
      </c>
      <c r="N971" s="60">
        <v>950</v>
      </c>
      <c r="O971" s="82">
        <f ca="1">IF(AND(N971&lt;=U$22,RAND()&lt;=$H$7),1,0)</f>
        <v>0</v>
      </c>
      <c r="P971" s="82">
        <f t="shared" ca="1" si="78"/>
        <v>0</v>
      </c>
      <c r="Q971" s="84">
        <f t="shared" ca="1" si="79"/>
        <v>1</v>
      </c>
      <c r="R971" s="82">
        <f t="shared" ca="1" si="76"/>
        <v>0</v>
      </c>
      <c r="S971" s="82">
        <f ca="1">SUM(R$22:$R971)</f>
        <v>2555.2000000000035</v>
      </c>
      <c r="W971" s="60">
        <v>950</v>
      </c>
      <c r="X971" s="82">
        <f ca="1"/>
        <v>2734.000000000005</v>
      </c>
    </row>
    <row r="972" spans="7:24" x14ac:dyDescent="0.2">
      <c r="G972" s="60">
        <v>951</v>
      </c>
      <c r="H972" s="82">
        <f ca="1"/>
        <v>0</v>
      </c>
      <c r="I972" s="82">
        <f t="shared" ca="1" si="77"/>
        <v>574</v>
      </c>
      <c r="J972" s="83">
        <f t="shared" ca="1" si="75"/>
        <v>0.60357518401682442</v>
      </c>
      <c r="N972" s="60">
        <v>951</v>
      </c>
      <c r="O972" s="82">
        <f ca="1">IF(AND(N972&lt;=U$22,RAND()&lt;=$H$7),1,0)</f>
        <v>0</v>
      </c>
      <c r="P972" s="82">
        <f t="shared" ca="1" si="78"/>
        <v>0</v>
      </c>
      <c r="Q972" s="84">
        <f t="shared" ca="1" si="79"/>
        <v>1</v>
      </c>
      <c r="R972" s="82">
        <f t="shared" ca="1" si="76"/>
        <v>0</v>
      </c>
      <c r="S972" s="82">
        <f ca="1">SUM(R$22:$R972)</f>
        <v>2555.2000000000035</v>
      </c>
      <c r="W972" s="60">
        <v>951</v>
      </c>
      <c r="X972" s="82">
        <f ca="1"/>
        <v>2780.8000000000065</v>
      </c>
    </row>
    <row r="973" spans="7:24" x14ac:dyDescent="0.2">
      <c r="G973" s="60">
        <v>952</v>
      </c>
      <c r="H973" s="82">
        <f ca="1"/>
        <v>0</v>
      </c>
      <c r="I973" s="82">
        <f t="shared" ca="1" si="77"/>
        <v>574</v>
      </c>
      <c r="J973" s="83">
        <f t="shared" ca="1" si="75"/>
        <v>0.6029411764705882</v>
      </c>
      <c r="N973" s="60">
        <v>952</v>
      </c>
      <c r="O973" s="82">
        <f ca="1">IF(AND(N973&lt;=U$22,RAND()&lt;=$H$7),1,0)</f>
        <v>1</v>
      </c>
      <c r="P973" s="82">
        <f t="shared" ca="1" si="78"/>
        <v>0</v>
      </c>
      <c r="Q973" s="84">
        <f t="shared" ca="1" si="79"/>
        <v>1</v>
      </c>
      <c r="R973" s="82">
        <f t="shared" ca="1" si="76"/>
        <v>4</v>
      </c>
      <c r="S973" s="82">
        <f ca="1">SUM(R$22:$R973)</f>
        <v>2559.2000000000035</v>
      </c>
      <c r="W973" s="60">
        <v>952</v>
      </c>
      <c r="X973" s="82">
        <f ca="1"/>
        <v>2683.2000000000062</v>
      </c>
    </row>
    <row r="974" spans="7:24" x14ac:dyDescent="0.2">
      <c r="G974" s="60">
        <v>953</v>
      </c>
      <c r="H974" s="82">
        <f ca="1"/>
        <v>0</v>
      </c>
      <c r="I974" s="82">
        <f t="shared" ca="1" si="77"/>
        <v>574</v>
      </c>
      <c r="J974" s="83">
        <f t="shared" ca="1" si="75"/>
        <v>0.60230849947534104</v>
      </c>
      <c r="N974" s="60">
        <v>953</v>
      </c>
      <c r="O974" s="82">
        <f ca="1">IF(AND(N974&lt;=U$22,RAND()&lt;=$H$7),1,0)</f>
        <v>1</v>
      </c>
      <c r="P974" s="82">
        <f t="shared" ca="1" si="78"/>
        <v>1</v>
      </c>
      <c r="Q974" s="84">
        <f t="shared" ca="1" si="79"/>
        <v>1</v>
      </c>
      <c r="R974" s="82">
        <f t="shared" ca="1" si="76"/>
        <v>4</v>
      </c>
      <c r="S974" s="82">
        <f ca="1">SUM(R$22:$R974)</f>
        <v>2563.2000000000035</v>
      </c>
      <c r="W974" s="60">
        <v>953</v>
      </c>
      <c r="X974" s="82">
        <f ca="1"/>
        <v>2630.4000000000046</v>
      </c>
    </row>
    <row r="975" spans="7:24" x14ac:dyDescent="0.2">
      <c r="G975" s="60">
        <v>954</v>
      </c>
      <c r="H975" s="82">
        <f ca="1"/>
        <v>1</v>
      </c>
      <c r="I975" s="82">
        <f t="shared" ca="1" si="77"/>
        <v>575</v>
      </c>
      <c r="J975" s="83">
        <f t="shared" ca="1" si="75"/>
        <v>0.60272536687631029</v>
      </c>
      <c r="N975" s="60">
        <v>954</v>
      </c>
      <c r="O975" s="82">
        <f ca="1">IF(AND(N975&lt;=U$22,RAND()&lt;=$H$7),1,0)</f>
        <v>1</v>
      </c>
      <c r="P975" s="82">
        <f t="shared" ca="1" si="78"/>
        <v>2</v>
      </c>
      <c r="Q975" s="84">
        <f t="shared" ca="1" si="79"/>
        <v>1.1000000000000001</v>
      </c>
      <c r="R975" s="82">
        <f t="shared" ca="1" si="76"/>
        <v>4.4000000000000004</v>
      </c>
      <c r="S975" s="82">
        <f ca="1">SUM(R$22:$R975)</f>
        <v>2567.6000000000035</v>
      </c>
      <c r="W975" s="60">
        <v>954</v>
      </c>
      <c r="X975" s="82">
        <f ca="1"/>
        <v>2668.4000000000065</v>
      </c>
    </row>
    <row r="976" spans="7:24" x14ac:dyDescent="0.2">
      <c r="G976" s="60">
        <v>955</v>
      </c>
      <c r="H976" s="82">
        <f ca="1"/>
        <v>1</v>
      </c>
      <c r="I976" s="82">
        <f t="shared" ca="1" si="77"/>
        <v>576</v>
      </c>
      <c r="J976" s="83">
        <f t="shared" ca="1" si="75"/>
        <v>0.60314136125654449</v>
      </c>
      <c r="N976" s="60">
        <v>955</v>
      </c>
      <c r="O976" s="82">
        <f ca="1">IF(AND(N976&lt;=U$22,RAND()&lt;=$H$7),1,0)</f>
        <v>0</v>
      </c>
      <c r="P976" s="82">
        <f t="shared" ca="1" si="78"/>
        <v>0</v>
      </c>
      <c r="Q976" s="84">
        <f t="shared" ca="1" si="79"/>
        <v>1</v>
      </c>
      <c r="R976" s="82">
        <f t="shared" ca="1" si="76"/>
        <v>0</v>
      </c>
      <c r="S976" s="82">
        <f ca="1">SUM(R$22:$R976)</f>
        <v>2567.6000000000035</v>
      </c>
      <c r="W976" s="60">
        <v>955</v>
      </c>
      <c r="X976" s="82">
        <f ca="1"/>
        <v>2729.6000000000058</v>
      </c>
    </row>
    <row r="977" spans="7:24" x14ac:dyDescent="0.2">
      <c r="G977" s="60">
        <v>956</v>
      </c>
      <c r="H977" s="82">
        <f ca="1"/>
        <v>0</v>
      </c>
      <c r="I977" s="82">
        <f t="shared" ca="1" si="77"/>
        <v>576</v>
      </c>
      <c r="J977" s="83">
        <f t="shared" ca="1" si="75"/>
        <v>0.60251046025104604</v>
      </c>
      <c r="N977" s="60">
        <v>956</v>
      </c>
      <c r="O977" s="82">
        <f ca="1">IF(AND(N977&lt;=U$22,RAND()&lt;=$H$7),1,0)</f>
        <v>1</v>
      </c>
      <c r="P977" s="82">
        <f t="shared" ca="1" si="78"/>
        <v>0</v>
      </c>
      <c r="Q977" s="84">
        <f t="shared" ca="1" si="79"/>
        <v>1</v>
      </c>
      <c r="R977" s="82">
        <f t="shared" ca="1" si="76"/>
        <v>4</v>
      </c>
      <c r="S977" s="82">
        <f ca="1">SUM(R$22:$R977)</f>
        <v>2571.6000000000035</v>
      </c>
      <c r="W977" s="60">
        <v>956</v>
      </c>
      <c r="X977" s="82">
        <f ca="1"/>
        <v>2763.6000000000076</v>
      </c>
    </row>
    <row r="978" spans="7:24" x14ac:dyDescent="0.2">
      <c r="G978" s="60">
        <v>957</v>
      </c>
      <c r="H978" s="82">
        <f ca="1"/>
        <v>1</v>
      </c>
      <c r="I978" s="82">
        <f t="shared" ca="1" si="77"/>
        <v>577</v>
      </c>
      <c r="J978" s="83">
        <f t="shared" ca="1" si="75"/>
        <v>0.60292580982236155</v>
      </c>
      <c r="N978" s="60">
        <v>957</v>
      </c>
      <c r="O978" s="82">
        <f ca="1">IF(AND(N978&lt;=U$22,RAND()&lt;=$H$7),1,0)</f>
        <v>0</v>
      </c>
      <c r="P978" s="82">
        <f t="shared" ca="1" si="78"/>
        <v>0</v>
      </c>
      <c r="Q978" s="84">
        <f t="shared" ca="1" si="79"/>
        <v>1</v>
      </c>
      <c r="R978" s="82">
        <f t="shared" ca="1" si="76"/>
        <v>0</v>
      </c>
      <c r="S978" s="82">
        <f ca="1">SUM(R$22:$R978)</f>
        <v>2571.6000000000035</v>
      </c>
      <c r="W978" s="60">
        <v>957</v>
      </c>
      <c r="X978" s="82">
        <f ca="1"/>
        <v>2617.6000000000063</v>
      </c>
    </row>
    <row r="979" spans="7:24" x14ac:dyDescent="0.2">
      <c r="G979" s="60">
        <v>958</v>
      </c>
      <c r="H979" s="82">
        <f ca="1"/>
        <v>0</v>
      </c>
      <c r="I979" s="82">
        <f t="shared" ca="1" si="77"/>
        <v>577</v>
      </c>
      <c r="J979" s="83">
        <f t="shared" ca="1" si="75"/>
        <v>0.60229645093945716</v>
      </c>
      <c r="N979" s="60">
        <v>958</v>
      </c>
      <c r="O979" s="82">
        <f ca="1">IF(AND(N979&lt;=U$22,RAND()&lt;=$H$7),1,0)</f>
        <v>0</v>
      </c>
      <c r="P979" s="82">
        <f t="shared" ca="1" si="78"/>
        <v>0</v>
      </c>
      <c r="Q979" s="84">
        <f t="shared" ca="1" si="79"/>
        <v>1</v>
      </c>
      <c r="R979" s="82">
        <f t="shared" ca="1" si="76"/>
        <v>0</v>
      </c>
      <c r="S979" s="82">
        <f ca="1">SUM(R$22:$R979)</f>
        <v>2571.6000000000035</v>
      </c>
      <c r="W979" s="60">
        <v>958</v>
      </c>
      <c r="X979" s="82">
        <f ca="1"/>
        <v>2724.8000000000061</v>
      </c>
    </row>
    <row r="980" spans="7:24" x14ac:dyDescent="0.2">
      <c r="G980" s="60">
        <v>959</v>
      </c>
      <c r="H980" s="82">
        <f ca="1"/>
        <v>1</v>
      </c>
      <c r="I980" s="82">
        <f t="shared" ca="1" si="77"/>
        <v>578</v>
      </c>
      <c r="J980" s="83">
        <f t="shared" ca="1" si="75"/>
        <v>0.60271115745568304</v>
      </c>
      <c r="N980" s="60">
        <v>959</v>
      </c>
      <c r="O980" s="82">
        <f ca="1">IF(AND(N980&lt;=U$22,RAND()&lt;=$H$7),1,0)</f>
        <v>0</v>
      </c>
      <c r="P980" s="82">
        <f t="shared" ca="1" si="78"/>
        <v>0</v>
      </c>
      <c r="Q980" s="84">
        <f t="shared" ca="1" si="79"/>
        <v>1</v>
      </c>
      <c r="R980" s="82">
        <f t="shared" ca="1" si="76"/>
        <v>0</v>
      </c>
      <c r="S980" s="82">
        <f ca="1">SUM(R$22:$R980)</f>
        <v>2571.6000000000035</v>
      </c>
      <c r="W980" s="60">
        <v>959</v>
      </c>
      <c r="X980" s="82">
        <f ca="1"/>
        <v>2687.2000000000057</v>
      </c>
    </row>
    <row r="981" spans="7:24" x14ac:dyDescent="0.2">
      <c r="G981" s="60">
        <v>960</v>
      </c>
      <c r="H981" s="82">
        <f ca="1"/>
        <v>0</v>
      </c>
      <c r="I981" s="82">
        <f t="shared" ca="1" si="77"/>
        <v>578</v>
      </c>
      <c r="J981" s="83">
        <f t="shared" ca="1" si="75"/>
        <v>0.6020833333333333</v>
      </c>
      <c r="N981" s="60">
        <v>960</v>
      </c>
      <c r="O981" s="82">
        <f ca="1">IF(AND(N981&lt;=U$22,RAND()&lt;=$H$7),1,0)</f>
        <v>0</v>
      </c>
      <c r="P981" s="82">
        <f t="shared" ca="1" si="78"/>
        <v>0</v>
      </c>
      <c r="Q981" s="84">
        <f t="shared" ca="1" si="79"/>
        <v>1</v>
      </c>
      <c r="R981" s="82">
        <f t="shared" ca="1" si="76"/>
        <v>0</v>
      </c>
      <c r="S981" s="82">
        <f ca="1">SUM(R$22:$R981)</f>
        <v>2571.6000000000035</v>
      </c>
      <c r="W981" s="60">
        <v>960</v>
      </c>
      <c r="X981" s="82">
        <f ca="1"/>
        <v>2651.6000000000067</v>
      </c>
    </row>
    <row r="982" spans="7:24" x14ac:dyDescent="0.2">
      <c r="G982" s="60">
        <v>961</v>
      </c>
      <c r="H982" s="82">
        <f ca="1"/>
        <v>0</v>
      </c>
      <c r="I982" s="82">
        <f t="shared" ca="1" si="77"/>
        <v>578</v>
      </c>
      <c r="J982" s="83">
        <f t="shared" ca="1" si="75"/>
        <v>0.60145681581685739</v>
      </c>
      <c r="N982" s="60">
        <v>961</v>
      </c>
      <c r="O982" s="82">
        <f ca="1">IF(AND(N982&lt;=U$22,RAND()&lt;=$H$7),1,0)</f>
        <v>0</v>
      </c>
      <c r="P982" s="82">
        <f t="shared" ca="1" si="78"/>
        <v>0</v>
      </c>
      <c r="Q982" s="84">
        <f t="shared" ca="1" si="79"/>
        <v>1</v>
      </c>
      <c r="R982" s="82">
        <f t="shared" ca="1" si="76"/>
        <v>0</v>
      </c>
      <c r="S982" s="82">
        <f ca="1">SUM(R$22:$R982)</f>
        <v>2571.6000000000035</v>
      </c>
      <c r="W982" s="60">
        <v>961</v>
      </c>
      <c r="X982" s="82">
        <f ca="1"/>
        <v>2522.0000000000073</v>
      </c>
    </row>
    <row r="983" spans="7:24" x14ac:dyDescent="0.2">
      <c r="G983" s="60">
        <v>962</v>
      </c>
      <c r="H983" s="82">
        <f ca="1"/>
        <v>0</v>
      </c>
      <c r="I983" s="82">
        <f t="shared" ca="1" si="77"/>
        <v>578</v>
      </c>
      <c r="J983" s="83">
        <f t="shared" ref="J983:J1021" ca="1" si="80">I983/G983</f>
        <v>0.60083160083160081</v>
      </c>
      <c r="N983" s="60">
        <v>962</v>
      </c>
      <c r="O983" s="82">
        <f ca="1">IF(AND(N983&lt;=U$22,RAND()&lt;=$H$7),1,0)</f>
        <v>1</v>
      </c>
      <c r="P983" s="82">
        <f t="shared" ca="1" si="78"/>
        <v>0</v>
      </c>
      <c r="Q983" s="84">
        <f t="shared" ca="1" si="79"/>
        <v>1</v>
      </c>
      <c r="R983" s="82">
        <f t="shared" ref="R983:R1021" ca="1" si="81">Q983*$I$7*O983</f>
        <v>4</v>
      </c>
      <c r="S983" s="82">
        <f ca="1">SUM(R$22:$R983)</f>
        <v>2575.6000000000035</v>
      </c>
      <c r="W983" s="60">
        <v>962</v>
      </c>
      <c r="X983" s="82">
        <f ca="1"/>
        <v>2749.2000000000066</v>
      </c>
    </row>
    <row r="984" spans="7:24" x14ac:dyDescent="0.2">
      <c r="G984" s="60">
        <v>963</v>
      </c>
      <c r="H984" s="82">
        <f ca="1"/>
        <v>1</v>
      </c>
      <c r="I984" s="82">
        <f t="shared" ref="I984:I1021" ca="1" si="82">H984+I983</f>
        <v>579</v>
      </c>
      <c r="J984" s="83">
        <f t="shared" ca="1" si="80"/>
        <v>0.60124610591900307</v>
      </c>
      <c r="N984" s="60">
        <v>963</v>
      </c>
      <c r="O984" s="82">
        <f ca="1">IF(AND(N984&lt;=U$22,RAND()&lt;=$H$7),1,0)</f>
        <v>1</v>
      </c>
      <c r="P984" s="82">
        <f t="shared" ref="P984:P1021" ca="1" si="83">IF(AND(O983=1,O984=1),P983+1,0)</f>
        <v>1</v>
      </c>
      <c r="Q984" s="84">
        <f t="shared" ref="Q984:Q1021" ca="1" si="84">IF(P984&gt;1,1+(P984-1)*0.1,1)</f>
        <v>1</v>
      </c>
      <c r="R984" s="82">
        <f t="shared" ca="1" si="81"/>
        <v>4</v>
      </c>
      <c r="S984" s="82">
        <f ca="1">SUM(R$22:$R984)</f>
        <v>2579.6000000000035</v>
      </c>
      <c r="W984" s="60">
        <v>963</v>
      </c>
      <c r="X984" s="82">
        <f ca="1"/>
        <v>2805.2000000000075</v>
      </c>
    </row>
    <row r="985" spans="7:24" x14ac:dyDescent="0.2">
      <c r="G985" s="60">
        <v>964</v>
      </c>
      <c r="H985" s="82">
        <f ca="1"/>
        <v>0</v>
      </c>
      <c r="I985" s="82">
        <f t="shared" ca="1" si="82"/>
        <v>579</v>
      </c>
      <c r="J985" s="83">
        <f t="shared" ca="1" si="80"/>
        <v>0.60062240663900412</v>
      </c>
      <c r="N985" s="60">
        <v>964</v>
      </c>
      <c r="O985" s="82">
        <f ca="1">IF(AND(N985&lt;=U$22,RAND()&lt;=$H$7),1,0)</f>
        <v>1</v>
      </c>
      <c r="P985" s="82">
        <f t="shared" ca="1" si="83"/>
        <v>2</v>
      </c>
      <c r="Q985" s="84">
        <f t="shared" ca="1" si="84"/>
        <v>1.1000000000000001</v>
      </c>
      <c r="R985" s="82">
        <f t="shared" ca="1" si="81"/>
        <v>4.4000000000000004</v>
      </c>
      <c r="S985" s="82">
        <f ca="1">SUM(R$22:$R985)</f>
        <v>2584.0000000000036</v>
      </c>
      <c r="W985" s="60">
        <v>964</v>
      </c>
      <c r="X985" s="82">
        <f ca="1"/>
        <v>2819.200000000008</v>
      </c>
    </row>
    <row r="986" spans="7:24" x14ac:dyDescent="0.2">
      <c r="G986" s="60">
        <v>965</v>
      </c>
      <c r="H986" s="82">
        <f ca="1"/>
        <v>1</v>
      </c>
      <c r="I986" s="82">
        <f t="shared" ca="1" si="82"/>
        <v>580</v>
      </c>
      <c r="J986" s="83">
        <f t="shared" ca="1" si="80"/>
        <v>0.60103626943005184</v>
      </c>
      <c r="N986" s="60">
        <v>965</v>
      </c>
      <c r="O986" s="82">
        <f ca="1">IF(AND(N986&lt;=U$22,RAND()&lt;=$H$7),1,0)</f>
        <v>1</v>
      </c>
      <c r="P986" s="82">
        <f t="shared" ca="1" si="83"/>
        <v>3</v>
      </c>
      <c r="Q986" s="84">
        <f t="shared" ca="1" si="84"/>
        <v>1.2</v>
      </c>
      <c r="R986" s="82">
        <f t="shared" ca="1" si="81"/>
        <v>4.8</v>
      </c>
      <c r="S986" s="82">
        <f ca="1">SUM(R$22:$R986)</f>
        <v>2588.8000000000038</v>
      </c>
      <c r="W986" s="60">
        <v>965</v>
      </c>
      <c r="X986" s="82">
        <f ca="1"/>
        <v>2737.2000000000075</v>
      </c>
    </row>
    <row r="987" spans="7:24" x14ac:dyDescent="0.2">
      <c r="G987" s="60">
        <v>966</v>
      </c>
      <c r="H987" s="82">
        <f ca="1"/>
        <v>1</v>
      </c>
      <c r="I987" s="82">
        <f t="shared" ca="1" si="82"/>
        <v>581</v>
      </c>
      <c r="J987" s="83">
        <f t="shared" ca="1" si="80"/>
        <v>0.60144927536231885</v>
      </c>
      <c r="N987" s="60">
        <v>966</v>
      </c>
      <c r="O987" s="82">
        <f ca="1">IF(AND(N987&lt;=U$22,RAND()&lt;=$H$7),1,0)</f>
        <v>0</v>
      </c>
      <c r="P987" s="82">
        <f t="shared" ca="1" si="83"/>
        <v>0</v>
      </c>
      <c r="Q987" s="84">
        <f t="shared" ca="1" si="84"/>
        <v>1</v>
      </c>
      <c r="R987" s="82">
        <f t="shared" ca="1" si="81"/>
        <v>0</v>
      </c>
      <c r="S987" s="82">
        <f ca="1">SUM(R$22:$R987)</f>
        <v>2588.8000000000038</v>
      </c>
      <c r="W987" s="60">
        <v>966</v>
      </c>
      <c r="X987" s="82">
        <f ca="1"/>
        <v>2534.0000000000073</v>
      </c>
    </row>
    <row r="988" spans="7:24" x14ac:dyDescent="0.2">
      <c r="G988" s="60">
        <v>967</v>
      </c>
      <c r="H988" s="82">
        <f ca="1"/>
        <v>1</v>
      </c>
      <c r="I988" s="82">
        <f t="shared" ca="1" si="82"/>
        <v>582</v>
      </c>
      <c r="J988" s="83">
        <f t="shared" ca="1" si="80"/>
        <v>0.60186142709410551</v>
      </c>
      <c r="N988" s="60">
        <v>967</v>
      </c>
      <c r="O988" s="82">
        <f ca="1">IF(AND(N988&lt;=U$22,RAND()&lt;=$H$7),1,0)</f>
        <v>1</v>
      </c>
      <c r="P988" s="82">
        <f t="shared" ca="1" si="83"/>
        <v>0</v>
      </c>
      <c r="Q988" s="84">
        <f t="shared" ca="1" si="84"/>
        <v>1</v>
      </c>
      <c r="R988" s="82">
        <f t="shared" ca="1" si="81"/>
        <v>4</v>
      </c>
      <c r="S988" s="82">
        <f ca="1">SUM(R$22:$R988)</f>
        <v>2592.8000000000038</v>
      </c>
      <c r="W988" s="60">
        <v>967</v>
      </c>
      <c r="X988" s="82">
        <f ca="1"/>
        <v>2651.2000000000075</v>
      </c>
    </row>
    <row r="989" spans="7:24" x14ac:dyDescent="0.2">
      <c r="G989" s="60">
        <v>968</v>
      </c>
      <c r="H989" s="82">
        <f ca="1"/>
        <v>1</v>
      </c>
      <c r="I989" s="82">
        <f t="shared" ca="1" si="82"/>
        <v>583</v>
      </c>
      <c r="J989" s="83">
        <f t="shared" ca="1" si="80"/>
        <v>0.60227272727272729</v>
      </c>
      <c r="N989" s="60">
        <v>968</v>
      </c>
      <c r="O989" s="82">
        <f ca="1">IF(AND(N989&lt;=U$22,RAND()&lt;=$H$7),1,0)</f>
        <v>0</v>
      </c>
      <c r="P989" s="82">
        <f t="shared" ca="1" si="83"/>
        <v>0</v>
      </c>
      <c r="Q989" s="84">
        <f t="shared" ca="1" si="84"/>
        <v>1</v>
      </c>
      <c r="R989" s="82">
        <f t="shared" ca="1" si="81"/>
        <v>0</v>
      </c>
      <c r="S989" s="82">
        <f ca="1">SUM(R$22:$R989)</f>
        <v>2592.8000000000038</v>
      </c>
      <c r="W989" s="60">
        <v>968</v>
      </c>
      <c r="X989" s="82">
        <f ca="1"/>
        <v>2826.0000000000068</v>
      </c>
    </row>
    <row r="990" spans="7:24" x14ac:dyDescent="0.2">
      <c r="G990" s="60">
        <v>969</v>
      </c>
      <c r="H990" s="82">
        <f ca="1"/>
        <v>1</v>
      </c>
      <c r="I990" s="82">
        <f t="shared" ca="1" si="82"/>
        <v>584</v>
      </c>
      <c r="J990" s="83">
        <f t="shared" ca="1" si="80"/>
        <v>0.60268317853457176</v>
      </c>
      <c r="N990" s="60">
        <v>969</v>
      </c>
      <c r="O990" s="82">
        <f ca="1">IF(AND(N990&lt;=U$22,RAND()&lt;=$H$7),1,0)</f>
        <v>1</v>
      </c>
      <c r="P990" s="82">
        <f t="shared" ca="1" si="83"/>
        <v>0</v>
      </c>
      <c r="Q990" s="84">
        <f t="shared" ca="1" si="84"/>
        <v>1</v>
      </c>
      <c r="R990" s="82">
        <f t="shared" ca="1" si="81"/>
        <v>4</v>
      </c>
      <c r="S990" s="82">
        <f ca="1">SUM(R$22:$R990)</f>
        <v>2596.8000000000038</v>
      </c>
      <c r="W990" s="60">
        <v>969</v>
      </c>
      <c r="X990" s="82">
        <f ca="1"/>
        <v>2618.400000000006</v>
      </c>
    </row>
    <row r="991" spans="7:24" x14ac:dyDescent="0.2">
      <c r="G991" s="60">
        <v>970</v>
      </c>
      <c r="H991" s="82">
        <f ca="1"/>
        <v>1</v>
      </c>
      <c r="I991" s="82">
        <f t="shared" ca="1" si="82"/>
        <v>585</v>
      </c>
      <c r="J991" s="83">
        <f t="shared" ca="1" si="80"/>
        <v>0.60309278350515461</v>
      </c>
      <c r="N991" s="60">
        <v>970</v>
      </c>
      <c r="O991" s="82">
        <f ca="1">IF(AND(N991&lt;=U$22,RAND()&lt;=$H$7),1,0)</f>
        <v>0</v>
      </c>
      <c r="P991" s="82">
        <f t="shared" ca="1" si="83"/>
        <v>0</v>
      </c>
      <c r="Q991" s="84">
        <f t="shared" ca="1" si="84"/>
        <v>1</v>
      </c>
      <c r="R991" s="82">
        <f t="shared" ca="1" si="81"/>
        <v>0</v>
      </c>
      <c r="S991" s="82">
        <f ca="1">SUM(R$22:$R991)</f>
        <v>2596.8000000000038</v>
      </c>
      <c r="W991" s="60">
        <v>970</v>
      </c>
      <c r="X991" s="82">
        <f ca="1"/>
        <v>2603.2000000000075</v>
      </c>
    </row>
    <row r="992" spans="7:24" x14ac:dyDescent="0.2">
      <c r="G992" s="60">
        <v>971</v>
      </c>
      <c r="H992" s="82">
        <f ca="1"/>
        <v>0</v>
      </c>
      <c r="I992" s="82">
        <f t="shared" ca="1" si="82"/>
        <v>585</v>
      </c>
      <c r="J992" s="83">
        <f t="shared" ca="1" si="80"/>
        <v>0.60247167868177132</v>
      </c>
      <c r="N992" s="60">
        <v>971</v>
      </c>
      <c r="O992" s="82">
        <f ca="1">IF(AND(N992&lt;=U$22,RAND()&lt;=$H$7),1,0)</f>
        <v>0</v>
      </c>
      <c r="P992" s="82">
        <f t="shared" ca="1" si="83"/>
        <v>0</v>
      </c>
      <c r="Q992" s="84">
        <f t="shared" ca="1" si="84"/>
        <v>1</v>
      </c>
      <c r="R992" s="82">
        <f t="shared" ca="1" si="81"/>
        <v>0</v>
      </c>
      <c r="S992" s="82">
        <f ca="1">SUM(R$22:$R992)</f>
        <v>2596.8000000000038</v>
      </c>
      <c r="W992" s="60">
        <v>971</v>
      </c>
      <c r="X992" s="82">
        <f ca="1"/>
        <v>2822.8000000000075</v>
      </c>
    </row>
    <row r="993" spans="7:24" x14ac:dyDescent="0.2">
      <c r="G993" s="60">
        <v>972</v>
      </c>
      <c r="H993" s="82">
        <f ca="1"/>
        <v>1</v>
      </c>
      <c r="I993" s="82">
        <f t="shared" ca="1" si="82"/>
        <v>586</v>
      </c>
      <c r="J993" s="83">
        <f t="shared" ca="1" si="80"/>
        <v>0.60288065843621397</v>
      </c>
      <c r="N993" s="60">
        <v>972</v>
      </c>
      <c r="O993" s="82">
        <f ca="1">IF(AND(N993&lt;=U$22,RAND()&lt;=$H$7),1,0)</f>
        <v>1</v>
      </c>
      <c r="P993" s="82">
        <f t="shared" ca="1" si="83"/>
        <v>0</v>
      </c>
      <c r="Q993" s="84">
        <f t="shared" ca="1" si="84"/>
        <v>1</v>
      </c>
      <c r="R993" s="82">
        <f t="shared" ca="1" si="81"/>
        <v>4</v>
      </c>
      <c r="S993" s="82">
        <f ca="1">SUM(R$22:$R993)</f>
        <v>2600.8000000000038</v>
      </c>
      <c r="W993" s="60">
        <v>972</v>
      </c>
      <c r="X993" s="82">
        <f ca="1"/>
        <v>2613.2000000000071</v>
      </c>
    </row>
    <row r="994" spans="7:24" x14ac:dyDescent="0.2">
      <c r="G994" s="60">
        <v>973</v>
      </c>
      <c r="H994" s="82">
        <f ca="1"/>
        <v>1</v>
      </c>
      <c r="I994" s="82">
        <f t="shared" ca="1" si="82"/>
        <v>587</v>
      </c>
      <c r="J994" s="83">
        <f t="shared" ca="1" si="80"/>
        <v>0.60328879753340181</v>
      </c>
      <c r="N994" s="60">
        <v>973</v>
      </c>
      <c r="O994" s="82">
        <f ca="1">IF(AND(N994&lt;=U$22,RAND()&lt;=$H$7),1,0)</f>
        <v>0</v>
      </c>
      <c r="P994" s="82">
        <f t="shared" ca="1" si="83"/>
        <v>0</v>
      </c>
      <c r="Q994" s="84">
        <f t="shared" ca="1" si="84"/>
        <v>1</v>
      </c>
      <c r="R994" s="82">
        <f t="shared" ca="1" si="81"/>
        <v>0</v>
      </c>
      <c r="S994" s="82">
        <f ca="1">SUM(R$22:$R994)</f>
        <v>2600.8000000000038</v>
      </c>
      <c r="W994" s="60">
        <v>973</v>
      </c>
      <c r="X994" s="82">
        <f ca="1"/>
        <v>2644.0000000000064</v>
      </c>
    </row>
    <row r="995" spans="7:24" x14ac:dyDescent="0.2">
      <c r="G995" s="60">
        <v>974</v>
      </c>
      <c r="H995" s="82">
        <f ca="1"/>
        <v>1</v>
      </c>
      <c r="I995" s="82">
        <f t="shared" ca="1" si="82"/>
        <v>588</v>
      </c>
      <c r="J995" s="83">
        <f t="shared" ca="1" si="80"/>
        <v>0.60369609856262829</v>
      </c>
      <c r="N995" s="60">
        <v>974</v>
      </c>
      <c r="O995" s="82">
        <f ca="1">IF(AND(N995&lt;=U$22,RAND()&lt;=$H$7),1,0)</f>
        <v>1</v>
      </c>
      <c r="P995" s="82">
        <f t="shared" ca="1" si="83"/>
        <v>0</v>
      </c>
      <c r="Q995" s="84">
        <f t="shared" ca="1" si="84"/>
        <v>1</v>
      </c>
      <c r="R995" s="82">
        <f t="shared" ca="1" si="81"/>
        <v>4</v>
      </c>
      <c r="S995" s="82">
        <f ca="1">SUM(R$22:$R995)</f>
        <v>2604.8000000000038</v>
      </c>
      <c r="W995" s="60">
        <v>974</v>
      </c>
      <c r="X995" s="82">
        <f ca="1"/>
        <v>2738.4000000000074</v>
      </c>
    </row>
    <row r="996" spans="7:24" x14ac:dyDescent="0.2">
      <c r="G996" s="60">
        <v>975</v>
      </c>
      <c r="H996" s="82">
        <f ca="1"/>
        <v>1</v>
      </c>
      <c r="I996" s="82">
        <f t="shared" ca="1" si="82"/>
        <v>589</v>
      </c>
      <c r="J996" s="83">
        <f t="shared" ca="1" si="80"/>
        <v>0.60410256410256413</v>
      </c>
      <c r="N996" s="60">
        <v>975</v>
      </c>
      <c r="O996" s="82">
        <f ca="1">IF(AND(N996&lt;=U$22,RAND()&lt;=$H$7),1,0)</f>
        <v>0</v>
      </c>
      <c r="P996" s="82">
        <f t="shared" ca="1" si="83"/>
        <v>0</v>
      </c>
      <c r="Q996" s="84">
        <f t="shared" ca="1" si="84"/>
        <v>1</v>
      </c>
      <c r="R996" s="82">
        <f t="shared" ca="1" si="81"/>
        <v>0</v>
      </c>
      <c r="S996" s="82">
        <f ca="1">SUM(R$22:$R996)</f>
        <v>2604.8000000000038</v>
      </c>
      <c r="W996" s="60">
        <v>975</v>
      </c>
      <c r="X996" s="82">
        <f ca="1"/>
        <v>2758.0000000000064</v>
      </c>
    </row>
    <row r="997" spans="7:24" x14ac:dyDescent="0.2">
      <c r="G997" s="60">
        <v>976</v>
      </c>
      <c r="H997" s="82">
        <f ca="1"/>
        <v>1</v>
      </c>
      <c r="I997" s="82">
        <f t="shared" ca="1" si="82"/>
        <v>590</v>
      </c>
      <c r="J997" s="83">
        <f t="shared" ca="1" si="80"/>
        <v>0.60450819672131151</v>
      </c>
      <c r="N997" s="60">
        <v>976</v>
      </c>
      <c r="O997" s="82">
        <f ca="1">IF(AND(N997&lt;=U$22,RAND()&lt;=$H$7),1,0)</f>
        <v>0</v>
      </c>
      <c r="P997" s="82">
        <f t="shared" ca="1" si="83"/>
        <v>0</v>
      </c>
      <c r="Q997" s="84">
        <f t="shared" ca="1" si="84"/>
        <v>1</v>
      </c>
      <c r="R997" s="82">
        <f t="shared" ca="1" si="81"/>
        <v>0</v>
      </c>
      <c r="S997" s="82">
        <f ca="1">SUM(R$22:$R997)</f>
        <v>2604.8000000000038</v>
      </c>
      <c r="W997" s="60">
        <v>976</v>
      </c>
      <c r="X997" s="82">
        <f ca="1"/>
        <v>2807.6000000000085</v>
      </c>
    </row>
    <row r="998" spans="7:24" x14ac:dyDescent="0.2">
      <c r="G998" s="60">
        <v>977</v>
      </c>
      <c r="H998" s="82">
        <f ca="1"/>
        <v>1</v>
      </c>
      <c r="I998" s="82">
        <f t="shared" ca="1" si="82"/>
        <v>591</v>
      </c>
      <c r="J998" s="83">
        <f t="shared" ca="1" si="80"/>
        <v>0.60491299897645856</v>
      </c>
      <c r="N998" s="60">
        <v>977</v>
      </c>
      <c r="O998" s="82">
        <f ca="1">IF(AND(N998&lt;=U$22,RAND()&lt;=$H$7),1,0)</f>
        <v>1</v>
      </c>
      <c r="P998" s="82">
        <f t="shared" ca="1" si="83"/>
        <v>0</v>
      </c>
      <c r="Q998" s="84">
        <f t="shared" ca="1" si="84"/>
        <v>1</v>
      </c>
      <c r="R998" s="82">
        <f t="shared" ca="1" si="81"/>
        <v>4</v>
      </c>
      <c r="S998" s="82">
        <f ca="1">SUM(R$22:$R998)</f>
        <v>2608.8000000000038</v>
      </c>
      <c r="W998" s="60">
        <v>977</v>
      </c>
      <c r="X998" s="82">
        <f ca="1"/>
        <v>2688.4000000000055</v>
      </c>
    </row>
    <row r="999" spans="7:24" x14ac:dyDescent="0.2">
      <c r="G999" s="60">
        <v>978</v>
      </c>
      <c r="H999" s="82">
        <f ca="1"/>
        <v>0</v>
      </c>
      <c r="I999" s="82">
        <f t="shared" ca="1" si="82"/>
        <v>591</v>
      </c>
      <c r="J999" s="83">
        <f t="shared" ca="1" si="80"/>
        <v>0.60429447852760731</v>
      </c>
      <c r="N999" s="60">
        <v>978</v>
      </c>
      <c r="O999" s="82">
        <f ca="1">IF(AND(N999&lt;=U$22,RAND()&lt;=$H$7),1,0)</f>
        <v>1</v>
      </c>
      <c r="P999" s="82">
        <f t="shared" ca="1" si="83"/>
        <v>1</v>
      </c>
      <c r="Q999" s="84">
        <f t="shared" ca="1" si="84"/>
        <v>1</v>
      </c>
      <c r="R999" s="82">
        <f t="shared" ca="1" si="81"/>
        <v>4</v>
      </c>
      <c r="S999" s="82">
        <f ca="1">SUM(R$22:$R999)</f>
        <v>2612.8000000000038</v>
      </c>
      <c r="W999" s="60">
        <v>978</v>
      </c>
      <c r="X999" s="82">
        <f ca="1"/>
        <v>2980.0000000000068</v>
      </c>
    </row>
    <row r="1000" spans="7:24" x14ac:dyDescent="0.2">
      <c r="G1000" s="60">
        <v>979</v>
      </c>
      <c r="H1000" s="82">
        <f ca="1"/>
        <v>0</v>
      </c>
      <c r="I1000" s="82">
        <f t="shared" ca="1" si="82"/>
        <v>591</v>
      </c>
      <c r="J1000" s="83">
        <f t="shared" ca="1" si="80"/>
        <v>0.6036772216547498</v>
      </c>
      <c r="N1000" s="60">
        <v>979</v>
      </c>
      <c r="O1000" s="82">
        <f ca="1">IF(AND(N1000&lt;=U$22,RAND()&lt;=$H$7),1,0)</f>
        <v>1</v>
      </c>
      <c r="P1000" s="82">
        <f t="shared" ca="1" si="83"/>
        <v>2</v>
      </c>
      <c r="Q1000" s="84">
        <f t="shared" ca="1" si="84"/>
        <v>1.1000000000000001</v>
      </c>
      <c r="R1000" s="82">
        <f t="shared" ca="1" si="81"/>
        <v>4.4000000000000004</v>
      </c>
      <c r="S1000" s="82">
        <f ca="1">SUM(R$22:$R1000)</f>
        <v>2617.2000000000039</v>
      </c>
      <c r="W1000" s="60">
        <v>979</v>
      </c>
      <c r="X1000" s="82">
        <f ca="1"/>
        <v>2614.8000000000065</v>
      </c>
    </row>
    <row r="1001" spans="7:24" x14ac:dyDescent="0.2">
      <c r="G1001" s="60">
        <v>980</v>
      </c>
      <c r="H1001" s="82">
        <f ca="1"/>
        <v>1</v>
      </c>
      <c r="I1001" s="82">
        <f t="shared" ca="1" si="82"/>
        <v>592</v>
      </c>
      <c r="J1001" s="83">
        <f t="shared" ca="1" si="80"/>
        <v>0.60408163265306125</v>
      </c>
      <c r="N1001" s="60">
        <v>980</v>
      </c>
      <c r="O1001" s="82">
        <f ca="1">IF(AND(N1001&lt;=U$22,RAND()&lt;=$H$7),1,0)</f>
        <v>0</v>
      </c>
      <c r="P1001" s="82">
        <f t="shared" ca="1" si="83"/>
        <v>0</v>
      </c>
      <c r="Q1001" s="84">
        <f t="shared" ca="1" si="84"/>
        <v>1</v>
      </c>
      <c r="R1001" s="82">
        <f t="shared" ca="1" si="81"/>
        <v>0</v>
      </c>
      <c r="S1001" s="82">
        <f ca="1">SUM(R$22:$R1001)</f>
        <v>2617.2000000000039</v>
      </c>
      <c r="W1001" s="60">
        <v>980</v>
      </c>
      <c r="X1001" s="82">
        <f ca="1"/>
        <v>2678.400000000006</v>
      </c>
    </row>
    <row r="1002" spans="7:24" x14ac:dyDescent="0.2">
      <c r="G1002" s="60">
        <v>981</v>
      </c>
      <c r="H1002" s="82">
        <f ca="1"/>
        <v>1</v>
      </c>
      <c r="I1002" s="82">
        <f t="shared" ca="1" si="82"/>
        <v>593</v>
      </c>
      <c r="J1002" s="83">
        <f t="shared" ca="1" si="80"/>
        <v>0.60448521916411824</v>
      </c>
      <c r="N1002" s="60">
        <v>981</v>
      </c>
      <c r="O1002" s="82">
        <f ca="1">IF(AND(N1002&lt;=U$22,RAND()&lt;=$H$7),1,0)</f>
        <v>1</v>
      </c>
      <c r="P1002" s="82">
        <f t="shared" ca="1" si="83"/>
        <v>0</v>
      </c>
      <c r="Q1002" s="84">
        <f t="shared" ca="1" si="84"/>
        <v>1</v>
      </c>
      <c r="R1002" s="82">
        <f t="shared" ca="1" si="81"/>
        <v>4</v>
      </c>
      <c r="S1002" s="82">
        <f ca="1">SUM(R$22:$R1002)</f>
        <v>2621.2000000000039</v>
      </c>
      <c r="W1002" s="60">
        <v>981</v>
      </c>
      <c r="X1002" s="82">
        <f ca="1"/>
        <v>2604.8000000000056</v>
      </c>
    </row>
    <row r="1003" spans="7:24" x14ac:dyDescent="0.2">
      <c r="G1003" s="60">
        <v>982</v>
      </c>
      <c r="H1003" s="82">
        <f ca="1"/>
        <v>1</v>
      </c>
      <c r="I1003" s="82">
        <f t="shared" ca="1" si="82"/>
        <v>594</v>
      </c>
      <c r="J1003" s="83">
        <f t="shared" ca="1" si="80"/>
        <v>0.60488798370672103</v>
      </c>
      <c r="N1003" s="60">
        <v>982</v>
      </c>
      <c r="O1003" s="82">
        <f ca="1">IF(AND(N1003&lt;=U$22,RAND()&lt;=$H$7),1,0)</f>
        <v>0</v>
      </c>
      <c r="P1003" s="82">
        <f t="shared" ca="1" si="83"/>
        <v>0</v>
      </c>
      <c r="Q1003" s="84">
        <f t="shared" ca="1" si="84"/>
        <v>1</v>
      </c>
      <c r="R1003" s="82">
        <f t="shared" ca="1" si="81"/>
        <v>0</v>
      </c>
      <c r="S1003" s="82">
        <f ca="1">SUM(R$22:$R1003)</f>
        <v>2621.2000000000039</v>
      </c>
      <c r="W1003" s="60">
        <v>982</v>
      </c>
      <c r="X1003" s="82">
        <f ca="1"/>
        <v>2827.6000000000063</v>
      </c>
    </row>
    <row r="1004" spans="7:24" x14ac:dyDescent="0.2">
      <c r="G1004" s="60">
        <v>983</v>
      </c>
      <c r="H1004" s="82">
        <f ca="1"/>
        <v>1</v>
      </c>
      <c r="I1004" s="82">
        <f t="shared" ca="1" si="82"/>
        <v>595</v>
      </c>
      <c r="J1004" s="83">
        <f t="shared" ca="1" si="80"/>
        <v>0.60528992878942012</v>
      </c>
      <c r="N1004" s="60">
        <v>983</v>
      </c>
      <c r="O1004" s="82">
        <f ca="1">IF(AND(N1004&lt;=U$22,RAND()&lt;=$H$7),1,0)</f>
        <v>0</v>
      </c>
      <c r="P1004" s="82">
        <f t="shared" ca="1" si="83"/>
        <v>0</v>
      </c>
      <c r="Q1004" s="84">
        <f t="shared" ca="1" si="84"/>
        <v>1</v>
      </c>
      <c r="R1004" s="82">
        <f t="shared" ca="1" si="81"/>
        <v>0</v>
      </c>
      <c r="S1004" s="82">
        <f ca="1">SUM(R$22:$R1004)</f>
        <v>2621.2000000000039</v>
      </c>
      <c r="W1004" s="60">
        <v>983</v>
      </c>
      <c r="X1004" s="82">
        <f ca="1"/>
        <v>2771.2000000000062</v>
      </c>
    </row>
    <row r="1005" spans="7:24" x14ac:dyDescent="0.2">
      <c r="G1005" s="60">
        <v>984</v>
      </c>
      <c r="H1005" s="82">
        <f ca="1"/>
        <v>1</v>
      </c>
      <c r="I1005" s="82">
        <f t="shared" ca="1" si="82"/>
        <v>596</v>
      </c>
      <c r="J1005" s="83">
        <f t="shared" ca="1" si="80"/>
        <v>0.60569105691056913</v>
      </c>
      <c r="N1005" s="60">
        <v>984</v>
      </c>
      <c r="O1005" s="82">
        <f ca="1">IF(AND(N1005&lt;=U$22,RAND()&lt;=$H$7),1,0)</f>
        <v>0</v>
      </c>
      <c r="P1005" s="82">
        <f t="shared" ca="1" si="83"/>
        <v>0</v>
      </c>
      <c r="Q1005" s="84">
        <f t="shared" ca="1" si="84"/>
        <v>1</v>
      </c>
      <c r="R1005" s="82">
        <f t="shared" ca="1" si="81"/>
        <v>0</v>
      </c>
      <c r="S1005" s="82">
        <f ca="1">SUM(R$22:$R1005)</f>
        <v>2621.2000000000039</v>
      </c>
      <c r="W1005" s="60">
        <v>984</v>
      </c>
      <c r="X1005" s="82">
        <f ca="1"/>
        <v>2630.0000000000077</v>
      </c>
    </row>
    <row r="1006" spans="7:24" x14ac:dyDescent="0.2">
      <c r="G1006" s="60">
        <v>985</v>
      </c>
      <c r="H1006" s="82">
        <f ca="1"/>
        <v>1</v>
      </c>
      <c r="I1006" s="82">
        <f t="shared" ca="1" si="82"/>
        <v>597</v>
      </c>
      <c r="J1006" s="83">
        <f t="shared" ca="1" si="80"/>
        <v>0.60609137055837559</v>
      </c>
      <c r="N1006" s="60">
        <v>985</v>
      </c>
      <c r="O1006" s="82">
        <f ca="1">IF(AND(N1006&lt;=U$22,RAND()&lt;=$H$7),1,0)</f>
        <v>1</v>
      </c>
      <c r="P1006" s="82">
        <f t="shared" ca="1" si="83"/>
        <v>0</v>
      </c>
      <c r="Q1006" s="84">
        <f t="shared" ca="1" si="84"/>
        <v>1</v>
      </c>
      <c r="R1006" s="82">
        <f t="shared" ca="1" si="81"/>
        <v>4</v>
      </c>
      <c r="S1006" s="82">
        <f ca="1">SUM(R$22:$R1006)</f>
        <v>2625.2000000000039</v>
      </c>
      <c r="W1006" s="60">
        <v>985</v>
      </c>
      <c r="X1006" s="82">
        <f ca="1"/>
        <v>2848.0000000000086</v>
      </c>
    </row>
    <row r="1007" spans="7:24" x14ac:dyDescent="0.2">
      <c r="G1007" s="60">
        <v>986</v>
      </c>
      <c r="H1007" s="82">
        <f ca="1"/>
        <v>0</v>
      </c>
      <c r="I1007" s="82">
        <f t="shared" ca="1" si="82"/>
        <v>597</v>
      </c>
      <c r="J1007" s="83">
        <f t="shared" ca="1" si="80"/>
        <v>0.60547667342799194</v>
      </c>
      <c r="N1007" s="60">
        <v>986</v>
      </c>
      <c r="O1007" s="82">
        <f ca="1">IF(AND(N1007&lt;=U$22,RAND()&lt;=$H$7),1,0)</f>
        <v>1</v>
      </c>
      <c r="P1007" s="82">
        <f t="shared" ca="1" si="83"/>
        <v>1</v>
      </c>
      <c r="Q1007" s="84">
        <f t="shared" ca="1" si="84"/>
        <v>1</v>
      </c>
      <c r="R1007" s="82">
        <f t="shared" ca="1" si="81"/>
        <v>4</v>
      </c>
      <c r="S1007" s="82">
        <f ca="1">SUM(R$22:$R1007)</f>
        <v>2629.2000000000039</v>
      </c>
      <c r="W1007" s="60">
        <v>986</v>
      </c>
      <c r="X1007" s="82">
        <f ca="1"/>
        <v>2758.8000000000084</v>
      </c>
    </row>
    <row r="1008" spans="7:24" x14ac:dyDescent="0.2">
      <c r="G1008" s="60">
        <v>987</v>
      </c>
      <c r="H1008" s="82">
        <f ca="1"/>
        <v>0</v>
      </c>
      <c r="I1008" s="82">
        <f t="shared" ca="1" si="82"/>
        <v>597</v>
      </c>
      <c r="J1008" s="83">
        <f t="shared" ca="1" si="80"/>
        <v>0.60486322188449848</v>
      </c>
      <c r="N1008" s="60">
        <v>987</v>
      </c>
      <c r="O1008" s="82">
        <f ca="1">IF(AND(N1008&lt;=U$22,RAND()&lt;=$H$7),1,0)</f>
        <v>1</v>
      </c>
      <c r="P1008" s="82">
        <f t="shared" ca="1" si="83"/>
        <v>2</v>
      </c>
      <c r="Q1008" s="84">
        <f t="shared" ca="1" si="84"/>
        <v>1.1000000000000001</v>
      </c>
      <c r="R1008" s="82">
        <f t="shared" ca="1" si="81"/>
        <v>4.4000000000000004</v>
      </c>
      <c r="S1008" s="82">
        <f ca="1">SUM(R$22:$R1008)</f>
        <v>2633.600000000004</v>
      </c>
      <c r="W1008" s="60">
        <v>987</v>
      </c>
      <c r="X1008" s="82">
        <f ca="1"/>
        <v>2682.0000000000064</v>
      </c>
    </row>
    <row r="1009" spans="7:24" x14ac:dyDescent="0.2">
      <c r="G1009" s="60">
        <v>988</v>
      </c>
      <c r="H1009" s="82">
        <f ca="1"/>
        <v>0</v>
      </c>
      <c r="I1009" s="82">
        <f t="shared" ca="1" si="82"/>
        <v>597</v>
      </c>
      <c r="J1009" s="83">
        <f t="shared" ca="1" si="80"/>
        <v>0.60425101214574894</v>
      </c>
      <c r="N1009" s="60">
        <v>988</v>
      </c>
      <c r="O1009" s="82">
        <f ca="1">IF(AND(N1009&lt;=U$22,RAND()&lt;=$H$7),1,0)</f>
        <v>1</v>
      </c>
      <c r="P1009" s="82">
        <f t="shared" ca="1" si="83"/>
        <v>3</v>
      </c>
      <c r="Q1009" s="84">
        <f t="shared" ca="1" si="84"/>
        <v>1.2</v>
      </c>
      <c r="R1009" s="82">
        <f t="shared" ca="1" si="81"/>
        <v>4.8</v>
      </c>
      <c r="S1009" s="82">
        <f ca="1">SUM(R$22:$R1009)</f>
        <v>2638.4000000000042</v>
      </c>
      <c r="W1009" s="60">
        <v>988</v>
      </c>
      <c r="X1009" s="82">
        <f ca="1"/>
        <v>2667.6000000000054</v>
      </c>
    </row>
    <row r="1010" spans="7:24" x14ac:dyDescent="0.2">
      <c r="G1010" s="60">
        <v>989</v>
      </c>
      <c r="H1010" s="82">
        <f ca="1"/>
        <v>1</v>
      </c>
      <c r="I1010" s="82">
        <f t="shared" ca="1" si="82"/>
        <v>598</v>
      </c>
      <c r="J1010" s="83">
        <f t="shared" ca="1" si="80"/>
        <v>0.60465116279069764</v>
      </c>
      <c r="N1010" s="60">
        <v>989</v>
      </c>
      <c r="O1010" s="82">
        <f ca="1">IF(AND(N1010&lt;=U$22,RAND()&lt;=$H$7),1,0)</f>
        <v>1</v>
      </c>
      <c r="P1010" s="82">
        <f t="shared" ca="1" si="83"/>
        <v>4</v>
      </c>
      <c r="Q1010" s="84">
        <f t="shared" ca="1" si="84"/>
        <v>1.3</v>
      </c>
      <c r="R1010" s="82">
        <f t="shared" ca="1" si="81"/>
        <v>5.2</v>
      </c>
      <c r="S1010" s="82">
        <f ca="1">SUM(R$22:$R1010)</f>
        <v>2643.600000000004</v>
      </c>
      <c r="W1010" s="60">
        <v>989</v>
      </c>
      <c r="X1010" s="82">
        <f ca="1"/>
        <v>2827.6000000000081</v>
      </c>
    </row>
    <row r="1011" spans="7:24" x14ac:dyDescent="0.2">
      <c r="G1011" s="60">
        <v>990</v>
      </c>
      <c r="H1011" s="82">
        <f ca="1"/>
        <v>1</v>
      </c>
      <c r="I1011" s="82">
        <f t="shared" ca="1" si="82"/>
        <v>599</v>
      </c>
      <c r="J1011" s="83">
        <f t="shared" ca="1" si="80"/>
        <v>0.60505050505050506</v>
      </c>
      <c r="N1011" s="60">
        <v>990</v>
      </c>
      <c r="O1011" s="82">
        <f ca="1">IF(AND(N1011&lt;=U$22,RAND()&lt;=$H$7),1,0)</f>
        <v>1</v>
      </c>
      <c r="P1011" s="82">
        <f t="shared" ca="1" si="83"/>
        <v>5</v>
      </c>
      <c r="Q1011" s="84">
        <f t="shared" ca="1" si="84"/>
        <v>1.4</v>
      </c>
      <c r="R1011" s="82">
        <f t="shared" ca="1" si="81"/>
        <v>5.6</v>
      </c>
      <c r="S1011" s="82">
        <f ca="1">SUM(R$22:$R1011)</f>
        <v>2649.2000000000039</v>
      </c>
      <c r="W1011" s="60">
        <v>990</v>
      </c>
      <c r="X1011" s="82">
        <f ca="1"/>
        <v>2601.2000000000071</v>
      </c>
    </row>
    <row r="1012" spans="7:24" x14ac:dyDescent="0.2">
      <c r="G1012" s="60">
        <v>991</v>
      </c>
      <c r="H1012" s="82">
        <f ca="1"/>
        <v>0</v>
      </c>
      <c r="I1012" s="82">
        <f t="shared" ca="1" si="82"/>
        <v>599</v>
      </c>
      <c r="J1012" s="83">
        <f t="shared" ca="1" si="80"/>
        <v>0.60443995963673058</v>
      </c>
      <c r="N1012" s="60">
        <v>991</v>
      </c>
      <c r="O1012" s="82">
        <f ca="1">IF(AND(N1012&lt;=U$22,RAND()&lt;=$H$7),1,0)</f>
        <v>0</v>
      </c>
      <c r="P1012" s="82">
        <f t="shared" ca="1" si="83"/>
        <v>0</v>
      </c>
      <c r="Q1012" s="84">
        <f t="shared" ca="1" si="84"/>
        <v>1</v>
      </c>
      <c r="R1012" s="82">
        <f t="shared" ca="1" si="81"/>
        <v>0</v>
      </c>
      <c r="S1012" s="82">
        <f ca="1">SUM(R$22:$R1012)</f>
        <v>2649.2000000000039</v>
      </c>
      <c r="W1012" s="60">
        <v>991</v>
      </c>
      <c r="X1012" s="82">
        <f ca="1"/>
        <v>2704.400000000006</v>
      </c>
    </row>
    <row r="1013" spans="7:24" x14ac:dyDescent="0.2">
      <c r="G1013" s="60">
        <v>992</v>
      </c>
      <c r="H1013" s="82">
        <f ca="1"/>
        <v>0</v>
      </c>
      <c r="I1013" s="82">
        <f t="shared" ca="1" si="82"/>
        <v>599</v>
      </c>
      <c r="J1013" s="83">
        <f t="shared" ca="1" si="80"/>
        <v>0.60383064516129037</v>
      </c>
      <c r="N1013" s="60">
        <v>992</v>
      </c>
      <c r="O1013" s="82">
        <f ca="1">IF(AND(N1013&lt;=U$22,RAND()&lt;=$H$7),1,0)</f>
        <v>0</v>
      </c>
      <c r="P1013" s="82">
        <f t="shared" ca="1" si="83"/>
        <v>0</v>
      </c>
      <c r="Q1013" s="84">
        <f t="shared" ca="1" si="84"/>
        <v>1</v>
      </c>
      <c r="R1013" s="82">
        <f t="shared" ca="1" si="81"/>
        <v>0</v>
      </c>
      <c r="S1013" s="82">
        <f ca="1">SUM(R$22:$R1013)</f>
        <v>2649.2000000000039</v>
      </c>
      <c r="W1013" s="60">
        <v>992</v>
      </c>
      <c r="X1013" s="82">
        <f ca="1"/>
        <v>2866.4000000000069</v>
      </c>
    </row>
    <row r="1014" spans="7:24" x14ac:dyDescent="0.2">
      <c r="G1014" s="60">
        <v>993</v>
      </c>
      <c r="H1014" s="82">
        <f ca="1"/>
        <v>0</v>
      </c>
      <c r="I1014" s="82">
        <f t="shared" ca="1" si="82"/>
        <v>599</v>
      </c>
      <c r="J1014" s="83">
        <f t="shared" ca="1" si="80"/>
        <v>0.60322255790533741</v>
      </c>
      <c r="N1014" s="60">
        <v>993</v>
      </c>
      <c r="O1014" s="82">
        <f ca="1">IF(AND(N1014&lt;=U$22,RAND()&lt;=$H$7),1,0)</f>
        <v>1</v>
      </c>
      <c r="P1014" s="82">
        <f t="shared" ca="1" si="83"/>
        <v>0</v>
      </c>
      <c r="Q1014" s="84">
        <f t="shared" ca="1" si="84"/>
        <v>1</v>
      </c>
      <c r="R1014" s="82">
        <f t="shared" ca="1" si="81"/>
        <v>4</v>
      </c>
      <c r="S1014" s="82">
        <f ca="1">SUM(R$22:$R1014)</f>
        <v>2653.2000000000039</v>
      </c>
      <c r="W1014" s="60">
        <v>993</v>
      </c>
      <c r="X1014" s="82">
        <f ca="1"/>
        <v>2979.6000000000081</v>
      </c>
    </row>
    <row r="1015" spans="7:24" x14ac:dyDescent="0.2">
      <c r="G1015" s="60">
        <v>994</v>
      </c>
      <c r="H1015" s="82">
        <f ca="1"/>
        <v>1</v>
      </c>
      <c r="I1015" s="82">
        <f t="shared" ca="1" si="82"/>
        <v>600</v>
      </c>
      <c r="J1015" s="83">
        <f t="shared" ca="1" si="80"/>
        <v>0.60362173038229372</v>
      </c>
      <c r="N1015" s="60">
        <v>994</v>
      </c>
      <c r="O1015" s="82">
        <f ca="1">IF(AND(N1015&lt;=U$22,RAND()&lt;=$H$7),1,0)</f>
        <v>1</v>
      </c>
      <c r="P1015" s="82">
        <f t="shared" ca="1" si="83"/>
        <v>1</v>
      </c>
      <c r="Q1015" s="84">
        <f t="shared" ca="1" si="84"/>
        <v>1</v>
      </c>
      <c r="R1015" s="82">
        <f t="shared" ca="1" si="81"/>
        <v>4</v>
      </c>
      <c r="S1015" s="82">
        <f ca="1">SUM(R$22:$R1015)</f>
        <v>2657.2000000000039</v>
      </c>
      <c r="W1015" s="60">
        <v>994</v>
      </c>
      <c r="X1015" s="82">
        <f ca="1"/>
        <v>2748.0000000000077</v>
      </c>
    </row>
    <row r="1016" spans="7:24" x14ac:dyDescent="0.2">
      <c r="G1016" s="60">
        <v>995</v>
      </c>
      <c r="H1016" s="82">
        <f ca="1"/>
        <v>1</v>
      </c>
      <c r="I1016" s="82">
        <f t="shared" ca="1" si="82"/>
        <v>601</v>
      </c>
      <c r="J1016" s="83">
        <f t="shared" ca="1" si="80"/>
        <v>0.60402010050251254</v>
      </c>
      <c r="N1016" s="60">
        <v>995</v>
      </c>
      <c r="O1016" s="82">
        <f ca="1">IF(AND(N1016&lt;=U$22,RAND()&lt;=$H$7),1,0)</f>
        <v>0</v>
      </c>
      <c r="P1016" s="82">
        <f t="shared" ca="1" si="83"/>
        <v>0</v>
      </c>
      <c r="Q1016" s="84">
        <f t="shared" ca="1" si="84"/>
        <v>1</v>
      </c>
      <c r="R1016" s="82">
        <f t="shared" ca="1" si="81"/>
        <v>0</v>
      </c>
      <c r="S1016" s="82">
        <f ca="1">SUM(R$22:$R1016)</f>
        <v>2657.2000000000039</v>
      </c>
      <c r="W1016" s="60">
        <v>995</v>
      </c>
      <c r="X1016" s="82">
        <f ca="1"/>
        <v>2905.2000000000075</v>
      </c>
    </row>
    <row r="1017" spans="7:24" x14ac:dyDescent="0.2">
      <c r="G1017" s="60">
        <v>996</v>
      </c>
      <c r="H1017" s="82">
        <f ca="1"/>
        <v>1</v>
      </c>
      <c r="I1017" s="82">
        <f t="shared" ca="1" si="82"/>
        <v>602</v>
      </c>
      <c r="J1017" s="83">
        <f t="shared" ca="1" si="80"/>
        <v>0.60441767068273089</v>
      </c>
      <c r="N1017" s="60">
        <v>996</v>
      </c>
      <c r="O1017" s="82">
        <f ca="1">IF(AND(N1017&lt;=U$22,RAND()&lt;=$H$7),1,0)</f>
        <v>1</v>
      </c>
      <c r="P1017" s="82">
        <f t="shared" ca="1" si="83"/>
        <v>0</v>
      </c>
      <c r="Q1017" s="84">
        <f t="shared" ca="1" si="84"/>
        <v>1</v>
      </c>
      <c r="R1017" s="82">
        <f t="shared" ca="1" si="81"/>
        <v>4</v>
      </c>
      <c r="S1017" s="82">
        <f ca="1">SUM(R$22:$R1017)</f>
        <v>2661.2000000000039</v>
      </c>
      <c r="W1017" s="60">
        <v>996</v>
      </c>
      <c r="X1017" s="82">
        <f ca="1"/>
        <v>2630.8000000000075</v>
      </c>
    </row>
    <row r="1018" spans="7:24" x14ac:dyDescent="0.2">
      <c r="G1018" s="60">
        <v>997</v>
      </c>
      <c r="H1018" s="82">
        <f ca="1"/>
        <v>0</v>
      </c>
      <c r="I1018" s="82">
        <f t="shared" ca="1" si="82"/>
        <v>602</v>
      </c>
      <c r="J1018" s="83">
        <f t="shared" ca="1" si="80"/>
        <v>0.60381143430290873</v>
      </c>
      <c r="N1018" s="60">
        <v>997</v>
      </c>
      <c r="O1018" s="82">
        <f ca="1">IF(AND(N1018&lt;=U$22,RAND()&lt;=$H$7),1,0)</f>
        <v>0</v>
      </c>
      <c r="P1018" s="82">
        <f t="shared" ca="1" si="83"/>
        <v>0</v>
      </c>
      <c r="Q1018" s="84">
        <f t="shared" ca="1" si="84"/>
        <v>1</v>
      </c>
      <c r="R1018" s="82">
        <f t="shared" ca="1" si="81"/>
        <v>0</v>
      </c>
      <c r="S1018" s="82">
        <f ca="1">SUM(R$22:$R1018)</f>
        <v>2661.2000000000039</v>
      </c>
      <c r="W1018" s="60">
        <v>997</v>
      </c>
      <c r="X1018" s="82">
        <f ca="1"/>
        <v>2723.6000000000081</v>
      </c>
    </row>
    <row r="1019" spans="7:24" x14ac:dyDescent="0.2">
      <c r="G1019" s="60">
        <v>998</v>
      </c>
      <c r="H1019" s="82">
        <f ca="1"/>
        <v>0</v>
      </c>
      <c r="I1019" s="82">
        <f t="shared" ca="1" si="82"/>
        <v>602</v>
      </c>
      <c r="J1019" s="83">
        <f t="shared" ca="1" si="80"/>
        <v>0.60320641282565135</v>
      </c>
      <c r="N1019" s="60">
        <v>998</v>
      </c>
      <c r="O1019" s="82">
        <f ca="1">IF(AND(N1019&lt;=U$22,RAND()&lt;=$H$7),1,0)</f>
        <v>0</v>
      </c>
      <c r="P1019" s="82">
        <f t="shared" ca="1" si="83"/>
        <v>0</v>
      </c>
      <c r="Q1019" s="84">
        <f t="shared" ca="1" si="84"/>
        <v>1</v>
      </c>
      <c r="R1019" s="82">
        <f t="shared" ca="1" si="81"/>
        <v>0</v>
      </c>
      <c r="S1019" s="82">
        <f ca="1">SUM(R$22:$R1019)</f>
        <v>2661.2000000000039</v>
      </c>
      <c r="W1019" s="60">
        <v>998</v>
      </c>
      <c r="X1019" s="82">
        <f ca="1"/>
        <v>2908.0000000000077</v>
      </c>
    </row>
    <row r="1020" spans="7:24" x14ac:dyDescent="0.2">
      <c r="G1020" s="60">
        <v>999</v>
      </c>
      <c r="H1020" s="82">
        <f ca="1"/>
        <v>1</v>
      </c>
      <c r="I1020" s="82">
        <f t="shared" ca="1" si="82"/>
        <v>603</v>
      </c>
      <c r="J1020" s="83">
        <f t="shared" ca="1" si="80"/>
        <v>0.60360360360360366</v>
      </c>
      <c r="N1020" s="60">
        <v>999</v>
      </c>
      <c r="O1020" s="82">
        <f ca="1">IF(AND(N1020&lt;=U$22,RAND()&lt;=$H$7),1,0)</f>
        <v>1</v>
      </c>
      <c r="P1020" s="82">
        <f t="shared" ca="1" si="83"/>
        <v>0</v>
      </c>
      <c r="Q1020" s="84">
        <f t="shared" ca="1" si="84"/>
        <v>1</v>
      </c>
      <c r="R1020" s="82">
        <f t="shared" ca="1" si="81"/>
        <v>4</v>
      </c>
      <c r="S1020" s="82">
        <f ca="1">SUM(R$22:$R1020)</f>
        <v>2665.2000000000039</v>
      </c>
      <c r="W1020" s="60">
        <v>999</v>
      </c>
      <c r="X1020" s="82">
        <f ca="1"/>
        <v>2894.0000000000068</v>
      </c>
    </row>
    <row r="1021" spans="7:24" x14ac:dyDescent="0.2">
      <c r="G1021" s="60">
        <v>1000</v>
      </c>
      <c r="H1021" s="82">
        <f ca="1"/>
        <v>1</v>
      </c>
      <c r="I1021" s="82">
        <f t="shared" ca="1" si="82"/>
        <v>604</v>
      </c>
      <c r="J1021" s="83">
        <f t="shared" ca="1" si="80"/>
        <v>0.60399999999999998</v>
      </c>
      <c r="N1021" s="60">
        <v>1000</v>
      </c>
      <c r="O1021" s="82">
        <f ca="1">IF(AND(N1021&lt;=U$22,RAND()&lt;=$H$7),1,0)</f>
        <v>1</v>
      </c>
      <c r="P1021" s="82">
        <f t="shared" ca="1" si="83"/>
        <v>1</v>
      </c>
      <c r="Q1021" s="84">
        <f t="shared" ca="1" si="84"/>
        <v>1</v>
      </c>
      <c r="R1021" s="82">
        <f t="shared" ca="1" si="81"/>
        <v>4</v>
      </c>
      <c r="S1021" s="82">
        <f ca="1">SUM(R$22:$R1021)</f>
        <v>2669.2000000000039</v>
      </c>
      <c r="W1021" s="60">
        <v>1000</v>
      </c>
      <c r="X1021" s="82">
        <f ca="1"/>
        <v>2732.800000000007</v>
      </c>
    </row>
  </sheetData>
  <phoneticPr fontId="4" alignment="center"/>
  <dataValidations count="2">
    <dataValidation type="list" allowBlank="1" showInputMessage="1" showErrorMessage="1" sqref="F2" xr:uid="{27C06DAD-0AC2-4766-8A9B-15C29DD5982E}">
      <formula1>$A$2:$A$32</formula1>
    </dataValidation>
    <dataValidation type="list" allowBlank="1" showInputMessage="1" showErrorMessage="1" sqref="G7" xr:uid="{B9772F89-B4C0-48A4-889E-167463ED89F5}">
      <formula1>$G$2:$G$5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FE0F5-C82F-4244-BE3C-D27AAFDE943E}">
  <dimension ref="A5:D104"/>
  <sheetViews>
    <sheetView zoomScaleNormal="150" zoomScaleSheetLayoutView="100" workbookViewId="0">
      <selection activeCell="E6" sqref="E6"/>
    </sheetView>
  </sheetViews>
  <sheetFormatPr defaultRowHeight="15" x14ac:dyDescent="0.2"/>
  <cols>
    <col min="2" max="2" width="7.53125" bestFit="1" customWidth="1"/>
  </cols>
  <sheetData>
    <row r="5" spans="1:4" x14ac:dyDescent="0.2">
      <c r="A5" cm="1">
        <f t="array" aca="1" ref="A5:A14" ca="1">_xlfn.RANDARRAY(10,1,,,1)</f>
        <v>0</v>
      </c>
      <c r="B5" cm="1">
        <f t="array" aca="1" ref="B5:B14" ca="1">_xlfn.SCAN(0,A5:A14,_xlfn.LAMBDA(_xlpm.acc,_xlpm.x,_xlpm.acc+_xlpm.x))</f>
        <v>0</v>
      </c>
      <c r="D5" cm="1">
        <f t="array" ref="D5:D104">_xlfn.SEQUENCE(100)</f>
        <v>1</v>
      </c>
    </row>
    <row r="6" spans="1:4" x14ac:dyDescent="0.2">
      <c r="A6">
        <f ca="1"/>
        <v>1</v>
      </c>
      <c r="B6">
        <f ca="1"/>
        <v>1</v>
      </c>
      <c r="D6">
        <v>2</v>
      </c>
    </row>
    <row r="7" spans="1:4" x14ac:dyDescent="0.2">
      <c r="A7">
        <f ca="1"/>
        <v>0</v>
      </c>
      <c r="B7">
        <f ca="1"/>
        <v>1</v>
      </c>
      <c r="D7">
        <v>3</v>
      </c>
    </row>
    <row r="8" spans="1:4" x14ac:dyDescent="0.2">
      <c r="A8">
        <f ca="1"/>
        <v>1</v>
      </c>
      <c r="B8">
        <f ca="1"/>
        <v>2</v>
      </c>
      <c r="D8">
        <v>4</v>
      </c>
    </row>
    <row r="9" spans="1:4" x14ac:dyDescent="0.2">
      <c r="A9">
        <f ca="1"/>
        <v>0</v>
      </c>
      <c r="B9">
        <f ca="1"/>
        <v>2</v>
      </c>
      <c r="D9">
        <v>5</v>
      </c>
    </row>
    <row r="10" spans="1:4" x14ac:dyDescent="0.2">
      <c r="A10">
        <f ca="1"/>
        <v>0</v>
      </c>
      <c r="B10">
        <f ca="1"/>
        <v>2</v>
      </c>
      <c r="D10">
        <v>6</v>
      </c>
    </row>
    <row r="11" spans="1:4" x14ac:dyDescent="0.2">
      <c r="A11">
        <f ca="1"/>
        <v>1</v>
      </c>
      <c r="B11">
        <f ca="1"/>
        <v>3</v>
      </c>
      <c r="D11">
        <v>7</v>
      </c>
    </row>
    <row r="12" spans="1:4" x14ac:dyDescent="0.2">
      <c r="A12">
        <f ca="1"/>
        <v>0</v>
      </c>
      <c r="B12">
        <f ca="1"/>
        <v>3</v>
      </c>
      <c r="D12">
        <v>8</v>
      </c>
    </row>
    <row r="13" spans="1:4" x14ac:dyDescent="0.2">
      <c r="A13">
        <f ca="1"/>
        <v>1</v>
      </c>
      <c r="B13">
        <f ca="1"/>
        <v>4</v>
      </c>
      <c r="D13">
        <v>9</v>
      </c>
    </row>
    <row r="14" spans="1:4" x14ac:dyDescent="0.2">
      <c r="A14">
        <f ca="1"/>
        <v>0</v>
      </c>
      <c r="B14">
        <f ca="1"/>
        <v>4</v>
      </c>
      <c r="D14">
        <v>10</v>
      </c>
    </row>
    <row r="15" spans="1:4" x14ac:dyDescent="0.2">
      <c r="D15">
        <v>11</v>
      </c>
    </row>
    <row r="16" spans="1:4" x14ac:dyDescent="0.2">
      <c r="D16">
        <v>12</v>
      </c>
    </row>
    <row r="17" spans="4:4" x14ac:dyDescent="0.2">
      <c r="D17">
        <v>13</v>
      </c>
    </row>
    <row r="18" spans="4:4" x14ac:dyDescent="0.2">
      <c r="D18">
        <v>14</v>
      </c>
    </row>
    <row r="19" spans="4:4" x14ac:dyDescent="0.2">
      <c r="D19">
        <v>15</v>
      </c>
    </row>
    <row r="20" spans="4:4" x14ac:dyDescent="0.2">
      <c r="D20">
        <v>16</v>
      </c>
    </row>
    <row r="21" spans="4:4" x14ac:dyDescent="0.2">
      <c r="D21">
        <v>17</v>
      </c>
    </row>
    <row r="22" spans="4:4" x14ac:dyDescent="0.2">
      <c r="D22">
        <v>18</v>
      </c>
    </row>
    <row r="23" spans="4:4" x14ac:dyDescent="0.2">
      <c r="D23">
        <v>19</v>
      </c>
    </row>
    <row r="24" spans="4:4" x14ac:dyDescent="0.2">
      <c r="D24">
        <v>20</v>
      </c>
    </row>
    <row r="25" spans="4:4" x14ac:dyDescent="0.2">
      <c r="D25">
        <v>21</v>
      </c>
    </row>
    <row r="26" spans="4:4" x14ac:dyDescent="0.2">
      <c r="D26">
        <v>22</v>
      </c>
    </row>
    <row r="27" spans="4:4" x14ac:dyDescent="0.2">
      <c r="D27">
        <v>23</v>
      </c>
    </row>
    <row r="28" spans="4:4" x14ac:dyDescent="0.2">
      <c r="D28">
        <v>24</v>
      </c>
    </row>
    <row r="29" spans="4:4" x14ac:dyDescent="0.2">
      <c r="D29">
        <v>25</v>
      </c>
    </row>
    <row r="30" spans="4:4" x14ac:dyDescent="0.2">
      <c r="D30">
        <v>26</v>
      </c>
    </row>
    <row r="31" spans="4:4" x14ac:dyDescent="0.2">
      <c r="D31">
        <v>27</v>
      </c>
    </row>
    <row r="32" spans="4:4" x14ac:dyDescent="0.2">
      <c r="D32">
        <v>28</v>
      </c>
    </row>
    <row r="33" spans="4:4" x14ac:dyDescent="0.2">
      <c r="D33">
        <v>29</v>
      </c>
    </row>
    <row r="34" spans="4:4" x14ac:dyDescent="0.2">
      <c r="D34">
        <v>30</v>
      </c>
    </row>
    <row r="35" spans="4:4" x14ac:dyDescent="0.2">
      <c r="D35">
        <v>31</v>
      </c>
    </row>
    <row r="36" spans="4:4" x14ac:dyDescent="0.2">
      <c r="D36">
        <v>32</v>
      </c>
    </row>
    <row r="37" spans="4:4" x14ac:dyDescent="0.2">
      <c r="D37">
        <v>33</v>
      </c>
    </row>
    <row r="38" spans="4:4" x14ac:dyDescent="0.2">
      <c r="D38">
        <v>34</v>
      </c>
    </row>
    <row r="39" spans="4:4" x14ac:dyDescent="0.2">
      <c r="D39">
        <v>35</v>
      </c>
    </row>
    <row r="40" spans="4:4" x14ac:dyDescent="0.2">
      <c r="D40">
        <v>36</v>
      </c>
    </row>
    <row r="41" spans="4:4" x14ac:dyDescent="0.2">
      <c r="D41">
        <v>37</v>
      </c>
    </row>
    <row r="42" spans="4:4" x14ac:dyDescent="0.2">
      <c r="D42">
        <v>38</v>
      </c>
    </row>
    <row r="43" spans="4:4" x14ac:dyDescent="0.2">
      <c r="D43">
        <v>39</v>
      </c>
    </row>
    <row r="44" spans="4:4" x14ac:dyDescent="0.2">
      <c r="D44">
        <v>40</v>
      </c>
    </row>
    <row r="45" spans="4:4" x14ac:dyDescent="0.2">
      <c r="D45">
        <v>41</v>
      </c>
    </row>
    <row r="46" spans="4:4" x14ac:dyDescent="0.2">
      <c r="D46">
        <v>42</v>
      </c>
    </row>
    <row r="47" spans="4:4" x14ac:dyDescent="0.2">
      <c r="D47">
        <v>43</v>
      </c>
    </row>
    <row r="48" spans="4:4" x14ac:dyDescent="0.2">
      <c r="D48">
        <v>44</v>
      </c>
    </row>
    <row r="49" spans="4:4" x14ac:dyDescent="0.2">
      <c r="D49">
        <v>45</v>
      </c>
    </row>
    <row r="50" spans="4:4" x14ac:dyDescent="0.2">
      <c r="D50">
        <v>46</v>
      </c>
    </row>
    <row r="51" spans="4:4" x14ac:dyDescent="0.2">
      <c r="D51">
        <v>47</v>
      </c>
    </row>
    <row r="52" spans="4:4" x14ac:dyDescent="0.2">
      <c r="D52">
        <v>48</v>
      </c>
    </row>
    <row r="53" spans="4:4" x14ac:dyDescent="0.2">
      <c r="D53">
        <v>49</v>
      </c>
    </row>
    <row r="54" spans="4:4" x14ac:dyDescent="0.2">
      <c r="D54">
        <v>50</v>
      </c>
    </row>
    <row r="55" spans="4:4" x14ac:dyDescent="0.2">
      <c r="D55">
        <v>51</v>
      </c>
    </row>
    <row r="56" spans="4:4" x14ac:dyDescent="0.2">
      <c r="D56">
        <v>52</v>
      </c>
    </row>
    <row r="57" spans="4:4" x14ac:dyDescent="0.2">
      <c r="D57">
        <v>53</v>
      </c>
    </row>
    <row r="58" spans="4:4" x14ac:dyDescent="0.2">
      <c r="D58">
        <v>54</v>
      </c>
    </row>
    <row r="59" spans="4:4" x14ac:dyDescent="0.2">
      <c r="D59">
        <v>55</v>
      </c>
    </row>
    <row r="60" spans="4:4" x14ac:dyDescent="0.2">
      <c r="D60">
        <v>56</v>
      </c>
    </row>
    <row r="61" spans="4:4" x14ac:dyDescent="0.2">
      <c r="D61">
        <v>57</v>
      </c>
    </row>
    <row r="62" spans="4:4" x14ac:dyDescent="0.2">
      <c r="D62">
        <v>58</v>
      </c>
    </row>
    <row r="63" spans="4:4" x14ac:dyDescent="0.2">
      <c r="D63">
        <v>59</v>
      </c>
    </row>
    <row r="64" spans="4:4" x14ac:dyDescent="0.2">
      <c r="D64">
        <v>60</v>
      </c>
    </row>
    <row r="65" spans="4:4" x14ac:dyDescent="0.2">
      <c r="D65">
        <v>61</v>
      </c>
    </row>
    <row r="66" spans="4:4" x14ac:dyDescent="0.2">
      <c r="D66">
        <v>62</v>
      </c>
    </row>
    <row r="67" spans="4:4" x14ac:dyDescent="0.2">
      <c r="D67">
        <v>63</v>
      </c>
    </row>
    <row r="68" spans="4:4" x14ac:dyDescent="0.2">
      <c r="D68">
        <v>64</v>
      </c>
    </row>
    <row r="69" spans="4:4" x14ac:dyDescent="0.2">
      <c r="D69">
        <v>65</v>
      </c>
    </row>
    <row r="70" spans="4:4" x14ac:dyDescent="0.2">
      <c r="D70">
        <v>66</v>
      </c>
    </row>
    <row r="71" spans="4:4" x14ac:dyDescent="0.2">
      <c r="D71">
        <v>67</v>
      </c>
    </row>
    <row r="72" spans="4:4" x14ac:dyDescent="0.2">
      <c r="D72">
        <v>68</v>
      </c>
    </row>
    <row r="73" spans="4:4" x14ac:dyDescent="0.2">
      <c r="D73">
        <v>69</v>
      </c>
    </row>
    <row r="74" spans="4:4" x14ac:dyDescent="0.2">
      <c r="D74">
        <v>70</v>
      </c>
    </row>
    <row r="75" spans="4:4" x14ac:dyDescent="0.2">
      <c r="D75">
        <v>71</v>
      </c>
    </row>
    <row r="76" spans="4:4" x14ac:dyDescent="0.2">
      <c r="D76">
        <v>72</v>
      </c>
    </row>
    <row r="77" spans="4:4" x14ac:dyDescent="0.2">
      <c r="D77">
        <v>73</v>
      </c>
    </row>
    <row r="78" spans="4:4" x14ac:dyDescent="0.2">
      <c r="D78">
        <v>74</v>
      </c>
    </row>
    <row r="79" spans="4:4" x14ac:dyDescent="0.2">
      <c r="D79">
        <v>75</v>
      </c>
    </row>
    <row r="80" spans="4:4" x14ac:dyDescent="0.2">
      <c r="D80">
        <v>76</v>
      </c>
    </row>
    <row r="81" spans="4:4" x14ac:dyDescent="0.2">
      <c r="D81">
        <v>77</v>
      </c>
    </row>
    <row r="82" spans="4:4" x14ac:dyDescent="0.2">
      <c r="D82">
        <v>78</v>
      </c>
    </row>
    <row r="83" spans="4:4" x14ac:dyDescent="0.2">
      <c r="D83">
        <v>79</v>
      </c>
    </row>
    <row r="84" spans="4:4" x14ac:dyDescent="0.2">
      <c r="D84">
        <v>80</v>
      </c>
    </row>
    <row r="85" spans="4:4" x14ac:dyDescent="0.2">
      <c r="D85">
        <v>81</v>
      </c>
    </row>
    <row r="86" spans="4:4" x14ac:dyDescent="0.2">
      <c r="D86">
        <v>82</v>
      </c>
    </row>
    <row r="87" spans="4:4" x14ac:dyDescent="0.2">
      <c r="D87">
        <v>83</v>
      </c>
    </row>
    <row r="88" spans="4:4" x14ac:dyDescent="0.2">
      <c r="D88">
        <v>84</v>
      </c>
    </row>
    <row r="89" spans="4:4" x14ac:dyDescent="0.2">
      <c r="D89">
        <v>85</v>
      </c>
    </row>
    <row r="90" spans="4:4" x14ac:dyDescent="0.2">
      <c r="D90">
        <v>86</v>
      </c>
    </row>
    <row r="91" spans="4:4" x14ac:dyDescent="0.2">
      <c r="D91">
        <v>87</v>
      </c>
    </row>
    <row r="92" spans="4:4" x14ac:dyDescent="0.2">
      <c r="D92">
        <v>88</v>
      </c>
    </row>
    <row r="93" spans="4:4" x14ac:dyDescent="0.2">
      <c r="D93">
        <v>89</v>
      </c>
    </row>
    <row r="94" spans="4:4" x14ac:dyDescent="0.2">
      <c r="D94">
        <v>90</v>
      </c>
    </row>
    <row r="95" spans="4:4" x14ac:dyDescent="0.2">
      <c r="D95">
        <v>91</v>
      </c>
    </row>
    <row r="96" spans="4:4" x14ac:dyDescent="0.2">
      <c r="D96">
        <v>92</v>
      </c>
    </row>
    <row r="97" spans="4:4" x14ac:dyDescent="0.2">
      <c r="D97">
        <v>93</v>
      </c>
    </row>
    <row r="98" spans="4:4" x14ac:dyDescent="0.2">
      <c r="D98">
        <v>94</v>
      </c>
    </row>
    <row r="99" spans="4:4" x14ac:dyDescent="0.2">
      <c r="D99">
        <v>95</v>
      </c>
    </row>
    <row r="100" spans="4:4" x14ac:dyDescent="0.2">
      <c r="D100">
        <v>96</v>
      </c>
    </row>
    <row r="101" spans="4:4" x14ac:dyDescent="0.2">
      <c r="D101">
        <v>97</v>
      </c>
    </row>
    <row r="102" spans="4:4" x14ac:dyDescent="0.2">
      <c r="D102">
        <v>98</v>
      </c>
    </row>
    <row r="103" spans="4:4" x14ac:dyDescent="0.2">
      <c r="D103">
        <v>99</v>
      </c>
    </row>
    <row r="104" spans="4:4" x14ac:dyDescent="0.2">
      <c r="D104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Spreadsheet data</vt:lpstr>
      <vt:lpstr>Cozy farm</vt:lpstr>
      <vt:lpstr>Events data</vt:lpstr>
      <vt:lpstr>Monte carlo simulation</vt:lpstr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Zhien Sun</dc:creator>
  <dcterms:created xsi:type="dcterms:W3CDTF">2026-06-08T15:16:07Z</dcterms:created>
</cp:coreProperties>
</file>