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showInkAnnotation="0" defaultThemeVersion="202300"/>
  <xr:revisionPtr revIDLastSave="0" documentId="8_{EB8E44C9-5971-0B44-A878-BCCB42FF3445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Feuil1" sheetId="1" r:id="rId1"/>
    <sheet name="Cozy farm" sheetId="2" r:id="rId2"/>
    <sheet name="Feuil3" sheetId="3" r:id="rId3"/>
    <sheet name="Feuil2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4" l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O4" i="4"/>
  <c r="O6" i="4"/>
  <c r="H2" i="4"/>
  <c r="H5" i="4"/>
  <c r="H7" i="4"/>
  <c r="I2" i="4"/>
  <c r="I3" i="4"/>
  <c r="I4" i="4"/>
  <c r="I5" i="4"/>
  <c r="J5" i="4"/>
  <c r="K5" i="4"/>
  <c r="L5" i="4"/>
  <c r="L7" i="4"/>
  <c r="O5" i="4"/>
  <c r="O7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J863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16" i="4"/>
  <c r="J17" i="4"/>
  <c r="J18" i="4"/>
  <c r="J19" i="4"/>
  <c r="J20" i="4"/>
  <c r="J21" i="4"/>
  <c r="J22" i="4"/>
  <c r="J23" i="4"/>
  <c r="J12" i="4"/>
  <c r="J13" i="4"/>
  <c r="J14" i="4"/>
  <c r="J15" i="4"/>
  <c r="J11" i="4"/>
  <c r="N7" i="4"/>
  <c r="J7" i="4"/>
  <c r="K7" i="4"/>
  <c r="I7" i="4"/>
  <c r="H3" i="4"/>
  <c r="J3" i="4"/>
  <c r="K3" i="4"/>
  <c r="L3" i="4"/>
  <c r="H4" i="4"/>
  <c r="J4" i="4"/>
  <c r="K4" i="4"/>
  <c r="L4" i="4"/>
  <c r="J2" i="4"/>
  <c r="D32" i="4"/>
  <c r="K2" i="4"/>
  <c r="L2" i="4"/>
  <c r="AM4" i="1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4" i="3"/>
  <c r="U3" i="3"/>
  <c r="AR5" i="1"/>
  <c r="AQ5" i="1"/>
  <c r="AP5" i="1"/>
  <c r="AO5" i="1"/>
  <c r="AN5" i="1"/>
  <c r="AM5" i="1"/>
  <c r="W4" i="1"/>
  <c r="W5" i="1"/>
  <c r="W6" i="1"/>
  <c r="W7" i="1"/>
  <c r="Z4" i="1"/>
  <c r="AB4" i="1"/>
  <c r="AD4" i="1"/>
  <c r="AF4" i="1"/>
  <c r="AH4" i="1"/>
  <c r="AJ4" i="1"/>
  <c r="Z5" i="1"/>
  <c r="AB5" i="1"/>
  <c r="AD5" i="1"/>
  <c r="AF5" i="1"/>
  <c r="AH5" i="1"/>
  <c r="AJ5" i="1"/>
  <c r="Z6" i="1"/>
  <c r="AB6" i="1"/>
  <c r="AD6" i="1"/>
  <c r="AF6" i="1"/>
  <c r="AH6" i="1"/>
  <c r="AJ6" i="1"/>
  <c r="Z7" i="1"/>
  <c r="AB7" i="1"/>
  <c r="AD7" i="1"/>
  <c r="AF7" i="1"/>
  <c r="AH7" i="1"/>
  <c r="AJ7" i="1"/>
  <c r="W8" i="1"/>
  <c r="Z8" i="1"/>
  <c r="AB8" i="1"/>
  <c r="AD8" i="1"/>
  <c r="AF8" i="1"/>
  <c r="AH8" i="1"/>
  <c r="AJ8" i="1"/>
  <c r="W9" i="1"/>
  <c r="Z9" i="1"/>
  <c r="AB9" i="1"/>
  <c r="AD9" i="1"/>
  <c r="AF9" i="1"/>
  <c r="AH9" i="1"/>
  <c r="AJ9" i="1"/>
  <c r="W10" i="1"/>
  <c r="Z10" i="1"/>
  <c r="AB10" i="1"/>
  <c r="AD10" i="1"/>
  <c r="AF10" i="1"/>
  <c r="AH10" i="1"/>
  <c r="AJ10" i="1"/>
  <c r="W11" i="1"/>
  <c r="Z11" i="1"/>
  <c r="AB11" i="1"/>
  <c r="AD11" i="1"/>
  <c r="AF11" i="1"/>
  <c r="AH11" i="1"/>
  <c r="AJ11" i="1"/>
  <c r="W12" i="1"/>
  <c r="Z12" i="1"/>
  <c r="AB12" i="1"/>
  <c r="AD12" i="1"/>
  <c r="AF12" i="1"/>
  <c r="AH12" i="1"/>
  <c r="AJ12" i="1"/>
  <c r="W13" i="1"/>
  <c r="Z13" i="1"/>
  <c r="AB13" i="1"/>
  <c r="AD13" i="1"/>
  <c r="AF13" i="1"/>
  <c r="AH13" i="1"/>
  <c r="AJ13" i="1"/>
  <c r="W14" i="1"/>
  <c r="Z14" i="1"/>
  <c r="AB14" i="1"/>
  <c r="AD14" i="1"/>
  <c r="AF14" i="1"/>
  <c r="AH14" i="1"/>
  <c r="AJ14" i="1"/>
  <c r="W15" i="1"/>
  <c r="Z15" i="1"/>
  <c r="AB15" i="1"/>
  <c r="AD15" i="1"/>
  <c r="AF15" i="1"/>
  <c r="AH15" i="1"/>
  <c r="AJ15" i="1"/>
  <c r="W16" i="1"/>
  <c r="Z16" i="1"/>
  <c r="AB16" i="1"/>
  <c r="AD16" i="1"/>
  <c r="AF16" i="1"/>
  <c r="AH16" i="1"/>
  <c r="AJ16" i="1"/>
  <c r="W17" i="1"/>
  <c r="Z17" i="1"/>
  <c r="AB17" i="1"/>
  <c r="AD17" i="1"/>
  <c r="AF17" i="1"/>
  <c r="AH17" i="1"/>
  <c r="AJ17" i="1"/>
  <c r="W18" i="1"/>
  <c r="Z18" i="1"/>
  <c r="AB18" i="1"/>
  <c r="AD18" i="1"/>
  <c r="AF18" i="1"/>
  <c r="AH18" i="1"/>
  <c r="AJ18" i="1"/>
  <c r="W19" i="1"/>
  <c r="Z19" i="1"/>
  <c r="AB19" i="1"/>
  <c r="AD19" i="1"/>
  <c r="AF19" i="1"/>
  <c r="AH19" i="1"/>
  <c r="AJ19" i="1"/>
  <c r="W20" i="1"/>
  <c r="Z20" i="1"/>
  <c r="AB20" i="1"/>
  <c r="AD20" i="1"/>
  <c r="AF20" i="1"/>
  <c r="AH20" i="1"/>
  <c r="AJ20" i="1"/>
  <c r="W21" i="1"/>
  <c r="Z21" i="1"/>
  <c r="AB21" i="1"/>
  <c r="AD21" i="1"/>
  <c r="AF21" i="1"/>
  <c r="AH21" i="1"/>
  <c r="AJ21" i="1"/>
  <c r="W22" i="1"/>
  <c r="Z22" i="1"/>
  <c r="AB22" i="1"/>
  <c r="AD22" i="1"/>
  <c r="AF22" i="1"/>
  <c r="AH22" i="1"/>
  <c r="AJ22" i="1"/>
  <c r="W23" i="1"/>
  <c r="Z23" i="1"/>
  <c r="AB23" i="1"/>
  <c r="AD23" i="1"/>
  <c r="AF23" i="1"/>
  <c r="AH23" i="1"/>
  <c r="AJ23" i="1"/>
  <c r="W24" i="1"/>
  <c r="Z24" i="1"/>
  <c r="AB24" i="1"/>
  <c r="AD24" i="1"/>
  <c r="AF24" i="1"/>
  <c r="AH24" i="1"/>
  <c r="AJ24" i="1"/>
  <c r="W25" i="1"/>
  <c r="Z25" i="1"/>
  <c r="AB25" i="1"/>
  <c r="AD25" i="1"/>
  <c r="AF25" i="1"/>
  <c r="AH25" i="1"/>
  <c r="AJ25" i="1"/>
  <c r="W26" i="1"/>
  <c r="Z26" i="1"/>
  <c r="AB26" i="1"/>
  <c r="AD26" i="1"/>
  <c r="AF26" i="1"/>
  <c r="AH26" i="1"/>
  <c r="AJ26" i="1"/>
  <c r="W27" i="1"/>
  <c r="Z27" i="1"/>
  <c r="AB27" i="1"/>
  <c r="AD27" i="1"/>
  <c r="AF27" i="1"/>
  <c r="AH27" i="1"/>
  <c r="AJ27" i="1"/>
  <c r="W28" i="1"/>
  <c r="Z28" i="1"/>
  <c r="AB28" i="1"/>
  <c r="AD28" i="1"/>
  <c r="AF28" i="1"/>
  <c r="AH28" i="1"/>
  <c r="AJ28" i="1"/>
  <c r="W29" i="1"/>
  <c r="Z29" i="1"/>
  <c r="AB29" i="1"/>
  <c r="AD29" i="1"/>
  <c r="AF29" i="1"/>
  <c r="AH29" i="1"/>
  <c r="AJ29" i="1"/>
  <c r="W30" i="1"/>
  <c r="Z30" i="1"/>
  <c r="AB30" i="1"/>
  <c r="AD30" i="1"/>
  <c r="AF30" i="1"/>
  <c r="AH30" i="1"/>
  <c r="AJ30" i="1"/>
  <c r="W31" i="1"/>
  <c r="Z31" i="1"/>
  <c r="AB31" i="1"/>
  <c r="AD31" i="1"/>
  <c r="AF31" i="1"/>
  <c r="AH31" i="1"/>
  <c r="AJ31" i="1"/>
  <c r="W32" i="1"/>
  <c r="Z32" i="1"/>
  <c r="AB32" i="1"/>
  <c r="AD32" i="1"/>
  <c r="AF32" i="1"/>
  <c r="AH32" i="1"/>
  <c r="AJ32" i="1"/>
  <c r="W33" i="1"/>
  <c r="Z33" i="1"/>
  <c r="AB33" i="1"/>
  <c r="AD33" i="1"/>
  <c r="AF33" i="1"/>
  <c r="AH33" i="1"/>
  <c r="AJ33" i="1"/>
  <c r="W34" i="1"/>
  <c r="Z34" i="1"/>
  <c r="AB34" i="1"/>
  <c r="AD34" i="1"/>
  <c r="AF34" i="1"/>
  <c r="AH34" i="1"/>
  <c r="AJ34" i="1"/>
  <c r="W35" i="1"/>
  <c r="Z35" i="1"/>
  <c r="AB35" i="1"/>
  <c r="AD35" i="1"/>
  <c r="AF35" i="1"/>
  <c r="AH35" i="1"/>
  <c r="AJ35" i="1"/>
  <c r="W36" i="1"/>
  <c r="Z36" i="1"/>
  <c r="AB36" i="1"/>
  <c r="AD36" i="1"/>
  <c r="AF36" i="1"/>
  <c r="AH36" i="1"/>
  <c r="AJ36" i="1"/>
  <c r="W37" i="1"/>
  <c r="Z37" i="1"/>
  <c r="AB37" i="1"/>
  <c r="AD37" i="1"/>
  <c r="AF37" i="1"/>
  <c r="AH37" i="1"/>
  <c r="AJ37" i="1"/>
  <c r="W38" i="1"/>
  <c r="Z38" i="1"/>
  <c r="AB38" i="1"/>
  <c r="AD38" i="1"/>
  <c r="AF38" i="1"/>
  <c r="AH38" i="1"/>
  <c r="AJ38" i="1"/>
  <c r="W39" i="1"/>
  <c r="Z39" i="1"/>
  <c r="AB39" i="1"/>
  <c r="AD39" i="1"/>
  <c r="AF39" i="1"/>
  <c r="AH39" i="1"/>
  <c r="AJ39" i="1"/>
  <c r="W40" i="1"/>
  <c r="Z40" i="1"/>
  <c r="AB40" i="1"/>
  <c r="AD40" i="1"/>
  <c r="AF40" i="1"/>
  <c r="AH40" i="1"/>
  <c r="AJ40" i="1"/>
  <c r="W41" i="1"/>
  <c r="Z41" i="1"/>
  <c r="AB41" i="1"/>
  <c r="AD41" i="1"/>
  <c r="AF41" i="1"/>
  <c r="AH41" i="1"/>
  <c r="AJ41" i="1"/>
  <c r="W42" i="1"/>
  <c r="Z42" i="1"/>
  <c r="AB42" i="1"/>
  <c r="AD42" i="1"/>
  <c r="AF42" i="1"/>
  <c r="AH42" i="1"/>
  <c r="AJ42" i="1"/>
  <c r="W43" i="1"/>
  <c r="Z43" i="1"/>
  <c r="AB43" i="1"/>
  <c r="AD43" i="1"/>
  <c r="AF43" i="1"/>
  <c r="AH43" i="1"/>
  <c r="AJ43" i="1"/>
  <c r="W44" i="1"/>
  <c r="Z44" i="1"/>
  <c r="AB44" i="1"/>
  <c r="AD44" i="1"/>
  <c r="AF44" i="1"/>
  <c r="AH44" i="1"/>
  <c r="AJ44" i="1"/>
  <c r="W45" i="1"/>
  <c r="Z45" i="1"/>
  <c r="AB45" i="1"/>
  <c r="AD45" i="1"/>
  <c r="AF45" i="1"/>
  <c r="AH45" i="1"/>
  <c r="AJ45" i="1"/>
  <c r="W46" i="1"/>
  <c r="Z46" i="1"/>
  <c r="AB46" i="1"/>
  <c r="AD46" i="1"/>
  <c r="AF46" i="1"/>
  <c r="AH46" i="1"/>
  <c r="AJ46" i="1"/>
  <c r="W47" i="1"/>
  <c r="Z47" i="1"/>
  <c r="AB47" i="1"/>
  <c r="AD47" i="1"/>
  <c r="AF47" i="1"/>
  <c r="AH47" i="1"/>
  <c r="AJ47" i="1"/>
  <c r="W48" i="1"/>
  <c r="Z48" i="1"/>
  <c r="AB48" i="1"/>
  <c r="AD48" i="1"/>
  <c r="AF48" i="1"/>
  <c r="AH48" i="1"/>
  <c r="AJ48" i="1"/>
  <c r="W49" i="1"/>
  <c r="Z49" i="1"/>
  <c r="AB49" i="1"/>
  <c r="AD49" i="1"/>
  <c r="AF49" i="1"/>
  <c r="AH49" i="1"/>
  <c r="AJ49" i="1"/>
  <c r="W50" i="1"/>
  <c r="Z50" i="1"/>
  <c r="AB50" i="1"/>
  <c r="AD50" i="1"/>
  <c r="AF50" i="1"/>
  <c r="AH50" i="1"/>
  <c r="AJ50" i="1"/>
  <c r="W51" i="1"/>
  <c r="Z51" i="1"/>
  <c r="AB51" i="1"/>
  <c r="AD51" i="1"/>
  <c r="AF51" i="1"/>
  <c r="AH51" i="1"/>
  <c r="AJ51" i="1"/>
  <c r="W52" i="1"/>
  <c r="Z52" i="1"/>
  <c r="AB52" i="1"/>
  <c r="AD52" i="1"/>
  <c r="AF52" i="1"/>
  <c r="AH52" i="1"/>
  <c r="AJ52" i="1"/>
  <c r="W53" i="1"/>
  <c r="Z53" i="1"/>
  <c r="AB53" i="1"/>
  <c r="AD53" i="1"/>
  <c r="AF53" i="1"/>
  <c r="AH53" i="1"/>
  <c r="AJ53" i="1"/>
  <c r="W54" i="1"/>
  <c r="Z54" i="1"/>
  <c r="AB54" i="1"/>
  <c r="AD54" i="1"/>
  <c r="AF54" i="1"/>
  <c r="AH54" i="1"/>
  <c r="AJ54" i="1"/>
  <c r="W55" i="1"/>
  <c r="Z55" i="1"/>
  <c r="AB55" i="1"/>
  <c r="AD55" i="1"/>
  <c r="AF55" i="1"/>
  <c r="AH55" i="1"/>
  <c r="AJ55" i="1"/>
  <c r="W56" i="1"/>
  <c r="Z56" i="1"/>
  <c r="AB56" i="1"/>
  <c r="AD56" i="1"/>
  <c r="AF56" i="1"/>
  <c r="AH56" i="1"/>
  <c r="AJ56" i="1"/>
  <c r="W57" i="1"/>
  <c r="Z57" i="1"/>
  <c r="AB57" i="1"/>
  <c r="AD57" i="1"/>
  <c r="AF57" i="1"/>
  <c r="AH57" i="1"/>
  <c r="AJ57" i="1"/>
  <c r="W58" i="1"/>
  <c r="Z58" i="1"/>
  <c r="AB58" i="1"/>
  <c r="AD58" i="1"/>
  <c r="AF58" i="1"/>
  <c r="AH58" i="1"/>
  <c r="AJ58" i="1"/>
  <c r="W59" i="1"/>
  <c r="Z59" i="1"/>
  <c r="AB59" i="1"/>
  <c r="AD59" i="1"/>
  <c r="AF59" i="1"/>
  <c r="AH59" i="1"/>
  <c r="AJ59" i="1"/>
  <c r="W60" i="1"/>
  <c r="Z60" i="1"/>
  <c r="AB60" i="1"/>
  <c r="AD60" i="1"/>
  <c r="AF60" i="1"/>
  <c r="AH60" i="1"/>
  <c r="AJ60" i="1"/>
  <c r="W61" i="1"/>
  <c r="Z61" i="1"/>
  <c r="AB61" i="1"/>
  <c r="AD61" i="1"/>
  <c r="AF61" i="1"/>
  <c r="AH61" i="1"/>
  <c r="AJ61" i="1"/>
  <c r="W62" i="1"/>
  <c r="Z62" i="1"/>
  <c r="AB62" i="1"/>
  <c r="AD62" i="1"/>
  <c r="AF62" i="1"/>
  <c r="AH62" i="1"/>
  <c r="AJ62" i="1"/>
  <c r="W63" i="1"/>
  <c r="Z63" i="1"/>
  <c r="AB63" i="1"/>
  <c r="AD63" i="1"/>
  <c r="AF63" i="1"/>
  <c r="AH63" i="1"/>
  <c r="AJ63" i="1"/>
  <c r="W64" i="1"/>
  <c r="Z64" i="1"/>
  <c r="AB64" i="1"/>
  <c r="AD64" i="1"/>
  <c r="AF64" i="1"/>
  <c r="AH64" i="1"/>
  <c r="AJ64" i="1"/>
  <c r="W65" i="1"/>
  <c r="Z65" i="1"/>
  <c r="AB65" i="1"/>
  <c r="AD65" i="1"/>
  <c r="AF65" i="1"/>
  <c r="AH65" i="1"/>
  <c r="AJ65" i="1"/>
  <c r="W66" i="1"/>
  <c r="Z66" i="1"/>
  <c r="AB66" i="1"/>
  <c r="AD66" i="1"/>
  <c r="AF66" i="1"/>
  <c r="AH66" i="1"/>
  <c r="AJ66" i="1"/>
  <c r="W67" i="1"/>
  <c r="Z67" i="1"/>
  <c r="AB67" i="1"/>
  <c r="AD67" i="1"/>
  <c r="AF67" i="1"/>
  <c r="AH67" i="1"/>
  <c r="AJ67" i="1"/>
  <c r="W68" i="1"/>
  <c r="Z68" i="1"/>
  <c r="AB68" i="1"/>
  <c r="AD68" i="1"/>
  <c r="AF68" i="1"/>
  <c r="AH68" i="1"/>
  <c r="AJ68" i="1"/>
  <c r="W69" i="1"/>
  <c r="Z69" i="1"/>
  <c r="AB69" i="1"/>
  <c r="AD69" i="1"/>
  <c r="AF69" i="1"/>
  <c r="AH69" i="1"/>
  <c r="AJ69" i="1"/>
  <c r="W70" i="1"/>
  <c r="Z70" i="1"/>
  <c r="AB70" i="1"/>
  <c r="AD70" i="1"/>
  <c r="AF70" i="1"/>
  <c r="AH70" i="1"/>
  <c r="AJ70" i="1"/>
  <c r="W71" i="1"/>
  <c r="Z71" i="1"/>
  <c r="AB71" i="1"/>
  <c r="AD71" i="1"/>
  <c r="AF71" i="1"/>
  <c r="AH71" i="1"/>
  <c r="AJ71" i="1"/>
  <c r="W72" i="1"/>
  <c r="Z72" i="1"/>
  <c r="AB72" i="1"/>
  <c r="AD72" i="1"/>
  <c r="AF72" i="1"/>
  <c r="AH72" i="1"/>
  <c r="AJ72" i="1"/>
  <c r="W73" i="1"/>
  <c r="Z73" i="1"/>
  <c r="AB73" i="1"/>
  <c r="AD73" i="1"/>
  <c r="AF73" i="1"/>
  <c r="AH73" i="1"/>
  <c r="AJ73" i="1"/>
  <c r="W74" i="1"/>
  <c r="Z74" i="1"/>
  <c r="AB74" i="1"/>
  <c r="AD74" i="1"/>
  <c r="AF74" i="1"/>
  <c r="AH74" i="1"/>
  <c r="AJ74" i="1"/>
  <c r="W75" i="1"/>
  <c r="Z75" i="1"/>
  <c r="AB75" i="1"/>
  <c r="AD75" i="1"/>
  <c r="AF75" i="1"/>
  <c r="AH75" i="1"/>
  <c r="AJ75" i="1"/>
  <c r="W76" i="1"/>
  <c r="Z76" i="1"/>
  <c r="AB76" i="1"/>
  <c r="AD76" i="1"/>
  <c r="AF76" i="1"/>
  <c r="AH76" i="1"/>
  <c r="AJ76" i="1"/>
  <c r="W77" i="1"/>
  <c r="Z77" i="1"/>
  <c r="AB77" i="1"/>
  <c r="AD77" i="1"/>
  <c r="AF77" i="1"/>
  <c r="AH77" i="1"/>
  <c r="AJ77" i="1"/>
  <c r="W78" i="1"/>
  <c r="Z78" i="1"/>
  <c r="AB78" i="1"/>
  <c r="AD78" i="1"/>
  <c r="AF78" i="1"/>
  <c r="AH78" i="1"/>
  <c r="AJ78" i="1"/>
  <c r="W79" i="1"/>
  <c r="Z79" i="1"/>
  <c r="AB79" i="1"/>
  <c r="AD79" i="1"/>
  <c r="AF79" i="1"/>
  <c r="AH79" i="1"/>
  <c r="AJ79" i="1"/>
  <c r="W80" i="1"/>
  <c r="Z80" i="1"/>
  <c r="AB80" i="1"/>
  <c r="AD80" i="1"/>
  <c r="AF80" i="1"/>
  <c r="AH80" i="1"/>
  <c r="AJ80" i="1"/>
  <c r="W81" i="1"/>
  <c r="Z81" i="1"/>
  <c r="AB81" i="1"/>
  <c r="AD81" i="1"/>
  <c r="AF81" i="1"/>
  <c r="AH81" i="1"/>
  <c r="AJ81" i="1"/>
  <c r="W82" i="1"/>
  <c r="Z82" i="1"/>
  <c r="AB82" i="1"/>
  <c r="AD82" i="1"/>
  <c r="AF82" i="1"/>
  <c r="AH82" i="1"/>
  <c r="AJ82" i="1"/>
  <c r="W83" i="1"/>
  <c r="Z83" i="1"/>
  <c r="AB83" i="1"/>
  <c r="AD83" i="1"/>
  <c r="AF83" i="1"/>
  <c r="AH83" i="1"/>
  <c r="AJ83" i="1"/>
  <c r="W84" i="1"/>
  <c r="Z84" i="1"/>
  <c r="AB84" i="1"/>
  <c r="AD84" i="1"/>
  <c r="AF84" i="1"/>
  <c r="AH84" i="1"/>
  <c r="AJ84" i="1"/>
  <c r="W85" i="1"/>
  <c r="Z85" i="1"/>
  <c r="AB85" i="1"/>
  <c r="AD85" i="1"/>
  <c r="AF85" i="1"/>
  <c r="AH85" i="1"/>
  <c r="AJ85" i="1"/>
  <c r="W86" i="1"/>
  <c r="Z86" i="1"/>
  <c r="AB86" i="1"/>
  <c r="AD86" i="1"/>
  <c r="AF86" i="1"/>
  <c r="AH86" i="1"/>
  <c r="AJ86" i="1"/>
  <c r="W87" i="1"/>
  <c r="Z87" i="1"/>
  <c r="AB87" i="1"/>
  <c r="AD87" i="1"/>
  <c r="AF87" i="1"/>
  <c r="AH87" i="1"/>
  <c r="AJ87" i="1"/>
  <c r="W88" i="1"/>
  <c r="Z88" i="1"/>
  <c r="AB88" i="1"/>
  <c r="AD88" i="1"/>
  <c r="AF88" i="1"/>
  <c r="AH88" i="1"/>
  <c r="AJ88" i="1"/>
  <c r="W89" i="1"/>
  <c r="Z89" i="1"/>
  <c r="AB89" i="1"/>
  <c r="AD89" i="1"/>
  <c r="AF89" i="1"/>
  <c r="AH89" i="1"/>
  <c r="AJ89" i="1"/>
  <c r="W90" i="1"/>
  <c r="Z90" i="1"/>
  <c r="AB90" i="1"/>
  <c r="AD90" i="1"/>
  <c r="AF90" i="1"/>
  <c r="AH90" i="1"/>
  <c r="AJ90" i="1"/>
  <c r="W91" i="1"/>
  <c r="Z91" i="1"/>
  <c r="AB91" i="1"/>
  <c r="AD91" i="1"/>
  <c r="AF91" i="1"/>
  <c r="AH91" i="1"/>
  <c r="AJ91" i="1"/>
  <c r="W92" i="1"/>
  <c r="Z92" i="1"/>
  <c r="AB92" i="1"/>
  <c r="AD92" i="1"/>
  <c r="AF92" i="1"/>
  <c r="AH92" i="1"/>
  <c r="AJ92" i="1"/>
  <c r="W93" i="1"/>
  <c r="Z93" i="1"/>
  <c r="AB93" i="1"/>
  <c r="AD93" i="1"/>
  <c r="AF93" i="1"/>
  <c r="AH93" i="1"/>
  <c r="AJ93" i="1"/>
  <c r="W94" i="1"/>
  <c r="Z94" i="1"/>
  <c r="AB94" i="1"/>
  <c r="AD94" i="1"/>
  <c r="AF94" i="1"/>
  <c r="AH94" i="1"/>
  <c r="AJ94" i="1"/>
  <c r="W95" i="1"/>
  <c r="Z95" i="1"/>
  <c r="AB95" i="1"/>
  <c r="AD95" i="1"/>
  <c r="AF95" i="1"/>
  <c r="AH95" i="1"/>
  <c r="AJ95" i="1"/>
  <c r="W96" i="1"/>
  <c r="Z96" i="1"/>
  <c r="AB96" i="1"/>
  <c r="AD96" i="1"/>
  <c r="AF96" i="1"/>
  <c r="AH96" i="1"/>
  <c r="AJ96" i="1"/>
  <c r="W97" i="1"/>
  <c r="Z97" i="1"/>
  <c r="AB97" i="1"/>
  <c r="AD97" i="1"/>
  <c r="AF97" i="1"/>
  <c r="AH97" i="1"/>
  <c r="AJ97" i="1"/>
  <c r="W98" i="1"/>
  <c r="Z98" i="1"/>
  <c r="AB98" i="1"/>
  <c r="AD98" i="1"/>
  <c r="AF98" i="1"/>
  <c r="AH98" i="1"/>
  <c r="AJ98" i="1"/>
  <c r="W99" i="1"/>
  <c r="Z99" i="1"/>
  <c r="AB99" i="1"/>
  <c r="AD99" i="1"/>
  <c r="AF99" i="1"/>
  <c r="AH99" i="1"/>
  <c r="AJ99" i="1"/>
  <c r="W100" i="1"/>
  <c r="Z100" i="1"/>
  <c r="AB100" i="1"/>
  <c r="AD100" i="1"/>
  <c r="AF100" i="1"/>
  <c r="AH100" i="1"/>
  <c r="AJ100" i="1"/>
  <c r="W101" i="1"/>
  <c r="Z101" i="1"/>
  <c r="AB101" i="1"/>
  <c r="AD101" i="1"/>
  <c r="AF101" i="1"/>
  <c r="AH101" i="1"/>
  <c r="AJ101" i="1"/>
  <c r="W102" i="1"/>
  <c r="Z102" i="1"/>
  <c r="AB102" i="1"/>
  <c r="AD102" i="1"/>
  <c r="AF102" i="1"/>
  <c r="AH102" i="1"/>
  <c r="AJ102" i="1"/>
  <c r="W103" i="1"/>
  <c r="Z103" i="1"/>
  <c r="AB103" i="1"/>
  <c r="AD103" i="1"/>
  <c r="AF103" i="1"/>
  <c r="AH103" i="1"/>
  <c r="AJ103" i="1"/>
  <c r="W104" i="1"/>
  <c r="Z104" i="1"/>
  <c r="AB104" i="1"/>
  <c r="AD104" i="1"/>
  <c r="AF104" i="1"/>
  <c r="AH104" i="1"/>
  <c r="AJ104" i="1"/>
  <c r="W105" i="1"/>
  <c r="Z105" i="1"/>
  <c r="AB105" i="1"/>
  <c r="AD105" i="1"/>
  <c r="AF105" i="1"/>
  <c r="AH105" i="1"/>
  <c r="AJ105" i="1"/>
  <c r="W106" i="1"/>
  <c r="Z106" i="1"/>
  <c r="AB106" i="1"/>
  <c r="AD106" i="1"/>
  <c r="AF106" i="1"/>
  <c r="AH106" i="1"/>
  <c r="AJ106" i="1"/>
  <c r="W107" i="1"/>
  <c r="Z107" i="1"/>
  <c r="AB107" i="1"/>
  <c r="AD107" i="1"/>
  <c r="AF107" i="1"/>
  <c r="AH107" i="1"/>
  <c r="AJ107" i="1"/>
  <c r="W108" i="1"/>
  <c r="Z108" i="1"/>
  <c r="AB108" i="1"/>
  <c r="AD108" i="1"/>
  <c r="AF108" i="1"/>
  <c r="AH108" i="1"/>
  <c r="AJ108" i="1"/>
  <c r="W109" i="1"/>
  <c r="Z109" i="1"/>
  <c r="AB109" i="1"/>
  <c r="AD109" i="1"/>
  <c r="AF109" i="1"/>
  <c r="AH109" i="1"/>
  <c r="AJ109" i="1"/>
  <c r="W110" i="1"/>
  <c r="Z110" i="1"/>
  <c r="AB110" i="1"/>
  <c r="AD110" i="1"/>
  <c r="AF110" i="1"/>
  <c r="AH110" i="1"/>
  <c r="AJ110" i="1"/>
  <c r="W111" i="1"/>
  <c r="Z111" i="1"/>
  <c r="AB111" i="1"/>
  <c r="AD111" i="1"/>
  <c r="AF111" i="1"/>
  <c r="AH111" i="1"/>
  <c r="AJ111" i="1"/>
  <c r="W112" i="1"/>
  <c r="Z112" i="1"/>
  <c r="AB112" i="1"/>
  <c r="AD112" i="1"/>
  <c r="AF112" i="1"/>
  <c r="AH112" i="1"/>
  <c r="AJ112" i="1"/>
  <c r="W113" i="1"/>
  <c r="Z113" i="1"/>
  <c r="AB113" i="1"/>
  <c r="AD113" i="1"/>
  <c r="AF113" i="1"/>
  <c r="AH113" i="1"/>
  <c r="AJ113" i="1"/>
  <c r="W114" i="1"/>
  <c r="Z114" i="1"/>
  <c r="AB114" i="1"/>
  <c r="AD114" i="1"/>
  <c r="AF114" i="1"/>
  <c r="AH114" i="1"/>
  <c r="AJ114" i="1"/>
  <c r="W115" i="1"/>
  <c r="Z115" i="1"/>
  <c r="AB115" i="1"/>
  <c r="AD115" i="1"/>
  <c r="AF115" i="1"/>
  <c r="AH115" i="1"/>
  <c r="AJ115" i="1"/>
  <c r="W116" i="1"/>
  <c r="Z116" i="1"/>
  <c r="AB116" i="1"/>
  <c r="AD116" i="1"/>
  <c r="AF116" i="1"/>
  <c r="AH116" i="1"/>
  <c r="AJ116" i="1"/>
  <c r="W117" i="1"/>
  <c r="Z117" i="1"/>
  <c r="AB117" i="1"/>
  <c r="AD117" i="1"/>
  <c r="AF117" i="1"/>
  <c r="AH117" i="1"/>
  <c r="AJ117" i="1"/>
  <c r="W118" i="1"/>
  <c r="Z118" i="1"/>
  <c r="AB118" i="1"/>
  <c r="AD118" i="1"/>
  <c r="AF118" i="1"/>
  <c r="AH118" i="1"/>
  <c r="AJ118" i="1"/>
  <c r="W119" i="1"/>
  <c r="Z119" i="1"/>
  <c r="AB119" i="1"/>
  <c r="AD119" i="1"/>
  <c r="AF119" i="1"/>
  <c r="AH119" i="1"/>
  <c r="AJ119" i="1"/>
  <c r="W120" i="1"/>
  <c r="Z120" i="1"/>
  <c r="AB120" i="1"/>
  <c r="AD120" i="1"/>
  <c r="AF120" i="1"/>
  <c r="AH120" i="1"/>
  <c r="AJ120" i="1"/>
  <c r="W121" i="1"/>
  <c r="Z121" i="1"/>
  <c r="AB121" i="1"/>
  <c r="AD121" i="1"/>
  <c r="AF121" i="1"/>
  <c r="AH121" i="1"/>
  <c r="AJ121" i="1"/>
  <c r="W122" i="1"/>
  <c r="Z122" i="1"/>
  <c r="AB122" i="1"/>
  <c r="AD122" i="1"/>
  <c r="AF122" i="1"/>
  <c r="AH122" i="1"/>
  <c r="AJ122" i="1"/>
  <c r="W123" i="1"/>
  <c r="Z123" i="1"/>
  <c r="AB123" i="1"/>
  <c r="AD123" i="1"/>
  <c r="AF123" i="1"/>
  <c r="AH123" i="1"/>
  <c r="AJ123" i="1"/>
  <c r="W124" i="1"/>
  <c r="Z124" i="1"/>
  <c r="AB124" i="1"/>
  <c r="AD124" i="1"/>
  <c r="AF124" i="1"/>
  <c r="AH124" i="1"/>
  <c r="AJ124" i="1"/>
  <c r="W125" i="1"/>
  <c r="Z125" i="1"/>
  <c r="AB125" i="1"/>
  <c r="AD125" i="1"/>
  <c r="AF125" i="1"/>
  <c r="AH125" i="1"/>
  <c r="AJ125" i="1"/>
  <c r="W126" i="1"/>
  <c r="Z126" i="1"/>
  <c r="AB126" i="1"/>
  <c r="AD126" i="1"/>
  <c r="AF126" i="1"/>
  <c r="AH126" i="1"/>
  <c r="AJ126" i="1"/>
  <c r="W127" i="1"/>
  <c r="Z127" i="1"/>
  <c r="AB127" i="1"/>
  <c r="AD127" i="1"/>
  <c r="AF127" i="1"/>
  <c r="AH127" i="1"/>
  <c r="AJ127" i="1"/>
  <c r="W128" i="1"/>
  <c r="Z128" i="1"/>
  <c r="AB128" i="1"/>
  <c r="AD128" i="1"/>
  <c r="AF128" i="1"/>
  <c r="AH128" i="1"/>
  <c r="AJ128" i="1"/>
  <c r="W129" i="1"/>
  <c r="Z129" i="1"/>
  <c r="AB129" i="1"/>
  <c r="AD129" i="1"/>
  <c r="AF129" i="1"/>
  <c r="AH129" i="1"/>
  <c r="AJ129" i="1"/>
  <c r="W130" i="1"/>
  <c r="Z130" i="1"/>
  <c r="AB130" i="1"/>
  <c r="AD130" i="1"/>
  <c r="AF130" i="1"/>
  <c r="AH130" i="1"/>
  <c r="AJ130" i="1"/>
  <c r="W131" i="1"/>
  <c r="Z131" i="1"/>
  <c r="AB131" i="1"/>
  <c r="AD131" i="1"/>
  <c r="AF131" i="1"/>
  <c r="AH131" i="1"/>
  <c r="AJ131" i="1"/>
  <c r="W132" i="1"/>
  <c r="Z132" i="1"/>
  <c r="AB132" i="1"/>
  <c r="AD132" i="1"/>
  <c r="AF132" i="1"/>
  <c r="AH132" i="1"/>
  <c r="AJ132" i="1"/>
  <c r="W133" i="1"/>
  <c r="Z133" i="1"/>
  <c r="AB133" i="1"/>
  <c r="AD133" i="1"/>
  <c r="AF133" i="1"/>
  <c r="AH133" i="1"/>
  <c r="AJ133" i="1"/>
  <c r="W134" i="1"/>
  <c r="Z134" i="1"/>
  <c r="AB134" i="1"/>
  <c r="AD134" i="1"/>
  <c r="AF134" i="1"/>
  <c r="AH134" i="1"/>
  <c r="AJ134" i="1"/>
  <c r="W135" i="1"/>
  <c r="Z135" i="1"/>
  <c r="AB135" i="1"/>
  <c r="AD135" i="1"/>
  <c r="AF135" i="1"/>
  <c r="AH135" i="1"/>
  <c r="AJ135" i="1"/>
  <c r="W136" i="1"/>
  <c r="Z136" i="1"/>
  <c r="AB136" i="1"/>
  <c r="AD136" i="1"/>
  <c r="AF136" i="1"/>
  <c r="AH136" i="1"/>
  <c r="AJ136" i="1"/>
  <c r="W137" i="1"/>
  <c r="Z137" i="1"/>
  <c r="AB137" i="1"/>
  <c r="AD137" i="1"/>
  <c r="AF137" i="1"/>
  <c r="AH137" i="1"/>
  <c r="AJ137" i="1"/>
  <c r="W138" i="1"/>
  <c r="Z138" i="1"/>
  <c r="AB138" i="1"/>
  <c r="AD138" i="1"/>
  <c r="AF138" i="1"/>
  <c r="AH138" i="1"/>
  <c r="AJ138" i="1"/>
  <c r="W139" i="1"/>
  <c r="Z139" i="1"/>
  <c r="AB139" i="1"/>
  <c r="AD139" i="1"/>
  <c r="AF139" i="1"/>
  <c r="AH139" i="1"/>
  <c r="AJ139" i="1"/>
  <c r="W140" i="1"/>
  <c r="Z140" i="1"/>
  <c r="AB140" i="1"/>
  <c r="AD140" i="1"/>
  <c r="AF140" i="1"/>
  <c r="AH140" i="1"/>
  <c r="AJ140" i="1"/>
  <c r="W141" i="1"/>
  <c r="Z141" i="1"/>
  <c r="AB141" i="1"/>
  <c r="AD141" i="1"/>
  <c r="AF141" i="1"/>
  <c r="AH141" i="1"/>
  <c r="AJ141" i="1"/>
  <c r="W142" i="1"/>
  <c r="Z142" i="1"/>
  <c r="AB142" i="1"/>
  <c r="AD142" i="1"/>
  <c r="AF142" i="1"/>
  <c r="AH142" i="1"/>
  <c r="AJ142" i="1"/>
  <c r="W143" i="1"/>
  <c r="Z143" i="1"/>
  <c r="AB143" i="1"/>
  <c r="AD143" i="1"/>
  <c r="AF143" i="1"/>
  <c r="AH143" i="1"/>
  <c r="AJ143" i="1"/>
  <c r="W144" i="1"/>
  <c r="Z144" i="1"/>
  <c r="AB144" i="1"/>
  <c r="AD144" i="1"/>
  <c r="AF144" i="1"/>
  <c r="AH144" i="1"/>
  <c r="AJ144" i="1"/>
  <c r="W145" i="1"/>
  <c r="Z145" i="1"/>
  <c r="AB145" i="1"/>
  <c r="AD145" i="1"/>
  <c r="AF145" i="1"/>
  <c r="AH145" i="1"/>
  <c r="AJ145" i="1"/>
  <c r="W146" i="1"/>
  <c r="Z146" i="1"/>
  <c r="AB146" i="1"/>
  <c r="AD146" i="1"/>
  <c r="AF146" i="1"/>
  <c r="AH146" i="1"/>
  <c r="AJ146" i="1"/>
  <c r="W147" i="1"/>
  <c r="Z147" i="1"/>
  <c r="AB147" i="1"/>
  <c r="AD147" i="1"/>
  <c r="AF147" i="1"/>
  <c r="AH147" i="1"/>
  <c r="AJ147" i="1"/>
  <c r="W148" i="1"/>
  <c r="Z148" i="1"/>
  <c r="AB148" i="1"/>
  <c r="AD148" i="1"/>
  <c r="AF148" i="1"/>
  <c r="AH148" i="1"/>
  <c r="AJ148" i="1"/>
  <c r="W149" i="1"/>
  <c r="Z149" i="1"/>
  <c r="AB149" i="1"/>
  <c r="AD149" i="1"/>
  <c r="AF149" i="1"/>
  <c r="AH149" i="1"/>
  <c r="AJ149" i="1"/>
  <c r="W150" i="1"/>
  <c r="Z150" i="1"/>
  <c r="AB150" i="1"/>
  <c r="AD150" i="1"/>
  <c r="AF150" i="1"/>
  <c r="AH150" i="1"/>
  <c r="AJ150" i="1"/>
  <c r="W151" i="1"/>
  <c r="Z151" i="1"/>
  <c r="AB151" i="1"/>
  <c r="AD151" i="1"/>
  <c r="AF151" i="1"/>
  <c r="AH151" i="1"/>
  <c r="AJ151" i="1"/>
  <c r="W152" i="1"/>
  <c r="Z152" i="1"/>
  <c r="AB152" i="1"/>
  <c r="AD152" i="1"/>
  <c r="AF152" i="1"/>
  <c r="AH152" i="1"/>
  <c r="AJ152" i="1"/>
  <c r="W153" i="1"/>
  <c r="Z153" i="1"/>
  <c r="AB153" i="1"/>
  <c r="AD153" i="1"/>
  <c r="AF153" i="1"/>
  <c r="AH153" i="1"/>
  <c r="AJ153" i="1"/>
  <c r="W154" i="1"/>
  <c r="Z154" i="1"/>
  <c r="AB154" i="1"/>
  <c r="AD154" i="1"/>
  <c r="AF154" i="1"/>
  <c r="AH154" i="1"/>
  <c r="AJ154" i="1"/>
  <c r="W155" i="1"/>
  <c r="Z155" i="1"/>
  <c r="AB155" i="1"/>
  <c r="AD155" i="1"/>
  <c r="AF155" i="1"/>
  <c r="AH155" i="1"/>
  <c r="AJ155" i="1"/>
  <c r="W156" i="1"/>
  <c r="Z156" i="1"/>
  <c r="AB156" i="1"/>
  <c r="AD156" i="1"/>
  <c r="AF156" i="1"/>
  <c r="AH156" i="1"/>
  <c r="AJ156" i="1"/>
  <c r="W157" i="1"/>
  <c r="Z157" i="1"/>
  <c r="AB157" i="1"/>
  <c r="AD157" i="1"/>
  <c r="AF157" i="1"/>
  <c r="AH157" i="1"/>
  <c r="AJ157" i="1"/>
  <c r="W158" i="1"/>
  <c r="Z158" i="1"/>
  <c r="AB158" i="1"/>
  <c r="AD158" i="1"/>
  <c r="AF158" i="1"/>
  <c r="AH158" i="1"/>
  <c r="AJ158" i="1"/>
  <c r="W159" i="1"/>
  <c r="Z159" i="1"/>
  <c r="AB159" i="1"/>
  <c r="AD159" i="1"/>
  <c r="AF159" i="1"/>
  <c r="AH159" i="1"/>
  <c r="AJ159" i="1"/>
  <c r="W160" i="1"/>
  <c r="Z160" i="1"/>
  <c r="AB160" i="1"/>
  <c r="AD160" i="1"/>
  <c r="AF160" i="1"/>
  <c r="AH160" i="1"/>
  <c r="AJ160" i="1"/>
  <c r="W161" i="1"/>
  <c r="Z161" i="1"/>
  <c r="AB161" i="1"/>
  <c r="AD161" i="1"/>
  <c r="AF161" i="1"/>
  <c r="AH161" i="1"/>
  <c r="AJ161" i="1"/>
  <c r="W162" i="1"/>
  <c r="Z162" i="1"/>
  <c r="AB162" i="1"/>
  <c r="AD162" i="1"/>
  <c r="AF162" i="1"/>
  <c r="AH162" i="1"/>
  <c r="AJ162" i="1"/>
  <c r="W163" i="1"/>
  <c r="Z163" i="1"/>
  <c r="AB163" i="1"/>
  <c r="AD163" i="1"/>
  <c r="AF163" i="1"/>
  <c r="AH163" i="1"/>
  <c r="AJ163" i="1"/>
  <c r="W164" i="1"/>
  <c r="Z164" i="1"/>
  <c r="AB164" i="1"/>
  <c r="AD164" i="1"/>
  <c r="AF164" i="1"/>
  <c r="AH164" i="1"/>
  <c r="AJ164" i="1"/>
  <c r="W165" i="1"/>
  <c r="Z165" i="1"/>
  <c r="AB165" i="1"/>
  <c r="AD165" i="1"/>
  <c r="AF165" i="1"/>
  <c r="AH165" i="1"/>
  <c r="AJ165" i="1"/>
  <c r="W166" i="1"/>
  <c r="Z166" i="1"/>
  <c r="AB166" i="1"/>
  <c r="AD166" i="1"/>
  <c r="AF166" i="1"/>
  <c r="AH166" i="1"/>
  <c r="AJ166" i="1"/>
  <c r="W167" i="1"/>
  <c r="Z167" i="1"/>
  <c r="AB167" i="1"/>
  <c r="AD167" i="1"/>
  <c r="AF167" i="1"/>
  <c r="AH167" i="1"/>
  <c r="AJ167" i="1"/>
  <c r="W168" i="1"/>
  <c r="Z168" i="1"/>
  <c r="AB168" i="1"/>
  <c r="AD168" i="1"/>
  <c r="AF168" i="1"/>
  <c r="AH168" i="1"/>
  <c r="AJ168" i="1"/>
  <c r="W169" i="1"/>
  <c r="Z169" i="1"/>
  <c r="AB169" i="1"/>
  <c r="AD169" i="1"/>
  <c r="AF169" i="1"/>
  <c r="AH169" i="1"/>
  <c r="AJ169" i="1"/>
  <c r="W170" i="1"/>
  <c r="Z170" i="1"/>
  <c r="AB170" i="1"/>
  <c r="AD170" i="1"/>
  <c r="AF170" i="1"/>
  <c r="AH170" i="1"/>
  <c r="AJ170" i="1"/>
  <c r="W171" i="1"/>
  <c r="Z171" i="1"/>
  <c r="AB171" i="1"/>
  <c r="AD171" i="1"/>
  <c r="AF171" i="1"/>
  <c r="AH171" i="1"/>
  <c r="AJ171" i="1"/>
  <c r="W172" i="1"/>
  <c r="Z172" i="1"/>
  <c r="AB172" i="1"/>
  <c r="AD172" i="1"/>
  <c r="AF172" i="1"/>
  <c r="AH172" i="1"/>
  <c r="AJ172" i="1"/>
  <c r="W173" i="1"/>
  <c r="Z173" i="1"/>
  <c r="AB173" i="1"/>
  <c r="AD173" i="1"/>
  <c r="AF173" i="1"/>
  <c r="AH173" i="1"/>
  <c r="AJ173" i="1"/>
  <c r="W174" i="1"/>
  <c r="Z174" i="1"/>
  <c r="AB174" i="1"/>
  <c r="AD174" i="1"/>
  <c r="AF174" i="1"/>
  <c r="AH174" i="1"/>
  <c r="AJ174" i="1"/>
  <c r="W175" i="1"/>
  <c r="Z175" i="1"/>
  <c r="AB175" i="1"/>
  <c r="AD175" i="1"/>
  <c r="AF175" i="1"/>
  <c r="AH175" i="1"/>
  <c r="AJ175" i="1"/>
  <c r="W176" i="1"/>
  <c r="Z176" i="1"/>
  <c r="AB176" i="1"/>
  <c r="AD176" i="1"/>
  <c r="AF176" i="1"/>
  <c r="AH176" i="1"/>
  <c r="AJ176" i="1"/>
  <c r="W177" i="1"/>
  <c r="Z177" i="1"/>
  <c r="AB177" i="1"/>
  <c r="AD177" i="1"/>
  <c r="AF177" i="1"/>
  <c r="AH177" i="1"/>
  <c r="AJ177" i="1"/>
  <c r="W178" i="1"/>
  <c r="Z178" i="1"/>
  <c r="AB178" i="1"/>
  <c r="AD178" i="1"/>
  <c r="AF178" i="1"/>
  <c r="AH178" i="1"/>
  <c r="AJ178" i="1"/>
  <c r="W179" i="1"/>
  <c r="Z179" i="1"/>
  <c r="AB179" i="1"/>
  <c r="AD179" i="1"/>
  <c r="AF179" i="1"/>
  <c r="AH179" i="1"/>
  <c r="AJ179" i="1"/>
  <c r="W180" i="1"/>
  <c r="Z180" i="1"/>
  <c r="AB180" i="1"/>
  <c r="AD180" i="1"/>
  <c r="AF180" i="1"/>
  <c r="AH180" i="1"/>
  <c r="AJ180" i="1"/>
  <c r="W181" i="1"/>
  <c r="Z181" i="1"/>
  <c r="AB181" i="1"/>
  <c r="AD181" i="1"/>
  <c r="AF181" i="1"/>
  <c r="AH181" i="1"/>
  <c r="AJ181" i="1"/>
  <c r="W182" i="1"/>
  <c r="Z182" i="1"/>
  <c r="AB182" i="1"/>
  <c r="AD182" i="1"/>
  <c r="AF182" i="1"/>
  <c r="AH182" i="1"/>
  <c r="AJ182" i="1"/>
  <c r="W183" i="1"/>
  <c r="Z183" i="1"/>
  <c r="AB183" i="1"/>
  <c r="AD183" i="1"/>
  <c r="AF183" i="1"/>
  <c r="AH183" i="1"/>
  <c r="AJ183" i="1"/>
  <c r="W184" i="1"/>
  <c r="Z184" i="1"/>
  <c r="AB184" i="1"/>
  <c r="AD184" i="1"/>
  <c r="AF184" i="1"/>
  <c r="AH184" i="1"/>
  <c r="AJ184" i="1"/>
  <c r="W185" i="1"/>
  <c r="Z185" i="1"/>
  <c r="AB185" i="1"/>
  <c r="AD185" i="1"/>
  <c r="AF185" i="1"/>
  <c r="AH185" i="1"/>
  <c r="AJ185" i="1"/>
  <c r="W186" i="1"/>
  <c r="Z186" i="1"/>
  <c r="AB186" i="1"/>
  <c r="AD186" i="1"/>
  <c r="AF186" i="1"/>
  <c r="AH186" i="1"/>
  <c r="AJ186" i="1"/>
  <c r="W187" i="1"/>
  <c r="Z187" i="1"/>
  <c r="AB187" i="1"/>
  <c r="AD187" i="1"/>
  <c r="AF187" i="1"/>
  <c r="AH187" i="1"/>
  <c r="AJ187" i="1"/>
  <c r="W188" i="1"/>
  <c r="Z188" i="1"/>
  <c r="AB188" i="1"/>
  <c r="AD188" i="1"/>
  <c r="AF188" i="1"/>
  <c r="AH188" i="1"/>
  <c r="AJ188" i="1"/>
  <c r="W189" i="1"/>
  <c r="Z189" i="1"/>
  <c r="AB189" i="1"/>
  <c r="AD189" i="1"/>
  <c r="AF189" i="1"/>
  <c r="AH189" i="1"/>
  <c r="AJ189" i="1"/>
  <c r="W190" i="1"/>
  <c r="Z190" i="1"/>
  <c r="AB190" i="1"/>
  <c r="AD190" i="1"/>
  <c r="AF190" i="1"/>
  <c r="AH190" i="1"/>
  <c r="AJ190" i="1"/>
  <c r="W191" i="1"/>
  <c r="Z191" i="1"/>
  <c r="AB191" i="1"/>
  <c r="AD191" i="1"/>
  <c r="AF191" i="1"/>
  <c r="AH191" i="1"/>
  <c r="AJ191" i="1"/>
  <c r="W192" i="1"/>
  <c r="Z192" i="1"/>
  <c r="AB192" i="1"/>
  <c r="AD192" i="1"/>
  <c r="AF192" i="1"/>
  <c r="AH192" i="1"/>
  <c r="AJ192" i="1"/>
  <c r="W193" i="1"/>
  <c r="Z193" i="1"/>
  <c r="AB193" i="1"/>
  <c r="AD193" i="1"/>
  <c r="AF193" i="1"/>
  <c r="AH193" i="1"/>
  <c r="AJ193" i="1"/>
  <c r="W194" i="1"/>
  <c r="Z194" i="1"/>
  <c r="AB194" i="1"/>
  <c r="AD194" i="1"/>
  <c r="AF194" i="1"/>
  <c r="AH194" i="1"/>
  <c r="AJ194" i="1"/>
  <c r="W195" i="1"/>
  <c r="Z195" i="1"/>
  <c r="AB195" i="1"/>
  <c r="AD195" i="1"/>
  <c r="AF195" i="1"/>
  <c r="AH195" i="1"/>
  <c r="AJ195" i="1"/>
  <c r="W196" i="1"/>
  <c r="Z196" i="1"/>
  <c r="AB196" i="1"/>
  <c r="AD196" i="1"/>
  <c r="AF196" i="1"/>
  <c r="AH196" i="1"/>
  <c r="AJ196" i="1"/>
  <c r="W197" i="1"/>
  <c r="Z197" i="1"/>
  <c r="AB197" i="1"/>
  <c r="AD197" i="1"/>
  <c r="AF197" i="1"/>
  <c r="AH197" i="1"/>
  <c r="AJ197" i="1"/>
  <c r="W198" i="1"/>
  <c r="Z198" i="1"/>
  <c r="AB198" i="1"/>
  <c r="AD198" i="1"/>
  <c r="AF198" i="1"/>
  <c r="AH198" i="1"/>
  <c r="AJ198" i="1"/>
  <c r="W199" i="1"/>
  <c r="Z199" i="1"/>
  <c r="AB199" i="1"/>
  <c r="AD199" i="1"/>
  <c r="AF199" i="1"/>
  <c r="AH199" i="1"/>
  <c r="AJ199" i="1"/>
  <c r="W200" i="1"/>
  <c r="Z200" i="1"/>
  <c r="AB200" i="1"/>
  <c r="AD200" i="1"/>
  <c r="AF200" i="1"/>
  <c r="AH200" i="1"/>
  <c r="AJ200" i="1"/>
  <c r="W201" i="1"/>
  <c r="Z201" i="1"/>
  <c r="AB201" i="1"/>
  <c r="AD201" i="1"/>
  <c r="AF201" i="1"/>
  <c r="AH201" i="1"/>
  <c r="AJ201" i="1"/>
  <c r="W202" i="1"/>
  <c r="Z202" i="1"/>
  <c r="AB202" i="1"/>
  <c r="AD202" i="1"/>
  <c r="AF202" i="1"/>
  <c r="AH202" i="1"/>
  <c r="AJ202" i="1"/>
  <c r="W203" i="1"/>
  <c r="Z203" i="1"/>
  <c r="AB203" i="1"/>
  <c r="AD203" i="1"/>
  <c r="AF203" i="1"/>
  <c r="AH203" i="1"/>
  <c r="AJ203" i="1"/>
  <c r="W204" i="1"/>
  <c r="Z204" i="1"/>
  <c r="AB204" i="1"/>
  <c r="AD204" i="1"/>
  <c r="AF204" i="1"/>
  <c r="AH204" i="1"/>
  <c r="AJ204" i="1"/>
  <c r="W205" i="1"/>
  <c r="Z205" i="1"/>
  <c r="AB205" i="1"/>
  <c r="AD205" i="1"/>
  <c r="AF205" i="1"/>
  <c r="AH205" i="1"/>
  <c r="AJ205" i="1"/>
  <c r="W206" i="1"/>
  <c r="Z206" i="1"/>
  <c r="AB206" i="1"/>
  <c r="AD206" i="1"/>
  <c r="AF206" i="1"/>
  <c r="AH206" i="1"/>
  <c r="AJ206" i="1"/>
  <c r="W207" i="1"/>
  <c r="Z207" i="1"/>
  <c r="AB207" i="1"/>
  <c r="AD207" i="1"/>
  <c r="AF207" i="1"/>
  <c r="AH207" i="1"/>
  <c r="AJ207" i="1"/>
  <c r="W208" i="1"/>
  <c r="Z208" i="1"/>
  <c r="AB208" i="1"/>
  <c r="AD208" i="1"/>
  <c r="AF208" i="1"/>
  <c r="AH208" i="1"/>
  <c r="AJ208" i="1"/>
  <c r="W209" i="1"/>
  <c r="Z209" i="1"/>
  <c r="AB209" i="1"/>
  <c r="AD209" i="1"/>
  <c r="AF209" i="1"/>
  <c r="AH209" i="1"/>
  <c r="AJ209" i="1"/>
  <c r="W210" i="1"/>
  <c r="Z210" i="1"/>
  <c r="AB210" i="1"/>
  <c r="AD210" i="1"/>
  <c r="AF210" i="1"/>
  <c r="AH210" i="1"/>
  <c r="AJ210" i="1"/>
  <c r="W211" i="1"/>
  <c r="Z211" i="1"/>
  <c r="AB211" i="1"/>
  <c r="AD211" i="1"/>
  <c r="AF211" i="1"/>
  <c r="AH211" i="1"/>
  <c r="AJ211" i="1"/>
  <c r="W212" i="1"/>
  <c r="Z212" i="1"/>
  <c r="AB212" i="1"/>
  <c r="AD212" i="1"/>
  <c r="AF212" i="1"/>
  <c r="AH212" i="1"/>
  <c r="AJ212" i="1"/>
  <c r="W213" i="1"/>
  <c r="Z213" i="1"/>
  <c r="AB213" i="1"/>
  <c r="AD213" i="1"/>
  <c r="AF213" i="1"/>
  <c r="AH213" i="1"/>
  <c r="AJ213" i="1"/>
  <c r="W214" i="1"/>
  <c r="Z214" i="1"/>
  <c r="AB214" i="1"/>
  <c r="AD214" i="1"/>
  <c r="AF214" i="1"/>
  <c r="AH214" i="1"/>
  <c r="AJ214" i="1"/>
  <c r="W215" i="1"/>
  <c r="Z215" i="1"/>
  <c r="AB215" i="1"/>
  <c r="AD215" i="1"/>
  <c r="AF215" i="1"/>
  <c r="AH215" i="1"/>
  <c r="AJ215" i="1"/>
  <c r="W216" i="1"/>
  <c r="Z216" i="1"/>
  <c r="AB216" i="1"/>
  <c r="AD216" i="1"/>
  <c r="AF216" i="1"/>
  <c r="AH216" i="1"/>
  <c r="AJ216" i="1"/>
  <c r="W217" i="1"/>
  <c r="Z217" i="1"/>
  <c r="AB217" i="1"/>
  <c r="AD217" i="1"/>
  <c r="AF217" i="1"/>
  <c r="AH217" i="1"/>
  <c r="AJ217" i="1"/>
  <c r="W218" i="1"/>
  <c r="Z218" i="1"/>
  <c r="AB218" i="1"/>
  <c r="AD218" i="1"/>
  <c r="AF218" i="1"/>
  <c r="AH218" i="1"/>
  <c r="AJ218" i="1"/>
  <c r="AR6" i="1"/>
  <c r="AR4" i="1"/>
  <c r="AR7" i="1"/>
  <c r="AQ6" i="1"/>
  <c r="AQ4" i="1"/>
  <c r="AQ7" i="1"/>
  <c r="AP6" i="1"/>
  <c r="AP4" i="1"/>
  <c r="AP7" i="1"/>
  <c r="AO6" i="1"/>
  <c r="AO4" i="1"/>
  <c r="AO7" i="1"/>
  <c r="AN6" i="1"/>
  <c r="AN4" i="1"/>
  <c r="AN7" i="1"/>
  <c r="AM6" i="1"/>
  <c r="AM7" i="1"/>
  <c r="AR3" i="1"/>
  <c r="AQ3" i="1"/>
  <c r="AP3" i="1"/>
  <c r="AO3" i="1"/>
  <c r="AN3" i="1"/>
  <c r="AM3" i="1"/>
  <c r="O119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Q54" i="1"/>
  <c r="Q53" i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R53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O54" i="1"/>
  <c r="O53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P53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M80" i="1"/>
  <c r="N80" i="1"/>
  <c r="M79" i="1"/>
  <c r="N79" i="1"/>
  <c r="M78" i="1"/>
  <c r="N78" i="1"/>
  <c r="M77" i="1"/>
  <c r="N77" i="1"/>
  <c r="M76" i="1"/>
  <c r="N76" i="1"/>
  <c r="M75" i="1"/>
  <c r="N75" i="1"/>
  <c r="M74" i="1"/>
  <c r="N74" i="1"/>
  <c r="M73" i="1"/>
  <c r="N73" i="1"/>
  <c r="M72" i="1"/>
  <c r="N72" i="1"/>
  <c r="M71" i="1"/>
  <c r="N71" i="1"/>
  <c r="M70" i="1"/>
  <c r="N70" i="1"/>
  <c r="M69" i="1"/>
  <c r="N69" i="1"/>
  <c r="M68" i="1"/>
  <c r="N68" i="1"/>
  <c r="M67" i="1"/>
  <c r="N67" i="1"/>
  <c r="M66" i="1"/>
  <c r="N66" i="1"/>
  <c r="M65" i="1"/>
  <c r="N65" i="1"/>
  <c r="M64" i="1"/>
  <c r="N64" i="1"/>
  <c r="M63" i="1"/>
  <c r="N63" i="1"/>
  <c r="M62" i="1"/>
  <c r="N62" i="1"/>
  <c r="M61" i="1"/>
  <c r="N61" i="1"/>
  <c r="M60" i="1"/>
  <c r="N60" i="1"/>
  <c r="M59" i="1"/>
  <c r="N59" i="1"/>
  <c r="M58" i="1"/>
  <c r="N58" i="1"/>
  <c r="M57" i="1"/>
  <c r="N57" i="1"/>
  <c r="M56" i="1"/>
  <c r="N56" i="1"/>
  <c r="M55" i="1"/>
  <c r="N55" i="1"/>
  <c r="M54" i="1"/>
  <c r="N54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44" i="1"/>
  <c r="N44" i="1"/>
  <c r="M45" i="1"/>
  <c r="N45" i="1"/>
  <c r="M43" i="1"/>
  <c r="N43" i="1"/>
  <c r="AD7" i="3"/>
  <c r="V3" i="3"/>
  <c r="V102" i="3"/>
  <c r="V101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4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X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3" i="1"/>
  <c r="N3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E3" i="3"/>
  <c r="E4" i="3"/>
  <c r="E5" i="3"/>
  <c r="E6" i="3"/>
  <c r="E7" i="3"/>
  <c r="E8" i="3"/>
  <c r="E9" i="3"/>
  <c r="E10" i="3"/>
  <c r="E11" i="3"/>
  <c r="B12" i="3"/>
  <c r="E12" i="3"/>
  <c r="B13" i="3"/>
  <c r="E13" i="3"/>
  <c r="B14" i="3"/>
  <c r="E14" i="3"/>
  <c r="B15" i="3"/>
  <c r="E15" i="3"/>
  <c r="B16" i="3"/>
  <c r="E16" i="3"/>
  <c r="B17" i="3"/>
  <c r="E17" i="3"/>
  <c r="B18" i="3"/>
  <c r="E18" i="3"/>
  <c r="B19" i="3"/>
  <c r="E19" i="3"/>
  <c r="B20" i="3"/>
  <c r="E20" i="3"/>
  <c r="B21" i="3"/>
  <c r="E21" i="3"/>
  <c r="B22" i="3"/>
  <c r="E22" i="3"/>
  <c r="B23" i="3"/>
  <c r="E23" i="3"/>
  <c r="B24" i="3"/>
  <c r="E24" i="3"/>
  <c r="B25" i="3"/>
  <c r="E25" i="3"/>
  <c r="B26" i="3"/>
  <c r="E26" i="3"/>
  <c r="B27" i="3"/>
  <c r="E27" i="3"/>
  <c r="B28" i="3"/>
  <c r="E28" i="3"/>
  <c r="B29" i="3"/>
  <c r="E29" i="3"/>
  <c r="B30" i="3"/>
  <c r="E30" i="3"/>
  <c r="B31" i="3"/>
  <c r="E31" i="3"/>
  <c r="B32" i="3"/>
  <c r="E32" i="3"/>
  <c r="B33" i="3"/>
  <c r="E33" i="3"/>
  <c r="B34" i="3"/>
  <c r="E34" i="3"/>
  <c r="B35" i="3"/>
  <c r="E35" i="3"/>
  <c r="B36" i="3"/>
  <c r="E36" i="3"/>
  <c r="B37" i="3"/>
  <c r="E37" i="3"/>
  <c r="B38" i="3"/>
  <c r="E38" i="3"/>
  <c r="B39" i="3"/>
  <c r="E39" i="3"/>
  <c r="B40" i="3"/>
  <c r="E40" i="3"/>
  <c r="B41" i="3"/>
  <c r="E41" i="3"/>
  <c r="B42" i="3"/>
  <c r="E42" i="3"/>
  <c r="B43" i="3"/>
  <c r="E43" i="3"/>
  <c r="B44" i="3"/>
  <c r="E44" i="3"/>
  <c r="B45" i="3"/>
  <c r="E45" i="3"/>
  <c r="B46" i="3"/>
  <c r="E46" i="3"/>
  <c r="B47" i="3"/>
  <c r="E47" i="3"/>
  <c r="B48" i="3"/>
  <c r="E48" i="3"/>
  <c r="B49" i="3"/>
  <c r="E49" i="3"/>
  <c r="B50" i="3"/>
  <c r="E50" i="3"/>
  <c r="B51" i="3"/>
  <c r="E51" i="3"/>
  <c r="B52" i="3"/>
  <c r="E52" i="3"/>
  <c r="B53" i="3"/>
  <c r="E53" i="3"/>
  <c r="B54" i="3"/>
  <c r="E54" i="3"/>
  <c r="B55" i="3"/>
  <c r="E55" i="3"/>
  <c r="B56" i="3"/>
  <c r="E56" i="3"/>
  <c r="B57" i="3"/>
  <c r="E57" i="3"/>
  <c r="B58" i="3"/>
  <c r="E58" i="3"/>
  <c r="B59" i="3"/>
  <c r="E59" i="3"/>
  <c r="B60" i="3"/>
  <c r="E60" i="3"/>
  <c r="B61" i="3"/>
  <c r="E61" i="3"/>
  <c r="B62" i="3"/>
  <c r="E62" i="3"/>
  <c r="B63" i="3"/>
  <c r="E63" i="3"/>
  <c r="B64" i="3"/>
  <c r="E64" i="3"/>
  <c r="B65" i="3"/>
  <c r="E65" i="3"/>
  <c r="B66" i="3"/>
  <c r="E66" i="3"/>
  <c r="B67" i="3"/>
  <c r="E67" i="3"/>
  <c r="B68" i="3"/>
  <c r="E68" i="3"/>
  <c r="B69" i="3"/>
  <c r="E69" i="3"/>
  <c r="B70" i="3"/>
  <c r="E70" i="3"/>
  <c r="B71" i="3"/>
  <c r="E71" i="3"/>
  <c r="B72" i="3"/>
  <c r="E72" i="3"/>
  <c r="AI4" i="2"/>
  <c r="AI5" i="2"/>
  <c r="AI6" i="2"/>
  <c r="AI7" i="2"/>
  <c r="AI8" i="2"/>
  <c r="AI9" i="2"/>
  <c r="AH4" i="2"/>
  <c r="AH5" i="2"/>
  <c r="AH6" i="2"/>
  <c r="AH7" i="2"/>
  <c r="AH8" i="2"/>
  <c r="AH9" i="2"/>
  <c r="AH11" i="2"/>
  <c r="AI11" i="2"/>
  <c r="I29" i="2"/>
  <c r="AD3" i="2"/>
  <c r="AD4" i="2"/>
  <c r="AC3" i="2"/>
  <c r="AC4" i="2"/>
  <c r="AB3" i="2"/>
  <c r="AB4" i="2"/>
  <c r="AA3" i="2"/>
  <c r="AA4" i="2"/>
  <c r="T6" i="2"/>
  <c r="T8" i="2"/>
  <c r="T14" i="2"/>
  <c r="T13" i="2"/>
  <c r="T10" i="2"/>
  <c r="T17" i="2"/>
  <c r="T15" i="2"/>
  <c r="T3" i="2"/>
  <c r="T4" i="2"/>
  <c r="T16" i="2"/>
  <c r="T23" i="2"/>
  <c r="T7" i="2"/>
  <c r="T9" i="2"/>
  <c r="T27" i="2"/>
  <c r="T18" i="2"/>
  <c r="T19" i="2"/>
  <c r="T28" i="2"/>
  <c r="T25" i="2"/>
  <c r="T12" i="2"/>
  <c r="T21" i="2"/>
  <c r="T22" i="2"/>
  <c r="T5" i="2"/>
  <c r="T26" i="2"/>
  <c r="T11" i="2"/>
  <c r="T20" i="2"/>
  <c r="T24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V7" i="2"/>
  <c r="V5" i="2"/>
  <c r="V14" i="2"/>
  <c r="V19" i="2"/>
  <c r="V11" i="2"/>
  <c r="V17" i="2"/>
  <c r="V20" i="2"/>
  <c r="V4" i="2"/>
  <c r="V9" i="2"/>
  <c r="V15" i="2"/>
  <c r="V16" i="2"/>
  <c r="V12" i="2"/>
  <c r="V3" i="2"/>
  <c r="V6" i="2"/>
  <c r="V28" i="2"/>
  <c r="V18" i="2"/>
  <c r="V13" i="2"/>
  <c r="V21" i="2"/>
  <c r="V24" i="2"/>
  <c r="V22" i="2"/>
  <c r="V23" i="2"/>
  <c r="V8" i="2"/>
  <c r="V26" i="2"/>
  <c r="V10" i="2"/>
  <c r="V25" i="2"/>
  <c r="V27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P3" i="2"/>
  <c r="P5" i="2"/>
  <c r="P19" i="2"/>
  <c r="P15" i="2"/>
  <c r="P23" i="2"/>
  <c r="P8" i="2"/>
  <c r="P7" i="2"/>
  <c r="P4" i="2"/>
  <c r="P18" i="2"/>
  <c r="P6" i="2"/>
  <c r="P24" i="2"/>
  <c r="P16" i="2"/>
  <c r="P27" i="2"/>
  <c r="P13" i="2"/>
  <c r="P25" i="2"/>
  <c r="P11" i="2"/>
  <c r="P9" i="2"/>
  <c r="P10" i="2"/>
  <c r="P14" i="2"/>
  <c r="P21" i="2"/>
  <c r="P22" i="2"/>
  <c r="P12" i="2"/>
  <c r="P17" i="2"/>
  <c r="P26" i="2"/>
  <c r="P20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R6" i="2"/>
  <c r="R8" i="2"/>
  <c r="R14" i="2"/>
  <c r="R13" i="2"/>
  <c r="R10" i="2"/>
  <c r="R17" i="2"/>
  <c r="R15" i="2"/>
  <c r="R3" i="2"/>
  <c r="R4" i="2"/>
  <c r="R16" i="2"/>
  <c r="R23" i="2"/>
  <c r="R7" i="2"/>
  <c r="R9" i="2"/>
  <c r="R27" i="2"/>
  <c r="R18" i="2"/>
  <c r="R19" i="2"/>
  <c r="R28" i="2"/>
  <c r="R25" i="2"/>
  <c r="R12" i="2"/>
  <c r="R21" i="2"/>
  <c r="R22" i="2"/>
  <c r="R5" i="2"/>
  <c r="R26" i="2"/>
  <c r="R11" i="2"/>
  <c r="R20" i="2"/>
  <c r="R24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N4" i="2"/>
  <c r="N18" i="2"/>
  <c r="N14" i="2"/>
  <c r="N10" i="2"/>
  <c r="N7" i="2"/>
  <c r="N26" i="2"/>
  <c r="N11" i="2"/>
  <c r="N8" i="2"/>
  <c r="N3" i="2"/>
  <c r="N22" i="2"/>
  <c r="N28" i="2"/>
  <c r="N15" i="2"/>
  <c r="N9" i="2"/>
  <c r="N16" i="2"/>
  <c r="N6" i="2"/>
  <c r="N19" i="2"/>
  <c r="N12" i="2"/>
  <c r="N17" i="2"/>
  <c r="N13" i="2"/>
  <c r="N20" i="2"/>
  <c r="N21" i="2"/>
  <c r="N5" i="2"/>
  <c r="N25" i="2"/>
  <c r="N27" i="2"/>
  <c r="N23" i="2"/>
  <c r="N24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L15" i="2"/>
  <c r="L6" i="2"/>
  <c r="L3" i="2"/>
  <c r="L7" i="2"/>
  <c r="L12" i="2"/>
  <c r="L13" i="2"/>
  <c r="L26" i="2"/>
  <c r="L4" i="2"/>
  <c r="L5" i="2"/>
  <c r="L11" i="2"/>
  <c r="L16" i="2"/>
  <c r="L20" i="2"/>
  <c r="L8" i="2"/>
  <c r="L23" i="2"/>
  <c r="L17" i="2"/>
  <c r="L10" i="2"/>
  <c r="L19" i="2"/>
  <c r="L25" i="2"/>
  <c r="L28" i="2"/>
  <c r="L21" i="2"/>
  <c r="L22" i="2"/>
  <c r="L9" i="2"/>
  <c r="L27" i="2"/>
  <c r="L18" i="2"/>
  <c r="L14" i="2"/>
  <c r="L24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8" i="2"/>
  <c r="I25" i="2"/>
  <c r="I16" i="2"/>
  <c r="I27" i="2"/>
  <c r="I7" i="2"/>
  <c r="I23" i="2"/>
  <c r="I22" i="2"/>
  <c r="I24" i="2"/>
  <c r="I26" i="2"/>
  <c r="I19" i="2"/>
  <c r="I20" i="2"/>
  <c r="I21" i="2"/>
  <c r="I17" i="2"/>
  <c r="I9" i="2"/>
  <c r="I8" i="2"/>
  <c r="I15" i="2"/>
  <c r="I14" i="2"/>
  <c r="I5" i="2"/>
  <c r="I4" i="2"/>
  <c r="I18" i="2"/>
  <c r="I13" i="2"/>
  <c r="I11" i="2"/>
  <c r="I12" i="2"/>
  <c r="I10" i="2"/>
  <c r="Z3" i="2"/>
  <c r="Z4" i="2"/>
  <c r="Y3" i="2"/>
  <c r="Y4" i="2"/>
  <c r="I6" i="2"/>
  <c r="I3" i="2"/>
  <c r="AU3" i="2"/>
  <c r="AU56" i="2"/>
  <c r="AU35" i="2"/>
  <c r="AU60" i="2"/>
  <c r="AU22" i="2"/>
  <c r="AU41" i="2"/>
  <c r="AU7" i="2"/>
  <c r="AU63" i="2"/>
  <c r="AU40" i="2"/>
  <c r="AU20" i="2"/>
  <c r="AU25" i="2"/>
  <c r="AU26" i="2"/>
  <c r="AU48" i="2"/>
  <c r="AU32" i="2"/>
  <c r="AU24" i="2"/>
  <c r="AU36" i="2"/>
  <c r="AU43" i="2"/>
  <c r="AU29" i="2"/>
  <c r="AU37" i="2"/>
  <c r="AU38" i="2"/>
  <c r="AU55" i="2"/>
  <c r="AU8" i="2"/>
  <c r="AU61" i="2"/>
  <c r="AU59" i="2"/>
  <c r="AU46" i="2"/>
  <c r="AU42" i="2"/>
  <c r="AU57" i="2"/>
  <c r="AU62" i="2"/>
  <c r="AU15" i="2"/>
  <c r="AU11" i="2"/>
  <c r="AU21" i="2"/>
  <c r="AU14" i="2"/>
  <c r="AU27" i="2"/>
  <c r="AU33" i="2"/>
  <c r="AU39" i="2"/>
  <c r="AU12" i="2"/>
  <c r="AU45" i="2"/>
  <c r="AU31" i="2"/>
  <c r="AU44" i="2"/>
  <c r="AU49" i="2"/>
  <c r="AU13" i="2"/>
  <c r="AU47" i="2"/>
  <c r="AU34" i="2"/>
  <c r="AU51" i="2"/>
  <c r="AU6" i="2"/>
  <c r="AU52" i="2"/>
  <c r="AU53" i="2"/>
  <c r="AU19" i="2"/>
  <c r="AU16" i="2"/>
  <c r="AU58" i="2"/>
  <c r="AU54" i="2"/>
  <c r="AU50" i="2"/>
  <c r="AU30" i="2"/>
  <c r="AU28" i="2"/>
  <c r="AU5" i="2"/>
  <c r="AU23" i="2"/>
  <c r="AU9" i="2"/>
  <c r="AU10" i="2"/>
  <c r="AU4" i="2"/>
  <c r="AU18" i="2"/>
  <c r="AU17" i="2"/>
  <c r="BM3" i="2"/>
  <c r="BM4" i="2"/>
  <c r="BL3" i="2"/>
  <c r="BL4" i="2"/>
  <c r="BK3" i="2"/>
  <c r="BK4" i="2"/>
  <c r="BJ3" i="2"/>
  <c r="BJ4" i="2"/>
  <c r="BI3" i="2"/>
  <c r="BI4" i="2"/>
  <c r="I27" i="1"/>
  <c r="I28" i="1"/>
  <c r="I29" i="1"/>
  <c r="I30" i="1"/>
  <c r="I31" i="1"/>
  <c r="I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sharedStrings.xml><?xml version="1.0" encoding="utf-8"?>
<sst xmlns="http://schemas.openxmlformats.org/spreadsheetml/2006/main" count="407" uniqueCount="226">
  <si>
    <t>Ordinary</t>
  </si>
  <si>
    <t>Psycho</t>
  </si>
  <si>
    <t>Fisherman</t>
  </si>
  <si>
    <t>Matchstick</t>
  </si>
  <si>
    <t>Plant</t>
  </si>
  <si>
    <t>Miner</t>
  </si>
  <si>
    <t>Rocker</t>
  </si>
  <si>
    <t>Tumbleweed</t>
  </si>
  <si>
    <t>Cowboy</t>
  </si>
  <si>
    <t>Junker</t>
  </si>
  <si>
    <t>Landlady</t>
  </si>
  <si>
    <t>Nurse</t>
  </si>
  <si>
    <t>Patient</t>
  </si>
  <si>
    <t>Firehead</t>
  </si>
  <si>
    <t>Clerk</t>
  </si>
  <si>
    <t>Digger</t>
  </si>
  <si>
    <t>Hockey</t>
  </si>
  <si>
    <t>Hanger-On</t>
  </si>
  <si>
    <t>Shotgun</t>
  </si>
  <si>
    <t>Brick</t>
  </si>
  <si>
    <t>Battery</t>
  </si>
  <si>
    <t>Kindling</t>
  </si>
  <si>
    <t>Bugler</t>
  </si>
  <si>
    <t>Two-Headed</t>
  </si>
  <si>
    <t>Pop Star</t>
  </si>
  <si>
    <t>Road Bully</t>
  </si>
  <si>
    <t>Tipsy</t>
  </si>
  <si>
    <t>Manager</t>
  </si>
  <si>
    <t>Shocker</t>
  </si>
  <si>
    <t>Shaman</t>
  </si>
  <si>
    <t>Zobo</t>
  </si>
  <si>
    <t>Kill %</t>
  </si>
  <si>
    <t>Goonch</t>
  </si>
  <si>
    <t>Moy chest</t>
  </si>
  <si>
    <t>55 soda</t>
  </si>
  <si>
    <t>165 soda</t>
  </si>
  <si>
    <t>100 soda</t>
  </si>
  <si>
    <t>Player id</t>
  </si>
  <si>
    <t>Dragon fruit</t>
  </si>
  <si>
    <t>Bamboo shoot</t>
  </si>
  <si>
    <t>Carrot</t>
  </si>
  <si>
    <t>Phantom fruit</t>
  </si>
  <si>
    <t>Clocko fruit</t>
  </si>
  <si>
    <t>Max val</t>
  </si>
  <si>
    <t>ID</t>
  </si>
  <si>
    <t>Score</t>
  </si>
  <si>
    <t>WB</t>
  </si>
  <si>
    <t>Average</t>
  </si>
  <si>
    <t>Cherry</t>
  </si>
  <si>
    <t>P</t>
  </si>
  <si>
    <t>E(X)</t>
  </si>
  <si>
    <t>X</t>
  </si>
  <si>
    <t>E(X^2)</t>
  </si>
  <si>
    <t>Std</t>
  </si>
  <si>
    <t>V</t>
  </si>
  <si>
    <t>Fishing</t>
  </si>
  <si>
    <t>WB+</t>
  </si>
  <si>
    <t>PB+</t>
  </si>
  <si>
    <t>PB</t>
  </si>
  <si>
    <t>Mini event</t>
  </si>
  <si>
    <t>Points</t>
  </si>
  <si>
    <t>Points+</t>
  </si>
  <si>
    <t>Rewards</t>
  </si>
  <si>
    <t>CP</t>
  </si>
  <si>
    <t>CP+</t>
  </si>
  <si>
    <t>PB need</t>
  </si>
  <si>
    <t>CAP</t>
  </si>
  <si>
    <t>CAP+</t>
  </si>
  <si>
    <t>Avg P</t>
  </si>
  <si>
    <t>Zobo shooter</t>
  </si>
  <si>
    <t>2k</t>
  </si>
  <si>
    <t>0,15k</t>
  </si>
  <si>
    <t>3,2k</t>
  </si>
  <si>
    <t>4,2k</t>
  </si>
  <si>
    <t>5,3k</t>
  </si>
  <si>
    <t>6,3k</t>
  </si>
  <si>
    <t>7,4k</t>
  </si>
  <si>
    <t>8,4k</t>
  </si>
  <si>
    <t>9,6k</t>
  </si>
  <si>
    <t>10,6k</t>
  </si>
  <si>
    <t>11,8k</t>
  </si>
  <si>
    <t>12,8k</t>
  </si>
  <si>
    <t>13,9k</t>
  </si>
  <si>
    <t>15,1k</t>
  </si>
  <si>
    <t>16k</t>
  </si>
  <si>
    <t>7,1k</t>
  </si>
  <si>
    <t>18,2k</t>
  </si>
  <si>
    <t>19,3k</t>
  </si>
  <si>
    <t>20k</t>
  </si>
  <si>
    <t>21,9k</t>
  </si>
  <si>
    <t>23k</t>
  </si>
  <si>
    <t>24k</t>
  </si>
  <si>
    <t>25,1k</t>
  </si>
  <si>
    <t>26k</t>
  </si>
  <si>
    <t>27k</t>
  </si>
  <si>
    <t>33,2k</t>
  </si>
  <si>
    <t>35,1k</t>
  </si>
  <si>
    <t>37k</t>
  </si>
  <si>
    <t>41,1k</t>
  </si>
  <si>
    <t>42,9k</t>
  </si>
  <si>
    <t>44,7k</t>
  </si>
  <si>
    <t>53,4k</t>
  </si>
  <si>
    <t>57,6k</t>
  </si>
  <si>
    <t>59,8k</t>
  </si>
  <si>
    <t>66,09k</t>
  </si>
  <si>
    <t>70,3k</t>
  </si>
  <si>
    <t>74,5k</t>
  </si>
  <si>
    <t>76,09k</t>
  </si>
  <si>
    <t>88k</t>
  </si>
  <si>
    <t>95k</t>
  </si>
  <si>
    <t>105k</t>
  </si>
  <si>
    <t>112k</t>
  </si>
  <si>
    <t>119k</t>
  </si>
  <si>
    <t>125k</t>
  </si>
  <si>
    <t xml:space="preserve"> 130k</t>
  </si>
  <si>
    <t>136k</t>
  </si>
  <si>
    <t>142k</t>
  </si>
  <si>
    <t>149k</t>
  </si>
  <si>
    <t>156k</t>
  </si>
  <si>
    <t>160k</t>
  </si>
  <si>
    <t>165k</t>
  </si>
  <si>
    <t>172k</t>
  </si>
  <si>
    <t>179k</t>
  </si>
  <si>
    <t>185k</t>
  </si>
  <si>
    <t>189k</t>
  </si>
  <si>
    <t>227k</t>
  </si>
  <si>
    <t>260k</t>
  </si>
  <si>
    <t>291k</t>
  </si>
  <si>
    <t>322k</t>
  </si>
  <si>
    <t>353k</t>
  </si>
  <si>
    <t>386k</t>
  </si>
  <si>
    <t>418k</t>
  </si>
  <si>
    <t>448k</t>
  </si>
  <si>
    <t>479k</t>
  </si>
  <si>
    <t>512k</t>
  </si>
  <si>
    <t>542k</t>
  </si>
  <si>
    <t>573k</t>
  </si>
  <si>
    <t>603k</t>
  </si>
  <si>
    <t>636k</t>
  </si>
  <si>
    <t>666k</t>
  </si>
  <si>
    <t>697k</t>
  </si>
  <si>
    <t>728k</t>
  </si>
  <si>
    <t>758k</t>
  </si>
  <si>
    <t>789k</t>
  </si>
  <si>
    <t>819k</t>
  </si>
  <si>
    <t>848k</t>
  </si>
  <si>
    <t>879k</t>
  </si>
  <si>
    <t>910k</t>
  </si>
  <si>
    <t>939k</t>
  </si>
  <si>
    <t>968k</t>
  </si>
  <si>
    <t>997k</t>
  </si>
  <si>
    <t>1020k</t>
  </si>
  <si>
    <t>1050k</t>
  </si>
  <si>
    <t>1080k</t>
  </si>
  <si>
    <t>1130k</t>
  </si>
  <si>
    <t>1160k</t>
  </si>
  <si>
    <t>1190k</t>
  </si>
  <si>
    <t>1220k</t>
  </si>
  <si>
    <t>1250k</t>
  </si>
  <si>
    <t>1280k</t>
  </si>
  <si>
    <t>1310k</t>
  </si>
  <si>
    <t>1330k</t>
  </si>
  <si>
    <t>1360k</t>
  </si>
  <si>
    <t>1390k</t>
  </si>
  <si>
    <t>1420k</t>
  </si>
  <si>
    <t>1450k</t>
  </si>
  <si>
    <t>PBN +263%</t>
  </si>
  <si>
    <t>99k</t>
  </si>
  <si>
    <t>1110k</t>
  </si>
  <si>
    <t>64,09k</t>
  </si>
  <si>
    <t>48,5k</t>
  </si>
  <si>
    <t>Cozy farm</t>
  </si>
  <si>
    <t>200 soda</t>
  </si>
  <si>
    <t>80 PB</t>
  </si>
  <si>
    <t>120 PB</t>
  </si>
  <si>
    <t>200 PB</t>
  </si>
  <si>
    <t>500 PB</t>
  </si>
  <si>
    <t>300 PB</t>
  </si>
  <si>
    <t>25 CP</t>
  </si>
  <si>
    <t>10 CP</t>
  </si>
  <si>
    <t>5 CP</t>
  </si>
  <si>
    <t>20 CP</t>
  </si>
  <si>
    <t xml:space="preserve">Candy </t>
  </si>
  <si>
    <t xml:space="preserve">X2 </t>
  </si>
  <si>
    <t xml:space="preserve">Pack </t>
  </si>
  <si>
    <t xml:space="preserve">Event </t>
  </si>
  <si>
    <t xml:space="preserve">Candy  </t>
  </si>
  <si>
    <t xml:space="preserve">Card </t>
  </si>
  <si>
    <t>1000 PB</t>
  </si>
  <si>
    <t xml:space="preserve">Bpack </t>
  </si>
  <si>
    <t>140 PB</t>
  </si>
  <si>
    <t>30 CP</t>
  </si>
  <si>
    <t>480 PB</t>
  </si>
  <si>
    <t>5 CO</t>
  </si>
  <si>
    <t>600 PB</t>
  </si>
  <si>
    <t>180 soda</t>
  </si>
  <si>
    <t>450 PB</t>
  </si>
  <si>
    <t>15 CP</t>
  </si>
  <si>
    <t>280 PB</t>
  </si>
  <si>
    <t xml:space="preserve">Visit </t>
  </si>
  <si>
    <t xml:space="preserve">Feed </t>
  </si>
  <si>
    <t xml:space="preserve">Duel </t>
  </si>
  <si>
    <t xml:space="preserve">Raid </t>
  </si>
  <si>
    <t>Star</t>
  </si>
  <si>
    <t>Candy</t>
  </si>
  <si>
    <t>Card</t>
  </si>
  <si>
    <t>Raid</t>
  </si>
  <si>
    <t>Duel</t>
  </si>
  <si>
    <t>Feed</t>
  </si>
  <si>
    <t>Visit</t>
  </si>
  <si>
    <t>41-0</t>
  </si>
  <si>
    <t>60-10</t>
  </si>
  <si>
    <t>% increase</t>
  </si>
  <si>
    <t>Stage</t>
  </si>
  <si>
    <t>Fert +192%</t>
  </si>
  <si>
    <t>Variance</t>
  </si>
  <si>
    <t>Tatari tier</t>
  </si>
  <si>
    <t>Tier choice</t>
  </si>
  <si>
    <t>Sim #</t>
  </si>
  <si>
    <t>Nb try</t>
  </si>
  <si>
    <t>Success</t>
  </si>
  <si>
    <t>Nb success</t>
  </si>
  <si>
    <t>% success</t>
  </si>
  <si>
    <t>Sim</t>
  </si>
  <si>
    <t>Z</t>
  </si>
  <si>
    <t>F9 to refresh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</si>
</sst>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/>
      <top style="medium">
        <color rgb="FF505050"/>
      </top>
      <bottom/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10" fontId="0" fillId="0" borderId="0" xfId="0" applyNumberFormat="1"/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textRotation="90"/>
    </xf>
    <xf numFmtId="0" fontId="1" fillId="2" borderId="2" xfId="0" applyFont="1" applyFill="1" applyBorder="1" applyAlignment="1">
      <alignment textRotation="90"/>
    </xf>
    <xf numFmtId="0" fontId="0" fillId="3" borderId="1" xfId="0" applyFont="1" applyFill="1" applyBorder="1"/>
    <xf numFmtId="0" fontId="0" fillId="0" borderId="1" xfId="0" applyFont="1" applyBorder="1"/>
    <xf numFmtId="0" fontId="1" fillId="2" borderId="3" xfId="0" applyFont="1" applyFill="1" applyBorder="1" applyAlignment="1">
      <alignment textRotation="90"/>
    </xf>
    <xf numFmtId="0" fontId="0" fillId="3" borderId="4" xfId="0" applyFont="1" applyFill="1" applyBorder="1"/>
    <xf numFmtId="0" fontId="0" fillId="0" borderId="4" xfId="0" applyFont="1" applyBorder="1"/>
    <xf numFmtId="0" fontId="0" fillId="4" borderId="0" xfId="0" applyFill="1"/>
    <xf numFmtId="9" fontId="0" fillId="0" borderId="0" xfId="0" applyNumberFormat="1"/>
    <xf numFmtId="0" fontId="0" fillId="6" borderId="5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9" xfId="0" applyFill="1" applyBorder="1"/>
    <xf numFmtId="0" fontId="0" fillId="5" borderId="21" xfId="0" applyFill="1" applyBorder="1"/>
    <xf numFmtId="0" fontId="0" fillId="5" borderId="23" xfId="0" applyFill="1" applyBorder="1"/>
    <xf numFmtId="0" fontId="0" fillId="6" borderId="28" xfId="0" applyFill="1" applyBorder="1"/>
    <xf numFmtId="0" fontId="0" fillId="6" borderId="29" xfId="0" applyFill="1" applyBorder="1"/>
    <xf numFmtId="0" fontId="0" fillId="6" borderId="30" xfId="0" applyFill="1" applyBorder="1"/>
    <xf numFmtId="0" fontId="0" fillId="5" borderId="20" xfId="0" applyFill="1" applyBorder="1"/>
    <xf numFmtId="0" fontId="0" fillId="5" borderId="11" xfId="0" applyFill="1" applyBorder="1"/>
    <xf numFmtId="0" fontId="0" fillId="5" borderId="32" xfId="0" applyFill="1" applyBorder="1"/>
    <xf numFmtId="0" fontId="0" fillId="5" borderId="33" xfId="0" applyFill="1" applyBorder="1" applyAlignment="1">
      <alignment horizontal="left"/>
    </xf>
    <xf numFmtId="0" fontId="0" fillId="5" borderId="34" xfId="0" applyFill="1" applyBorder="1"/>
    <xf numFmtId="0" fontId="0" fillId="5" borderId="12" xfId="0" applyFill="1" applyBorder="1"/>
    <xf numFmtId="0" fontId="0" fillId="5" borderId="14" xfId="0" applyFill="1" applyBorder="1" applyAlignment="1">
      <alignment horizontal="left"/>
    </xf>
    <xf numFmtId="1" fontId="0" fillId="5" borderId="35" xfId="0" applyNumberFormat="1" applyFill="1" applyBorder="1"/>
    <xf numFmtId="1" fontId="0" fillId="5" borderId="21" xfId="0" applyNumberFormat="1" applyFill="1" applyBorder="1"/>
    <xf numFmtId="1" fontId="0" fillId="5" borderId="22" xfId="0" applyNumberFormat="1" applyFill="1" applyBorder="1"/>
    <xf numFmtId="0" fontId="0" fillId="5" borderId="27" xfId="0" applyFill="1" applyBorder="1"/>
    <xf numFmtId="1" fontId="0" fillId="5" borderId="36" xfId="0" applyNumberFormat="1" applyFill="1" applyBorder="1"/>
    <xf numFmtId="1" fontId="0" fillId="5" borderId="37" xfId="0" applyNumberFormat="1" applyFill="1" applyBorder="1"/>
    <xf numFmtId="0" fontId="0" fillId="6" borderId="6" xfId="0" applyFill="1" applyBorder="1" applyAlignment="1">
      <alignment horizontal="right"/>
    </xf>
    <xf numFmtId="0" fontId="0" fillId="6" borderId="7" xfId="0" applyFill="1" applyBorder="1" applyAlignment="1">
      <alignment horizontal="right"/>
    </xf>
    <xf numFmtId="0" fontId="0" fillId="6" borderId="8" xfId="0" applyFill="1" applyBorder="1" applyAlignment="1">
      <alignment horizontal="right"/>
    </xf>
    <xf numFmtId="0" fontId="0" fillId="6" borderId="19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0" fillId="6" borderId="20" xfId="0" applyFill="1" applyBorder="1" applyAlignment="1">
      <alignment horizontal="right"/>
    </xf>
    <xf numFmtId="2" fontId="0" fillId="6" borderId="5" xfId="0" applyNumberFormat="1" applyFill="1" applyBorder="1"/>
    <xf numFmtId="9" fontId="0" fillId="6" borderId="5" xfId="0" applyNumberFormat="1" applyFill="1" applyBorder="1"/>
    <xf numFmtId="9" fontId="2" fillId="0" borderId="0" xfId="0" applyNumberFormat="1" applyFont="1"/>
    <xf numFmtId="0" fontId="0" fillId="5" borderId="0" xfId="0" applyFill="1"/>
    <xf numFmtId="10" fontId="0" fillId="6" borderId="5" xfId="0" applyNumberFormat="1" applyFill="1" applyBorder="1"/>
    <xf numFmtId="0" fontId="0" fillId="5" borderId="29" xfId="0" applyFill="1" applyBorder="1"/>
    <xf numFmtId="0" fontId="0" fillId="7" borderId="5" xfId="0" applyFill="1" applyBorder="1"/>
    <xf numFmtId="0" fontId="0" fillId="5" borderId="38" xfId="0" applyFill="1" applyBorder="1"/>
    <xf numFmtId="10" fontId="0" fillId="6" borderId="38" xfId="0" applyNumberFormat="1" applyFill="1" applyBorder="1"/>
    <xf numFmtId="0" fontId="0" fillId="6" borderId="38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center"/>
    </xf>
    <xf numFmtId="166" fontId="0" fillId="5" borderId="5" xfId="0" applyNumberFormat="1" applyFill="1" applyBorder="1"/>
    <xf numFmtId="166" fontId="0" fillId="6" borderId="5" xfId="0" applyNumberFormat="1" applyFill="1" applyBorder="1"/>
    <xf numFmtId="166" fontId="0" fillId="6" borderId="38" xfId="0" applyNumberFormat="1" applyFill="1" applyBorder="1"/>
    <xf numFmtId="166" fontId="0" fillId="0" borderId="0" xfId="0" applyNumberFormat="1"/>
  </cellXfs>
  <cellStyles count="1">
    <cellStyle name="Normal" xfId="0" builtinId="0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90" wrapText="0" indent="0" justifyLastLine="0" shrinkToFit="0" readingOrder="0"/>
    </dxf>
    <dxf>
      <numFmt numFmtId="0" formatCode="General"/>
    </dxf>
    <dxf>
      <alignment horizontal="general" vertical="bottom" textRotation="9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Feuil2!$J$11:$J$1010</c:f>
              <c:numCache>
                <c:formatCode>0.0000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0.98888888888888893</c:v>
                </c:pt>
                <c:pt idx="90">
                  <c:v>0.98901098901098905</c:v>
                </c:pt>
                <c:pt idx="91">
                  <c:v>0.98913043478260865</c:v>
                </c:pt>
                <c:pt idx="92">
                  <c:v>0.989247311827957</c:v>
                </c:pt>
                <c:pt idx="93">
                  <c:v>0.98936170212765961</c:v>
                </c:pt>
                <c:pt idx="94">
                  <c:v>0.98947368421052628</c:v>
                </c:pt>
                <c:pt idx="95">
                  <c:v>0.98958333333333337</c:v>
                </c:pt>
                <c:pt idx="96">
                  <c:v>0.98969072164948457</c:v>
                </c:pt>
                <c:pt idx="97">
                  <c:v>0.98979591836734693</c:v>
                </c:pt>
                <c:pt idx="98">
                  <c:v>0.98989898989898994</c:v>
                </c:pt>
                <c:pt idx="99">
                  <c:v>0.99</c:v>
                </c:pt>
                <c:pt idx="100">
                  <c:v>0.99009900990099009</c:v>
                </c:pt>
                <c:pt idx="101">
                  <c:v>0.99019607843137258</c:v>
                </c:pt>
                <c:pt idx="102">
                  <c:v>0.99029126213592233</c:v>
                </c:pt>
                <c:pt idx="103">
                  <c:v>0.99038461538461542</c:v>
                </c:pt>
                <c:pt idx="104">
                  <c:v>0.99047619047619051</c:v>
                </c:pt>
                <c:pt idx="105">
                  <c:v>0.99056603773584906</c:v>
                </c:pt>
                <c:pt idx="106">
                  <c:v>0.99065420560747663</c:v>
                </c:pt>
                <c:pt idx="107">
                  <c:v>0.9907407407407407</c:v>
                </c:pt>
                <c:pt idx="108">
                  <c:v>0.99082568807339455</c:v>
                </c:pt>
                <c:pt idx="109">
                  <c:v>0.99090909090909096</c:v>
                </c:pt>
                <c:pt idx="110">
                  <c:v>0.99099099099099097</c:v>
                </c:pt>
                <c:pt idx="111">
                  <c:v>0.9910714285714286</c:v>
                </c:pt>
                <c:pt idx="112">
                  <c:v>0.99115044247787609</c:v>
                </c:pt>
                <c:pt idx="113">
                  <c:v>0.99122807017543857</c:v>
                </c:pt>
                <c:pt idx="114">
                  <c:v>0.99130434782608701</c:v>
                </c:pt>
                <c:pt idx="115">
                  <c:v>0.99137931034482762</c:v>
                </c:pt>
                <c:pt idx="116">
                  <c:v>0.99145299145299148</c:v>
                </c:pt>
                <c:pt idx="117">
                  <c:v>0.99152542372881358</c:v>
                </c:pt>
                <c:pt idx="118">
                  <c:v>0.99159663865546221</c:v>
                </c:pt>
                <c:pt idx="119">
                  <c:v>0.9916666666666667</c:v>
                </c:pt>
                <c:pt idx="120">
                  <c:v>0.99173553719008267</c:v>
                </c:pt>
                <c:pt idx="121">
                  <c:v>0.99180327868852458</c:v>
                </c:pt>
                <c:pt idx="122">
                  <c:v>0.99186991869918695</c:v>
                </c:pt>
                <c:pt idx="123">
                  <c:v>0.99193548387096775</c:v>
                </c:pt>
                <c:pt idx="124">
                  <c:v>0.99199999999999999</c:v>
                </c:pt>
                <c:pt idx="125">
                  <c:v>0.99206349206349209</c:v>
                </c:pt>
                <c:pt idx="126">
                  <c:v>0.99212598425196852</c:v>
                </c:pt>
                <c:pt idx="127">
                  <c:v>0.9921875</c:v>
                </c:pt>
                <c:pt idx="128">
                  <c:v>0.98449612403100772</c:v>
                </c:pt>
                <c:pt idx="129">
                  <c:v>0.98461538461538467</c:v>
                </c:pt>
                <c:pt idx="130">
                  <c:v>0.98473282442748089</c:v>
                </c:pt>
                <c:pt idx="131">
                  <c:v>0.98484848484848486</c:v>
                </c:pt>
                <c:pt idx="132">
                  <c:v>0.98496240601503759</c:v>
                </c:pt>
                <c:pt idx="133">
                  <c:v>0.97761194029850751</c:v>
                </c:pt>
                <c:pt idx="134">
                  <c:v>0.97777777777777775</c:v>
                </c:pt>
                <c:pt idx="135">
                  <c:v>0.9779411764705882</c:v>
                </c:pt>
                <c:pt idx="136">
                  <c:v>0.97810218978102192</c:v>
                </c:pt>
                <c:pt idx="137">
                  <c:v>0.97826086956521741</c:v>
                </c:pt>
                <c:pt idx="138">
                  <c:v>0.97841726618705038</c:v>
                </c:pt>
                <c:pt idx="139">
                  <c:v>0.97857142857142854</c:v>
                </c:pt>
                <c:pt idx="140">
                  <c:v>0.97872340425531912</c:v>
                </c:pt>
                <c:pt idx="141">
                  <c:v>0.97887323943661975</c:v>
                </c:pt>
                <c:pt idx="142">
                  <c:v>0.97902097902097907</c:v>
                </c:pt>
                <c:pt idx="143">
                  <c:v>0.97916666666666663</c:v>
                </c:pt>
                <c:pt idx="144">
                  <c:v>0.97931034482758617</c:v>
                </c:pt>
                <c:pt idx="145">
                  <c:v>0.97945205479452058</c:v>
                </c:pt>
                <c:pt idx="146">
                  <c:v>0.97959183673469385</c:v>
                </c:pt>
                <c:pt idx="147">
                  <c:v>0.97972972972972971</c:v>
                </c:pt>
                <c:pt idx="148">
                  <c:v>0.97986577181208057</c:v>
                </c:pt>
                <c:pt idx="149">
                  <c:v>0.98</c:v>
                </c:pt>
                <c:pt idx="150">
                  <c:v>0.98013245033112584</c:v>
                </c:pt>
                <c:pt idx="151">
                  <c:v>0.98026315789473684</c:v>
                </c:pt>
                <c:pt idx="152">
                  <c:v>0.98039215686274506</c:v>
                </c:pt>
                <c:pt idx="153">
                  <c:v>0.98051948051948057</c:v>
                </c:pt>
                <c:pt idx="154">
                  <c:v>0.98064516129032253</c:v>
                </c:pt>
                <c:pt idx="155">
                  <c:v>0.98076923076923073</c:v>
                </c:pt>
                <c:pt idx="156">
                  <c:v>0.98089171974522293</c:v>
                </c:pt>
                <c:pt idx="157">
                  <c:v>0.98101265822784811</c:v>
                </c:pt>
                <c:pt idx="158">
                  <c:v>0.98113207547169812</c:v>
                </c:pt>
                <c:pt idx="159">
                  <c:v>0.98124999999999996</c:v>
                </c:pt>
                <c:pt idx="160">
                  <c:v>0.98136645962732916</c:v>
                </c:pt>
                <c:pt idx="161">
                  <c:v>0.98148148148148151</c:v>
                </c:pt>
                <c:pt idx="162">
                  <c:v>0.98159509202453987</c:v>
                </c:pt>
                <c:pt idx="163">
                  <c:v>0.98170731707317072</c:v>
                </c:pt>
                <c:pt idx="164">
                  <c:v>0.98181818181818181</c:v>
                </c:pt>
                <c:pt idx="165">
                  <c:v>0.98192771084337349</c:v>
                </c:pt>
                <c:pt idx="166">
                  <c:v>0.98203592814371254</c:v>
                </c:pt>
                <c:pt idx="167">
                  <c:v>0.9821428571428571</c:v>
                </c:pt>
                <c:pt idx="168">
                  <c:v>0.98224852071005919</c:v>
                </c:pt>
                <c:pt idx="169">
                  <c:v>0.98235294117647054</c:v>
                </c:pt>
                <c:pt idx="170">
                  <c:v>0.98245614035087714</c:v>
                </c:pt>
                <c:pt idx="171">
                  <c:v>0.98255813953488369</c:v>
                </c:pt>
                <c:pt idx="172">
                  <c:v>0.98265895953757221</c:v>
                </c:pt>
                <c:pt idx="173">
                  <c:v>0.98275862068965514</c:v>
                </c:pt>
                <c:pt idx="174">
                  <c:v>0.98285714285714287</c:v>
                </c:pt>
                <c:pt idx="175">
                  <c:v>0.98295454545454541</c:v>
                </c:pt>
                <c:pt idx="176">
                  <c:v>0.98305084745762716</c:v>
                </c:pt>
                <c:pt idx="177">
                  <c:v>0.9831460674157303</c:v>
                </c:pt>
                <c:pt idx="178">
                  <c:v>0.98324022346368711</c:v>
                </c:pt>
                <c:pt idx="179">
                  <c:v>0.98333333333333328</c:v>
                </c:pt>
                <c:pt idx="180">
                  <c:v>0.98342541436464093</c:v>
                </c:pt>
                <c:pt idx="181">
                  <c:v>0.98351648351648346</c:v>
                </c:pt>
                <c:pt idx="182">
                  <c:v>0.98360655737704916</c:v>
                </c:pt>
                <c:pt idx="183">
                  <c:v>0.98369565217391308</c:v>
                </c:pt>
                <c:pt idx="184">
                  <c:v>0.98378378378378384</c:v>
                </c:pt>
                <c:pt idx="185">
                  <c:v>0.9838709677419355</c:v>
                </c:pt>
                <c:pt idx="186">
                  <c:v>0.98395721925133695</c:v>
                </c:pt>
                <c:pt idx="187">
                  <c:v>0.98404255319148937</c:v>
                </c:pt>
                <c:pt idx="188">
                  <c:v>0.98412698412698407</c:v>
                </c:pt>
                <c:pt idx="189">
                  <c:v>0.98421052631578942</c:v>
                </c:pt>
                <c:pt idx="190">
                  <c:v>0.98429319371727753</c:v>
                </c:pt>
                <c:pt idx="191">
                  <c:v>0.984375</c:v>
                </c:pt>
                <c:pt idx="192">
                  <c:v>0.98445595854922274</c:v>
                </c:pt>
                <c:pt idx="193">
                  <c:v>0.98453608247422686</c:v>
                </c:pt>
                <c:pt idx="194">
                  <c:v>0.98461538461538467</c:v>
                </c:pt>
                <c:pt idx="195">
                  <c:v>0.98469387755102045</c:v>
                </c:pt>
                <c:pt idx="196">
                  <c:v>0.98477157360406087</c:v>
                </c:pt>
                <c:pt idx="197">
                  <c:v>0.98484848484848486</c:v>
                </c:pt>
                <c:pt idx="198">
                  <c:v>0.98492462311557794</c:v>
                </c:pt>
                <c:pt idx="199">
                  <c:v>0.98499999999999999</c:v>
                </c:pt>
                <c:pt idx="200">
                  <c:v>0.9850746268656716</c:v>
                </c:pt>
                <c:pt idx="201">
                  <c:v>0.98514851485148514</c:v>
                </c:pt>
                <c:pt idx="202">
                  <c:v>0.98522167487684731</c:v>
                </c:pt>
                <c:pt idx="203">
                  <c:v>0.98529411764705888</c:v>
                </c:pt>
                <c:pt idx="204">
                  <c:v>0.98536585365853657</c:v>
                </c:pt>
                <c:pt idx="205">
                  <c:v>0.9854368932038835</c:v>
                </c:pt>
                <c:pt idx="206">
                  <c:v>0.98550724637681164</c:v>
                </c:pt>
                <c:pt idx="207">
                  <c:v>0.98557692307692313</c:v>
                </c:pt>
                <c:pt idx="208">
                  <c:v>0.9856459330143541</c:v>
                </c:pt>
                <c:pt idx="209">
                  <c:v>0.98571428571428577</c:v>
                </c:pt>
                <c:pt idx="210">
                  <c:v>0.98578199052132698</c:v>
                </c:pt>
                <c:pt idx="211">
                  <c:v>0.98584905660377353</c:v>
                </c:pt>
                <c:pt idx="212">
                  <c:v>0.9859154929577465</c:v>
                </c:pt>
                <c:pt idx="213">
                  <c:v>0.98598130841121501</c:v>
                </c:pt>
                <c:pt idx="214">
                  <c:v>0.98604651162790702</c:v>
                </c:pt>
                <c:pt idx="215">
                  <c:v>0.98611111111111116</c:v>
                </c:pt>
                <c:pt idx="216">
                  <c:v>0.98617511520737322</c:v>
                </c:pt>
                <c:pt idx="217">
                  <c:v>0.98623853211009171</c:v>
                </c:pt>
                <c:pt idx="218">
                  <c:v>0.98630136986301364</c:v>
                </c:pt>
                <c:pt idx="219">
                  <c:v>0.98636363636363633</c:v>
                </c:pt>
                <c:pt idx="220">
                  <c:v>0.98642533936651589</c:v>
                </c:pt>
                <c:pt idx="221">
                  <c:v>0.98648648648648651</c:v>
                </c:pt>
                <c:pt idx="222">
                  <c:v>0.98654708520179368</c:v>
                </c:pt>
                <c:pt idx="223">
                  <c:v>0.9866071428571429</c:v>
                </c:pt>
                <c:pt idx="224">
                  <c:v>0.98666666666666669</c:v>
                </c:pt>
                <c:pt idx="225">
                  <c:v>0.98672566371681414</c:v>
                </c:pt>
                <c:pt idx="226">
                  <c:v>0.986784140969163</c:v>
                </c:pt>
                <c:pt idx="227">
                  <c:v>0.98684210526315785</c:v>
                </c:pt>
                <c:pt idx="228">
                  <c:v>0.98689956331877726</c:v>
                </c:pt>
                <c:pt idx="229">
                  <c:v>0.9869565217391304</c:v>
                </c:pt>
                <c:pt idx="230">
                  <c:v>0.98268398268398272</c:v>
                </c:pt>
                <c:pt idx="231">
                  <c:v>0.98275862068965514</c:v>
                </c:pt>
                <c:pt idx="232">
                  <c:v>0.98283261802575106</c:v>
                </c:pt>
                <c:pt idx="233">
                  <c:v>0.98290598290598286</c:v>
                </c:pt>
                <c:pt idx="234">
                  <c:v>0.98297872340425529</c:v>
                </c:pt>
                <c:pt idx="235">
                  <c:v>0.98305084745762716</c:v>
                </c:pt>
                <c:pt idx="236">
                  <c:v>0.9831223628691983</c:v>
                </c:pt>
                <c:pt idx="237">
                  <c:v>0.98319327731092432</c:v>
                </c:pt>
                <c:pt idx="238">
                  <c:v>0.98326359832635979</c:v>
                </c:pt>
                <c:pt idx="239">
                  <c:v>0.97916666666666663</c:v>
                </c:pt>
                <c:pt idx="240">
                  <c:v>0.975103734439834</c:v>
                </c:pt>
                <c:pt idx="241">
                  <c:v>0.97520661157024791</c:v>
                </c:pt>
                <c:pt idx="242">
                  <c:v>0.97530864197530864</c:v>
                </c:pt>
                <c:pt idx="243">
                  <c:v>0.97540983606557374</c:v>
                </c:pt>
                <c:pt idx="244">
                  <c:v>0.97551020408163269</c:v>
                </c:pt>
                <c:pt idx="245">
                  <c:v>0.97560975609756095</c:v>
                </c:pt>
                <c:pt idx="246">
                  <c:v>0.97570850202429149</c:v>
                </c:pt>
                <c:pt idx="247">
                  <c:v>0.97580645161290325</c:v>
                </c:pt>
                <c:pt idx="248">
                  <c:v>0.97590361445783136</c:v>
                </c:pt>
                <c:pt idx="249">
                  <c:v>0.97599999999999998</c:v>
                </c:pt>
                <c:pt idx="250">
                  <c:v>0.9760956175298805</c:v>
                </c:pt>
                <c:pt idx="251">
                  <c:v>0.97619047619047616</c:v>
                </c:pt>
                <c:pt idx="252">
                  <c:v>0.97628458498023718</c:v>
                </c:pt>
                <c:pt idx="253">
                  <c:v>0.97637795275590555</c:v>
                </c:pt>
                <c:pt idx="254">
                  <c:v>0.97647058823529409</c:v>
                </c:pt>
                <c:pt idx="255">
                  <c:v>0.9765625</c:v>
                </c:pt>
                <c:pt idx="256">
                  <c:v>0.97665369649805445</c:v>
                </c:pt>
                <c:pt idx="257">
                  <c:v>0.97674418604651159</c:v>
                </c:pt>
                <c:pt idx="258">
                  <c:v>0.97683397683397688</c:v>
                </c:pt>
                <c:pt idx="259">
                  <c:v>0.97692307692307689</c:v>
                </c:pt>
                <c:pt idx="260">
                  <c:v>0.97701149425287359</c:v>
                </c:pt>
                <c:pt idx="261">
                  <c:v>0.97709923664122134</c:v>
                </c:pt>
                <c:pt idx="262">
                  <c:v>0.97718631178707227</c:v>
                </c:pt>
                <c:pt idx="263">
                  <c:v>0.97727272727272729</c:v>
                </c:pt>
                <c:pt idx="264">
                  <c:v>0.97735849056603774</c:v>
                </c:pt>
                <c:pt idx="265">
                  <c:v>0.97744360902255634</c:v>
                </c:pt>
                <c:pt idx="266">
                  <c:v>0.97752808988764039</c:v>
                </c:pt>
                <c:pt idx="267">
                  <c:v>0.97761194029850751</c:v>
                </c:pt>
                <c:pt idx="268">
                  <c:v>0.97769516728624539</c:v>
                </c:pt>
                <c:pt idx="269">
                  <c:v>0.97777777777777775</c:v>
                </c:pt>
                <c:pt idx="270">
                  <c:v>0.97785977859778594</c:v>
                </c:pt>
                <c:pt idx="271">
                  <c:v>0.9779411764705882</c:v>
                </c:pt>
                <c:pt idx="272">
                  <c:v>0.97802197802197799</c:v>
                </c:pt>
                <c:pt idx="273">
                  <c:v>0.97445255474452552</c:v>
                </c:pt>
                <c:pt idx="274">
                  <c:v>0.97454545454545449</c:v>
                </c:pt>
                <c:pt idx="275">
                  <c:v>0.97463768115942029</c:v>
                </c:pt>
                <c:pt idx="276">
                  <c:v>0.97472924187725629</c:v>
                </c:pt>
                <c:pt idx="277">
                  <c:v>0.97122302158273377</c:v>
                </c:pt>
                <c:pt idx="278">
                  <c:v>0.97132616487455192</c:v>
                </c:pt>
                <c:pt idx="279">
                  <c:v>0.97142857142857142</c:v>
                </c:pt>
                <c:pt idx="280">
                  <c:v>0.97153024911032027</c:v>
                </c:pt>
                <c:pt idx="281">
                  <c:v>0.97163120567375882</c:v>
                </c:pt>
                <c:pt idx="282">
                  <c:v>0.9717314487632509</c:v>
                </c:pt>
                <c:pt idx="283">
                  <c:v>0.971830985915493</c:v>
                </c:pt>
                <c:pt idx="284">
                  <c:v>0.97192982456140353</c:v>
                </c:pt>
                <c:pt idx="285">
                  <c:v>0.97202797202797198</c:v>
                </c:pt>
                <c:pt idx="286">
                  <c:v>0.97212543554006969</c:v>
                </c:pt>
                <c:pt idx="287">
                  <c:v>0.97222222222222221</c:v>
                </c:pt>
                <c:pt idx="288">
                  <c:v>0.97231833910034604</c:v>
                </c:pt>
                <c:pt idx="289">
                  <c:v>0.97241379310344822</c:v>
                </c:pt>
                <c:pt idx="290">
                  <c:v>0.97250859106529208</c:v>
                </c:pt>
                <c:pt idx="291">
                  <c:v>0.9726027397260274</c:v>
                </c:pt>
                <c:pt idx="292">
                  <c:v>0.97269624573378843</c:v>
                </c:pt>
                <c:pt idx="293">
                  <c:v>0.97278911564625847</c:v>
                </c:pt>
                <c:pt idx="294">
                  <c:v>0.97288135593220337</c:v>
                </c:pt>
                <c:pt idx="295">
                  <c:v>0.97297297297297303</c:v>
                </c:pt>
                <c:pt idx="296">
                  <c:v>0.96969696969696972</c:v>
                </c:pt>
                <c:pt idx="297">
                  <c:v>0.96979865771812079</c:v>
                </c:pt>
                <c:pt idx="298">
                  <c:v>0.96989966555183948</c:v>
                </c:pt>
                <c:pt idx="299">
                  <c:v>0.97</c:v>
                </c:pt>
                <c:pt idx="300">
                  <c:v>0.9700996677740864</c:v>
                </c:pt>
                <c:pt idx="301">
                  <c:v>0.9701986754966887</c:v>
                </c:pt>
                <c:pt idx="302">
                  <c:v>0.97029702970297027</c:v>
                </c:pt>
                <c:pt idx="303">
                  <c:v>0.97039473684210531</c:v>
                </c:pt>
                <c:pt idx="304">
                  <c:v>0.97049180327868856</c:v>
                </c:pt>
                <c:pt idx="305">
                  <c:v>0.97058823529411764</c:v>
                </c:pt>
                <c:pt idx="306">
                  <c:v>0.97068403908794787</c:v>
                </c:pt>
                <c:pt idx="307">
                  <c:v>0.97077922077922074</c:v>
                </c:pt>
                <c:pt idx="308">
                  <c:v>0.970873786407767</c:v>
                </c:pt>
                <c:pt idx="309">
                  <c:v>0.97096774193548385</c:v>
                </c:pt>
                <c:pt idx="310">
                  <c:v>0.97106109324758838</c:v>
                </c:pt>
                <c:pt idx="311">
                  <c:v>0.97115384615384615</c:v>
                </c:pt>
                <c:pt idx="312">
                  <c:v>0.97124600638977632</c:v>
                </c:pt>
                <c:pt idx="313">
                  <c:v>0.9713375796178344</c:v>
                </c:pt>
                <c:pt idx="314">
                  <c:v>0.97142857142857142</c:v>
                </c:pt>
                <c:pt idx="315">
                  <c:v>0.97151898734177211</c:v>
                </c:pt>
                <c:pt idx="316">
                  <c:v>0.97160883280757093</c:v>
                </c:pt>
                <c:pt idx="317">
                  <c:v>0.97169811320754718</c:v>
                </c:pt>
                <c:pt idx="318">
                  <c:v>0.97178683385579934</c:v>
                </c:pt>
                <c:pt idx="319">
                  <c:v>0.97187500000000004</c:v>
                </c:pt>
                <c:pt idx="320">
                  <c:v>0.9719626168224299</c:v>
                </c:pt>
                <c:pt idx="321">
                  <c:v>0.96894409937888204</c:v>
                </c:pt>
                <c:pt idx="322">
                  <c:v>0.96904024767801855</c:v>
                </c:pt>
                <c:pt idx="323">
                  <c:v>0.96913580246913578</c:v>
                </c:pt>
                <c:pt idx="324">
                  <c:v>0.96923076923076923</c:v>
                </c:pt>
                <c:pt idx="325">
                  <c:v>0.96932515337423308</c:v>
                </c:pt>
                <c:pt idx="326">
                  <c:v>0.96941896024464835</c:v>
                </c:pt>
                <c:pt idx="327">
                  <c:v>0.96951219512195119</c:v>
                </c:pt>
                <c:pt idx="328">
                  <c:v>0.96960486322188455</c:v>
                </c:pt>
                <c:pt idx="329">
                  <c:v>0.96969696969696972</c:v>
                </c:pt>
                <c:pt idx="330">
                  <c:v>0.96978851963746227</c:v>
                </c:pt>
                <c:pt idx="331">
                  <c:v>0.96987951807228912</c:v>
                </c:pt>
                <c:pt idx="332">
                  <c:v>0.96996996996996998</c:v>
                </c:pt>
                <c:pt idx="333">
                  <c:v>0.97005988023952094</c:v>
                </c:pt>
                <c:pt idx="334">
                  <c:v>0.97014925373134331</c:v>
                </c:pt>
                <c:pt idx="335">
                  <c:v>0.97023809523809523</c:v>
                </c:pt>
                <c:pt idx="336">
                  <c:v>0.97032640949554894</c:v>
                </c:pt>
                <c:pt idx="337">
                  <c:v>0.97041420118343191</c:v>
                </c:pt>
                <c:pt idx="338">
                  <c:v>0.97050147492625372</c:v>
                </c:pt>
                <c:pt idx="339">
                  <c:v>0.97058823529411764</c:v>
                </c:pt>
                <c:pt idx="340">
                  <c:v>0.97067448680351909</c:v>
                </c:pt>
                <c:pt idx="341">
                  <c:v>0.9707602339181286</c:v>
                </c:pt>
                <c:pt idx="342">
                  <c:v>0.9708454810495627</c:v>
                </c:pt>
                <c:pt idx="343">
                  <c:v>0.97093023255813948</c:v>
                </c:pt>
                <c:pt idx="344">
                  <c:v>0.97101449275362317</c:v>
                </c:pt>
                <c:pt idx="345">
                  <c:v>0.97109826589595372</c:v>
                </c:pt>
                <c:pt idx="346">
                  <c:v>0.97118155619596547</c:v>
                </c:pt>
                <c:pt idx="347">
                  <c:v>0.97126436781609193</c:v>
                </c:pt>
                <c:pt idx="348">
                  <c:v>0.97134670487106012</c:v>
                </c:pt>
                <c:pt idx="349">
                  <c:v>0.97142857142857142</c:v>
                </c:pt>
                <c:pt idx="350">
                  <c:v>0.97150997150997154</c:v>
                </c:pt>
                <c:pt idx="351">
                  <c:v>0.97159090909090906</c:v>
                </c:pt>
                <c:pt idx="352">
                  <c:v>0.97167138810198306</c:v>
                </c:pt>
                <c:pt idx="353">
                  <c:v>0.97175141242937857</c:v>
                </c:pt>
                <c:pt idx="354">
                  <c:v>0.971830985915493</c:v>
                </c:pt>
                <c:pt idx="355">
                  <c:v>0.9719101123595506</c:v>
                </c:pt>
                <c:pt idx="356">
                  <c:v>0.97198879551820727</c:v>
                </c:pt>
                <c:pt idx="357">
                  <c:v>0.97206703910614523</c:v>
                </c:pt>
                <c:pt idx="358">
                  <c:v>0.97214484679665736</c:v>
                </c:pt>
                <c:pt idx="359">
                  <c:v>0.96944444444444444</c:v>
                </c:pt>
                <c:pt idx="360">
                  <c:v>0.96952908587257614</c:v>
                </c:pt>
                <c:pt idx="361">
                  <c:v>0.96961325966850831</c:v>
                </c:pt>
                <c:pt idx="362">
                  <c:v>0.96969696969696972</c:v>
                </c:pt>
                <c:pt idx="363">
                  <c:v>0.96978021978021978</c:v>
                </c:pt>
                <c:pt idx="364">
                  <c:v>0.96986301369863015</c:v>
                </c:pt>
                <c:pt idx="365">
                  <c:v>0.9699453551912568</c:v>
                </c:pt>
                <c:pt idx="366">
                  <c:v>0.97002724795640327</c:v>
                </c:pt>
                <c:pt idx="367">
                  <c:v>0.97010869565217395</c:v>
                </c:pt>
                <c:pt idx="368">
                  <c:v>0.97018970189701892</c:v>
                </c:pt>
                <c:pt idx="369">
                  <c:v>0.97027027027027024</c:v>
                </c:pt>
                <c:pt idx="370">
                  <c:v>0.9703504043126685</c:v>
                </c:pt>
                <c:pt idx="371">
                  <c:v>0.97043010752688175</c:v>
                </c:pt>
                <c:pt idx="372">
                  <c:v>0.96782841823056298</c:v>
                </c:pt>
                <c:pt idx="373">
                  <c:v>0.96791443850267378</c:v>
                </c:pt>
                <c:pt idx="374">
                  <c:v>0.96799999999999997</c:v>
                </c:pt>
                <c:pt idx="375">
                  <c:v>0.96808510638297873</c:v>
                </c:pt>
                <c:pt idx="376">
                  <c:v>0.96816976127320953</c:v>
                </c:pt>
                <c:pt idx="377">
                  <c:v>0.96825396825396826</c:v>
                </c:pt>
                <c:pt idx="378">
                  <c:v>0.96569920844327173</c:v>
                </c:pt>
                <c:pt idx="379">
                  <c:v>0.96578947368421053</c:v>
                </c:pt>
                <c:pt idx="380">
                  <c:v>0.9658792650918635</c:v>
                </c:pt>
                <c:pt idx="381">
                  <c:v>0.96596858638743455</c:v>
                </c:pt>
                <c:pt idx="382">
                  <c:v>0.96605744125326376</c:v>
                </c:pt>
                <c:pt idx="383">
                  <c:v>0.96614583333333337</c:v>
                </c:pt>
                <c:pt idx="384">
                  <c:v>0.96623376623376622</c:v>
                </c:pt>
                <c:pt idx="385">
                  <c:v>0.96632124352331605</c:v>
                </c:pt>
                <c:pt idx="386">
                  <c:v>0.96640826873385011</c:v>
                </c:pt>
                <c:pt idx="387">
                  <c:v>0.96649484536082475</c:v>
                </c:pt>
                <c:pt idx="388">
                  <c:v>0.96658097686375322</c:v>
                </c:pt>
                <c:pt idx="389">
                  <c:v>0.96666666666666667</c:v>
                </c:pt>
                <c:pt idx="390">
                  <c:v>0.96675191815856776</c:v>
                </c:pt>
                <c:pt idx="391">
                  <c:v>0.96683673469387754</c:v>
                </c:pt>
                <c:pt idx="392">
                  <c:v>0.9669211195928753</c:v>
                </c:pt>
                <c:pt idx="393">
                  <c:v>0.96700507614213194</c:v>
                </c:pt>
                <c:pt idx="394">
                  <c:v>0.96708860759493676</c:v>
                </c:pt>
                <c:pt idx="395">
                  <c:v>0.96717171717171713</c:v>
                </c:pt>
                <c:pt idx="396">
                  <c:v>0.96725440806045337</c:v>
                </c:pt>
                <c:pt idx="397">
                  <c:v>0.96733668341708545</c:v>
                </c:pt>
                <c:pt idx="398">
                  <c:v>0.96741854636591473</c:v>
                </c:pt>
                <c:pt idx="399">
                  <c:v>0.96750000000000003</c:v>
                </c:pt>
                <c:pt idx="400">
                  <c:v>0.96758104738154616</c:v>
                </c:pt>
                <c:pt idx="401">
                  <c:v>0.96766169154228854</c:v>
                </c:pt>
                <c:pt idx="402">
                  <c:v>0.967741935483871</c:v>
                </c:pt>
                <c:pt idx="403">
                  <c:v>0.96782178217821779</c:v>
                </c:pt>
                <c:pt idx="404">
                  <c:v>0.96790123456790123</c:v>
                </c:pt>
                <c:pt idx="405">
                  <c:v>0.96798029556650245</c:v>
                </c:pt>
                <c:pt idx="406">
                  <c:v>0.96805896805896807</c:v>
                </c:pt>
                <c:pt idx="407">
                  <c:v>0.96813725490196079</c:v>
                </c:pt>
                <c:pt idx="408">
                  <c:v>0.9682151589242054</c:v>
                </c:pt>
                <c:pt idx="409">
                  <c:v>0.96829268292682924</c:v>
                </c:pt>
                <c:pt idx="410">
                  <c:v>0.96836982968369834</c:v>
                </c:pt>
                <c:pt idx="411">
                  <c:v>0.96844660194174759</c:v>
                </c:pt>
                <c:pt idx="412">
                  <c:v>0.96852300242130751</c:v>
                </c:pt>
                <c:pt idx="413">
                  <c:v>0.96859903381642509</c:v>
                </c:pt>
                <c:pt idx="414">
                  <c:v>0.96867469879518076</c:v>
                </c:pt>
                <c:pt idx="415">
                  <c:v>0.96634615384615385</c:v>
                </c:pt>
                <c:pt idx="416">
                  <c:v>0.96642685851318944</c:v>
                </c:pt>
                <c:pt idx="417">
                  <c:v>0.96650717703349287</c:v>
                </c:pt>
                <c:pt idx="418">
                  <c:v>0.96658711217183768</c:v>
                </c:pt>
                <c:pt idx="419">
                  <c:v>0.96666666666666667</c:v>
                </c:pt>
                <c:pt idx="420">
                  <c:v>0.9667458432304038</c:v>
                </c:pt>
                <c:pt idx="421">
                  <c:v>0.96682464454976302</c:v>
                </c:pt>
                <c:pt idx="422">
                  <c:v>0.96690307328605196</c:v>
                </c:pt>
                <c:pt idx="423">
                  <c:v>0.96698113207547165</c:v>
                </c:pt>
                <c:pt idx="424">
                  <c:v>0.96705882352941175</c:v>
                </c:pt>
                <c:pt idx="425">
                  <c:v>0.96713615023474175</c:v>
                </c:pt>
                <c:pt idx="426">
                  <c:v>0.96721311475409832</c:v>
                </c:pt>
                <c:pt idx="427">
                  <c:v>0.96728971962616828</c:v>
                </c:pt>
                <c:pt idx="428">
                  <c:v>0.96736596736596736</c:v>
                </c:pt>
                <c:pt idx="429">
                  <c:v>0.96744186046511627</c:v>
                </c:pt>
                <c:pt idx="430">
                  <c:v>0.9675174013921114</c:v>
                </c:pt>
                <c:pt idx="431">
                  <c:v>0.96759259259259256</c:v>
                </c:pt>
                <c:pt idx="432">
                  <c:v>0.9676674364896074</c:v>
                </c:pt>
                <c:pt idx="433">
                  <c:v>0.967741935483871</c:v>
                </c:pt>
                <c:pt idx="434">
                  <c:v>0.96781609195402296</c:v>
                </c:pt>
                <c:pt idx="435">
                  <c:v>0.9678899082568807</c:v>
                </c:pt>
                <c:pt idx="436">
                  <c:v>0.96796338672768878</c:v>
                </c:pt>
                <c:pt idx="437">
                  <c:v>0.96803652968036524</c:v>
                </c:pt>
                <c:pt idx="438">
                  <c:v>0.96810933940774491</c:v>
                </c:pt>
                <c:pt idx="439">
                  <c:v>0.96818181818181814</c:v>
                </c:pt>
                <c:pt idx="440">
                  <c:v>0.96825396825396826</c:v>
                </c:pt>
                <c:pt idx="441">
                  <c:v>0.96832579185520362</c:v>
                </c:pt>
                <c:pt idx="442">
                  <c:v>0.96839729119638829</c:v>
                </c:pt>
                <c:pt idx="443">
                  <c:v>0.96621621621621623</c:v>
                </c:pt>
                <c:pt idx="444">
                  <c:v>0.9662921348314607</c:v>
                </c:pt>
                <c:pt idx="445">
                  <c:v>0.96636771300448432</c:v>
                </c:pt>
                <c:pt idx="446">
                  <c:v>0.96644295302013428</c:v>
                </c:pt>
                <c:pt idx="447">
                  <c:v>0.9665178571428571</c:v>
                </c:pt>
                <c:pt idx="448">
                  <c:v>0.96659242761692654</c:v>
                </c:pt>
                <c:pt idx="449">
                  <c:v>0.96666666666666667</c:v>
                </c:pt>
                <c:pt idx="450">
                  <c:v>0.96674057649667411</c:v>
                </c:pt>
                <c:pt idx="451">
                  <c:v>0.9668141592920354</c:v>
                </c:pt>
                <c:pt idx="452">
                  <c:v>0.9668874172185431</c:v>
                </c:pt>
                <c:pt idx="453">
                  <c:v>0.96696035242290745</c:v>
                </c:pt>
                <c:pt idx="454">
                  <c:v>0.96703296703296704</c:v>
                </c:pt>
                <c:pt idx="455">
                  <c:v>0.96710526315789469</c:v>
                </c:pt>
                <c:pt idx="456">
                  <c:v>0.96717724288840268</c:v>
                </c:pt>
                <c:pt idx="457">
                  <c:v>0.96724890829694321</c:v>
                </c:pt>
                <c:pt idx="458">
                  <c:v>0.9673202614379085</c:v>
                </c:pt>
                <c:pt idx="459">
                  <c:v>0.96739130434782605</c:v>
                </c:pt>
                <c:pt idx="460">
                  <c:v>0.96746203904555317</c:v>
                </c:pt>
                <c:pt idx="461">
                  <c:v>0.96753246753246758</c:v>
                </c:pt>
                <c:pt idx="462">
                  <c:v>0.96760259179265662</c:v>
                </c:pt>
                <c:pt idx="463">
                  <c:v>0.96767241379310343</c:v>
                </c:pt>
                <c:pt idx="464">
                  <c:v>0.967741935483871</c:v>
                </c:pt>
                <c:pt idx="465">
                  <c:v>0.96781115879828328</c:v>
                </c:pt>
                <c:pt idx="466">
                  <c:v>0.9678800856531049</c:v>
                </c:pt>
                <c:pt idx="467">
                  <c:v>0.96794871794871795</c:v>
                </c:pt>
                <c:pt idx="468">
                  <c:v>0.96801705756929635</c:v>
                </c:pt>
                <c:pt idx="469">
                  <c:v>0.96808510638297873</c:v>
                </c:pt>
                <c:pt idx="470">
                  <c:v>0.96815286624203822</c:v>
                </c:pt>
                <c:pt idx="471">
                  <c:v>0.96822033898305082</c:v>
                </c:pt>
                <c:pt idx="472">
                  <c:v>0.96828752642706128</c:v>
                </c:pt>
                <c:pt idx="473">
                  <c:v>0.96624472573839659</c:v>
                </c:pt>
                <c:pt idx="474">
                  <c:v>0.96631578947368424</c:v>
                </c:pt>
                <c:pt idx="475">
                  <c:v>0.96638655462184875</c:v>
                </c:pt>
                <c:pt idx="476">
                  <c:v>0.96645702306079662</c:v>
                </c:pt>
                <c:pt idx="477">
                  <c:v>0.96652719665271969</c:v>
                </c:pt>
                <c:pt idx="478">
                  <c:v>0.964509394572025</c:v>
                </c:pt>
                <c:pt idx="479">
                  <c:v>0.96458333333333335</c:v>
                </c:pt>
                <c:pt idx="480">
                  <c:v>0.96465696465696471</c:v>
                </c:pt>
                <c:pt idx="481">
                  <c:v>0.96473029045643155</c:v>
                </c:pt>
                <c:pt idx="482">
                  <c:v>0.96480331262939956</c:v>
                </c:pt>
                <c:pt idx="483">
                  <c:v>0.96487603305785119</c:v>
                </c:pt>
                <c:pt idx="484">
                  <c:v>0.96494845360824744</c:v>
                </c:pt>
                <c:pt idx="485">
                  <c:v>0.96502057613168724</c:v>
                </c:pt>
                <c:pt idx="486">
                  <c:v>0.96509240246406569</c:v>
                </c:pt>
                <c:pt idx="487">
                  <c:v>0.9651639344262295</c:v>
                </c:pt>
                <c:pt idx="488">
                  <c:v>0.96523517382413093</c:v>
                </c:pt>
                <c:pt idx="489">
                  <c:v>0.96530612244897962</c:v>
                </c:pt>
                <c:pt idx="490">
                  <c:v>0.96537678207739308</c:v>
                </c:pt>
                <c:pt idx="491">
                  <c:v>0.96544715447154472</c:v>
                </c:pt>
                <c:pt idx="492">
                  <c:v>0.96551724137931039</c:v>
                </c:pt>
                <c:pt idx="493">
                  <c:v>0.96558704453441291</c:v>
                </c:pt>
                <c:pt idx="494">
                  <c:v>0.96565656565656566</c:v>
                </c:pt>
                <c:pt idx="495">
                  <c:v>0.96572580645161288</c:v>
                </c:pt>
                <c:pt idx="496">
                  <c:v>0.96579476861167002</c:v>
                </c:pt>
                <c:pt idx="497">
                  <c:v>0.96586345381526106</c:v>
                </c:pt>
                <c:pt idx="498">
                  <c:v>0.96593186372745488</c:v>
                </c:pt>
                <c:pt idx="499">
                  <c:v>0.96599999999999997</c:v>
                </c:pt>
                <c:pt idx="500">
                  <c:v>0.96606786427145708</c:v>
                </c:pt>
                <c:pt idx="501">
                  <c:v>0.96613545816733071</c:v>
                </c:pt>
                <c:pt idx="502">
                  <c:v>0.96620278330019882</c:v>
                </c:pt>
                <c:pt idx="503">
                  <c:v>0.96626984126984128</c:v>
                </c:pt>
                <c:pt idx="504">
                  <c:v>0.96633663366336631</c:v>
                </c:pt>
                <c:pt idx="505">
                  <c:v>0.96640316205533594</c:v>
                </c:pt>
                <c:pt idx="506">
                  <c:v>0.9664694280078896</c:v>
                </c:pt>
                <c:pt idx="507">
                  <c:v>0.96653543307086609</c:v>
                </c:pt>
                <c:pt idx="508">
                  <c:v>0.96660117878192531</c:v>
                </c:pt>
                <c:pt idx="509">
                  <c:v>0.96666666666666667</c:v>
                </c:pt>
                <c:pt idx="510">
                  <c:v>0.9667318982387475</c:v>
                </c:pt>
                <c:pt idx="511">
                  <c:v>0.966796875</c:v>
                </c:pt>
                <c:pt idx="512">
                  <c:v>0.96686159844054576</c:v>
                </c:pt>
                <c:pt idx="513">
                  <c:v>0.96692607003891051</c:v>
                </c:pt>
                <c:pt idx="514">
                  <c:v>0.96699029126213587</c:v>
                </c:pt>
                <c:pt idx="515">
                  <c:v>0.96705426356589153</c:v>
                </c:pt>
                <c:pt idx="516">
                  <c:v>0.96711798839458418</c:v>
                </c:pt>
                <c:pt idx="517">
                  <c:v>0.96718146718146714</c:v>
                </c:pt>
                <c:pt idx="518">
                  <c:v>0.96724470134874763</c:v>
                </c:pt>
                <c:pt idx="519">
                  <c:v>0.96730769230769231</c:v>
                </c:pt>
                <c:pt idx="520">
                  <c:v>0.96737044145873319</c:v>
                </c:pt>
                <c:pt idx="521">
                  <c:v>0.96743295019157083</c:v>
                </c:pt>
                <c:pt idx="522">
                  <c:v>0.9674952198852772</c:v>
                </c:pt>
                <c:pt idx="523">
                  <c:v>0.96755725190839692</c:v>
                </c:pt>
                <c:pt idx="524">
                  <c:v>0.9676190476190476</c:v>
                </c:pt>
                <c:pt idx="525">
                  <c:v>0.96768060836501901</c:v>
                </c:pt>
                <c:pt idx="526">
                  <c:v>0.967741935483871</c:v>
                </c:pt>
                <c:pt idx="527">
                  <c:v>0.96780303030303028</c:v>
                </c:pt>
                <c:pt idx="528">
                  <c:v>0.9678638941398866</c:v>
                </c:pt>
                <c:pt idx="529">
                  <c:v>0.9679245283018868</c:v>
                </c:pt>
                <c:pt idx="530">
                  <c:v>0.967984934086629</c:v>
                </c:pt>
                <c:pt idx="531">
                  <c:v>0.96804511278195493</c:v>
                </c:pt>
                <c:pt idx="532">
                  <c:v>0.96810506566604126</c:v>
                </c:pt>
                <c:pt idx="533">
                  <c:v>0.96816479400749067</c:v>
                </c:pt>
                <c:pt idx="534">
                  <c:v>0.96822429906542051</c:v>
                </c:pt>
                <c:pt idx="535">
                  <c:v>0.96828358208955223</c:v>
                </c:pt>
                <c:pt idx="536">
                  <c:v>0.96834264432029793</c:v>
                </c:pt>
                <c:pt idx="537">
                  <c:v>0.96840148698884754</c:v>
                </c:pt>
                <c:pt idx="538">
                  <c:v>0.96846011131725418</c:v>
                </c:pt>
                <c:pt idx="539">
                  <c:v>0.96666666666666667</c:v>
                </c:pt>
                <c:pt idx="540">
                  <c:v>0.96672828096118302</c:v>
                </c:pt>
                <c:pt idx="541">
                  <c:v>0.96678966789667897</c:v>
                </c:pt>
                <c:pt idx="542">
                  <c:v>0.96685082872928174</c:v>
                </c:pt>
                <c:pt idx="543">
                  <c:v>0.96691176470588236</c:v>
                </c:pt>
                <c:pt idx="544">
                  <c:v>0.96697247706422018</c:v>
                </c:pt>
                <c:pt idx="545">
                  <c:v>0.96520146520146521</c:v>
                </c:pt>
                <c:pt idx="546">
                  <c:v>0.96526508226691043</c:v>
                </c:pt>
                <c:pt idx="547">
                  <c:v>0.96532846715328469</c:v>
                </c:pt>
                <c:pt idx="548">
                  <c:v>0.96539162112932608</c:v>
                </c:pt>
                <c:pt idx="549">
                  <c:v>0.96545454545454545</c:v>
                </c:pt>
                <c:pt idx="550">
                  <c:v>0.96551724137931039</c:v>
                </c:pt>
                <c:pt idx="551">
                  <c:v>0.96557971014492749</c:v>
                </c:pt>
                <c:pt idx="552">
                  <c:v>0.96564195298372513</c:v>
                </c:pt>
                <c:pt idx="553">
                  <c:v>0.96570397111913353</c:v>
                </c:pt>
                <c:pt idx="554">
                  <c:v>0.96576576576576578</c:v>
                </c:pt>
                <c:pt idx="555">
                  <c:v>0.96582733812949639</c:v>
                </c:pt>
                <c:pt idx="556">
                  <c:v>0.96588868940754036</c:v>
                </c:pt>
                <c:pt idx="557">
                  <c:v>0.96594982078853042</c:v>
                </c:pt>
                <c:pt idx="558">
                  <c:v>0.96601073345259392</c:v>
                </c:pt>
                <c:pt idx="559">
                  <c:v>0.96607142857142858</c:v>
                </c:pt>
                <c:pt idx="560">
                  <c:v>0.96613190730837795</c:v>
                </c:pt>
                <c:pt idx="561">
                  <c:v>0.96619217081850539</c:v>
                </c:pt>
                <c:pt idx="562">
                  <c:v>0.96625222024866786</c:v>
                </c:pt>
                <c:pt idx="563">
                  <c:v>0.96631205673758869</c:v>
                </c:pt>
                <c:pt idx="564">
                  <c:v>0.96637168141592922</c:v>
                </c:pt>
                <c:pt idx="565">
                  <c:v>0.96643109540636041</c:v>
                </c:pt>
                <c:pt idx="566">
                  <c:v>0.9664902998236331</c:v>
                </c:pt>
                <c:pt idx="567">
                  <c:v>0.96654929577464788</c:v>
                </c:pt>
                <c:pt idx="568">
                  <c:v>0.96660808435852374</c:v>
                </c:pt>
                <c:pt idx="569">
                  <c:v>0.96666666666666667</c:v>
                </c:pt>
                <c:pt idx="570">
                  <c:v>0.96672504378283708</c:v>
                </c:pt>
                <c:pt idx="571">
                  <c:v>0.96678321678321677</c:v>
                </c:pt>
                <c:pt idx="572">
                  <c:v>0.96684118673647468</c:v>
                </c:pt>
                <c:pt idx="573">
                  <c:v>0.9668989547038328</c:v>
                </c:pt>
                <c:pt idx="574">
                  <c:v>0.96695652173913038</c:v>
                </c:pt>
                <c:pt idx="575">
                  <c:v>0.96701388888888884</c:v>
                </c:pt>
                <c:pt idx="576">
                  <c:v>0.96707105719237429</c:v>
                </c:pt>
                <c:pt idx="577">
                  <c:v>0.96712802768166095</c:v>
                </c:pt>
                <c:pt idx="578">
                  <c:v>0.9671848013816926</c:v>
                </c:pt>
                <c:pt idx="579">
                  <c:v>0.96724137931034482</c:v>
                </c:pt>
                <c:pt idx="580">
                  <c:v>0.96729776247848542</c:v>
                </c:pt>
                <c:pt idx="581">
                  <c:v>0.96735395189003437</c:v>
                </c:pt>
                <c:pt idx="582">
                  <c:v>0.967409948542024</c:v>
                </c:pt>
                <c:pt idx="583">
                  <c:v>0.96746575342465757</c:v>
                </c:pt>
                <c:pt idx="584">
                  <c:v>0.96752136752136753</c:v>
                </c:pt>
                <c:pt idx="585">
                  <c:v>0.96757679180887368</c:v>
                </c:pt>
                <c:pt idx="586">
                  <c:v>0.96763202725724018</c:v>
                </c:pt>
                <c:pt idx="587">
                  <c:v>0.96768707482993199</c:v>
                </c:pt>
                <c:pt idx="588">
                  <c:v>0.967741935483871</c:v>
                </c:pt>
                <c:pt idx="589">
                  <c:v>0.96779661016949148</c:v>
                </c:pt>
                <c:pt idx="590">
                  <c:v>0.96785109983079531</c:v>
                </c:pt>
                <c:pt idx="591">
                  <c:v>0.96790540540540537</c:v>
                </c:pt>
                <c:pt idx="592">
                  <c:v>0.96627318718381117</c:v>
                </c:pt>
                <c:pt idx="593">
                  <c:v>0.96632996632996637</c:v>
                </c:pt>
                <c:pt idx="594">
                  <c:v>0.96638655462184875</c:v>
                </c:pt>
                <c:pt idx="595">
                  <c:v>0.96644295302013428</c:v>
                </c:pt>
                <c:pt idx="596">
                  <c:v>0.96649916247906198</c:v>
                </c:pt>
                <c:pt idx="597">
                  <c:v>0.96655518394648832</c:v>
                </c:pt>
                <c:pt idx="598">
                  <c:v>0.96661101836393992</c:v>
                </c:pt>
                <c:pt idx="599">
                  <c:v>0.96666666666666667</c:v>
                </c:pt>
                <c:pt idx="600">
                  <c:v>0.96672212978369387</c:v>
                </c:pt>
                <c:pt idx="601">
                  <c:v>0.96677740863787376</c:v>
                </c:pt>
                <c:pt idx="602">
                  <c:v>0.96683250414593702</c:v>
                </c:pt>
                <c:pt idx="603">
                  <c:v>0.9668874172185431</c:v>
                </c:pt>
                <c:pt idx="604">
                  <c:v>0.96694214876033058</c:v>
                </c:pt>
                <c:pt idx="605">
                  <c:v>0.96699669966996704</c:v>
                </c:pt>
                <c:pt idx="606">
                  <c:v>0.9670510708401977</c:v>
                </c:pt>
                <c:pt idx="607">
                  <c:v>0.96710526315789469</c:v>
                </c:pt>
                <c:pt idx="608">
                  <c:v>0.96715927750410513</c:v>
                </c:pt>
                <c:pt idx="609">
                  <c:v>0.96721311475409832</c:v>
                </c:pt>
                <c:pt idx="610">
                  <c:v>0.96726677577741405</c:v>
                </c:pt>
                <c:pt idx="611">
                  <c:v>0.9673202614379085</c:v>
                </c:pt>
                <c:pt idx="612">
                  <c:v>0.96737357259380097</c:v>
                </c:pt>
                <c:pt idx="613">
                  <c:v>0.96742671009771986</c:v>
                </c:pt>
                <c:pt idx="614">
                  <c:v>0.96747967479674801</c:v>
                </c:pt>
                <c:pt idx="615">
                  <c:v>0.96753246753246758</c:v>
                </c:pt>
                <c:pt idx="616">
                  <c:v>0.96758508914100483</c:v>
                </c:pt>
                <c:pt idx="617">
                  <c:v>0.96763754045307449</c:v>
                </c:pt>
                <c:pt idx="618">
                  <c:v>0.96607431340872374</c:v>
                </c:pt>
                <c:pt idx="619">
                  <c:v>0.96612903225806457</c:v>
                </c:pt>
                <c:pt idx="620">
                  <c:v>0.96618357487922701</c:v>
                </c:pt>
                <c:pt idx="621">
                  <c:v>0.9662379421221865</c:v>
                </c:pt>
                <c:pt idx="622">
                  <c:v>0.9662921348314607</c:v>
                </c:pt>
                <c:pt idx="623">
                  <c:v>0.96634615384615385</c:v>
                </c:pt>
                <c:pt idx="624">
                  <c:v>0.96640000000000004</c:v>
                </c:pt>
                <c:pt idx="625">
                  <c:v>0.9664536741214057</c:v>
                </c:pt>
                <c:pt idx="626">
                  <c:v>0.96650717703349287</c:v>
                </c:pt>
                <c:pt idx="627">
                  <c:v>0.96656050955414008</c:v>
                </c:pt>
                <c:pt idx="628">
                  <c:v>0.96661367249602548</c:v>
                </c:pt>
                <c:pt idx="629">
                  <c:v>0.96666666666666667</c:v>
                </c:pt>
                <c:pt idx="630">
                  <c:v>0.9667194928684627</c:v>
                </c:pt>
                <c:pt idx="631">
                  <c:v>0.96677215189873422</c:v>
                </c:pt>
                <c:pt idx="632">
                  <c:v>0.96682464454976302</c:v>
                </c:pt>
                <c:pt idx="633">
                  <c:v>0.96687697160883279</c:v>
                </c:pt>
                <c:pt idx="634">
                  <c:v>0.96692913385826773</c:v>
                </c:pt>
                <c:pt idx="635">
                  <c:v>0.96698113207547165</c:v>
                </c:pt>
                <c:pt idx="636">
                  <c:v>0.96703296703296704</c:v>
                </c:pt>
                <c:pt idx="637">
                  <c:v>0.96551724137931039</c:v>
                </c:pt>
                <c:pt idx="638">
                  <c:v>0.96557120500782467</c:v>
                </c:pt>
                <c:pt idx="639">
                  <c:v>0.96562499999999996</c:v>
                </c:pt>
                <c:pt idx="640">
                  <c:v>0.96567862714508579</c:v>
                </c:pt>
                <c:pt idx="641">
                  <c:v>0.96573208722741433</c:v>
                </c:pt>
                <c:pt idx="642">
                  <c:v>0.96578538102643852</c:v>
                </c:pt>
                <c:pt idx="643">
                  <c:v>0.96583850931677018</c:v>
                </c:pt>
                <c:pt idx="644">
                  <c:v>0.96589147286821708</c:v>
                </c:pt>
                <c:pt idx="645">
                  <c:v>0.96594427244582048</c:v>
                </c:pt>
                <c:pt idx="646">
                  <c:v>0.96599690880989186</c:v>
                </c:pt>
                <c:pt idx="647">
                  <c:v>0.96604938271604934</c:v>
                </c:pt>
                <c:pt idx="648">
                  <c:v>0.96610169491525422</c:v>
                </c:pt>
                <c:pt idx="649">
                  <c:v>0.96615384615384614</c:v>
                </c:pt>
                <c:pt idx="650">
                  <c:v>0.96620583717357911</c:v>
                </c:pt>
                <c:pt idx="651">
                  <c:v>0.96625766871165641</c:v>
                </c:pt>
                <c:pt idx="652">
                  <c:v>0.96630934150076575</c:v>
                </c:pt>
                <c:pt idx="653">
                  <c:v>0.96636085626911317</c:v>
                </c:pt>
                <c:pt idx="654">
                  <c:v>0.96641221374045805</c:v>
                </c:pt>
                <c:pt idx="655">
                  <c:v>0.96646341463414631</c:v>
                </c:pt>
                <c:pt idx="656">
                  <c:v>0.9665144596651446</c:v>
                </c:pt>
                <c:pt idx="657">
                  <c:v>0.96504559270516721</c:v>
                </c:pt>
                <c:pt idx="658">
                  <c:v>0.96509863429438547</c:v>
                </c:pt>
                <c:pt idx="659">
                  <c:v>0.9651515151515152</c:v>
                </c:pt>
                <c:pt idx="660">
                  <c:v>0.96520423600605143</c:v>
                </c:pt>
                <c:pt idx="661">
                  <c:v>0.96525679758308158</c:v>
                </c:pt>
                <c:pt idx="662">
                  <c:v>0.96530920060331826</c:v>
                </c:pt>
                <c:pt idx="663">
                  <c:v>0.96536144578313254</c:v>
                </c:pt>
                <c:pt idx="664">
                  <c:v>0.9654135338345865</c:v>
                </c:pt>
                <c:pt idx="665">
                  <c:v>0.96546546546546541</c:v>
                </c:pt>
                <c:pt idx="666">
                  <c:v>0.96551724137931039</c:v>
                </c:pt>
                <c:pt idx="667">
                  <c:v>0.96556886227544914</c:v>
                </c:pt>
                <c:pt idx="668">
                  <c:v>0.96562032884902838</c:v>
                </c:pt>
                <c:pt idx="669">
                  <c:v>0.96567164179104481</c:v>
                </c:pt>
                <c:pt idx="670">
                  <c:v>0.96572280178837555</c:v>
                </c:pt>
                <c:pt idx="671">
                  <c:v>0.96577380952380953</c:v>
                </c:pt>
                <c:pt idx="672">
                  <c:v>0.96582466567607728</c:v>
                </c:pt>
                <c:pt idx="673">
                  <c:v>0.96587537091988129</c:v>
                </c:pt>
                <c:pt idx="674">
                  <c:v>0.96592592592592597</c:v>
                </c:pt>
                <c:pt idx="675">
                  <c:v>0.96449704142011838</c:v>
                </c:pt>
                <c:pt idx="676">
                  <c:v>0.96307237813884783</c:v>
                </c:pt>
                <c:pt idx="677">
                  <c:v>0.96312684365781709</c:v>
                </c:pt>
                <c:pt idx="678">
                  <c:v>0.96318114874815908</c:v>
                </c:pt>
                <c:pt idx="679">
                  <c:v>0.96323529411764708</c:v>
                </c:pt>
                <c:pt idx="680">
                  <c:v>0.96328928046989726</c:v>
                </c:pt>
                <c:pt idx="681">
                  <c:v>0.96334310850439886</c:v>
                </c:pt>
                <c:pt idx="682">
                  <c:v>0.96339677891654463</c:v>
                </c:pt>
                <c:pt idx="683">
                  <c:v>0.96345029239766078</c:v>
                </c:pt>
                <c:pt idx="684">
                  <c:v>0.96350364963503654</c:v>
                </c:pt>
                <c:pt idx="685">
                  <c:v>0.96355685131195334</c:v>
                </c:pt>
                <c:pt idx="686">
                  <c:v>0.96360989810771469</c:v>
                </c:pt>
                <c:pt idx="687">
                  <c:v>0.96366279069767447</c:v>
                </c:pt>
                <c:pt idx="688">
                  <c:v>0.96371552975326558</c:v>
                </c:pt>
                <c:pt idx="689">
                  <c:v>0.96376811594202894</c:v>
                </c:pt>
                <c:pt idx="690">
                  <c:v>0.9638205499276411</c:v>
                </c:pt>
                <c:pt idx="691">
                  <c:v>0.96387283236994215</c:v>
                </c:pt>
                <c:pt idx="692">
                  <c:v>0.96392496392496396</c:v>
                </c:pt>
                <c:pt idx="693">
                  <c:v>0.96397694524495681</c:v>
                </c:pt>
                <c:pt idx="694">
                  <c:v>0.96402877697841727</c:v>
                </c:pt>
                <c:pt idx="695">
                  <c:v>0.96408045977011492</c:v>
                </c:pt>
                <c:pt idx="696">
                  <c:v>0.96413199426111906</c:v>
                </c:pt>
                <c:pt idx="697">
                  <c:v>0.96418338108882518</c:v>
                </c:pt>
                <c:pt idx="698">
                  <c:v>0.96423462088698142</c:v>
                </c:pt>
                <c:pt idx="699">
                  <c:v>0.96285714285714286</c:v>
                </c:pt>
                <c:pt idx="700">
                  <c:v>0.96291012838801715</c:v>
                </c:pt>
                <c:pt idx="701">
                  <c:v>0.96296296296296291</c:v>
                </c:pt>
                <c:pt idx="702">
                  <c:v>0.96159317211948792</c:v>
                </c:pt>
                <c:pt idx="703">
                  <c:v>0.96164772727272729</c:v>
                </c:pt>
                <c:pt idx="704">
                  <c:v>0.96170212765957441</c:v>
                </c:pt>
                <c:pt idx="705">
                  <c:v>0.9617563739376771</c:v>
                </c:pt>
                <c:pt idx="706">
                  <c:v>0.96181046676096182</c:v>
                </c:pt>
                <c:pt idx="707">
                  <c:v>0.96186440677966101</c:v>
                </c:pt>
                <c:pt idx="708">
                  <c:v>0.96191819464033845</c:v>
                </c:pt>
                <c:pt idx="709">
                  <c:v>0.96197183098591554</c:v>
                </c:pt>
                <c:pt idx="710">
                  <c:v>0.96202531645569622</c:v>
                </c:pt>
                <c:pt idx="711">
                  <c:v>0.9620786516853933</c:v>
                </c:pt>
                <c:pt idx="712">
                  <c:v>0.96072931276297335</c:v>
                </c:pt>
                <c:pt idx="713">
                  <c:v>0.96078431372549022</c:v>
                </c:pt>
                <c:pt idx="714">
                  <c:v>0.96083916083916088</c:v>
                </c:pt>
                <c:pt idx="715">
                  <c:v>0.96089385474860334</c:v>
                </c:pt>
                <c:pt idx="716">
                  <c:v>0.96094839609483962</c:v>
                </c:pt>
                <c:pt idx="717">
                  <c:v>0.96100278551532037</c:v>
                </c:pt>
                <c:pt idx="718">
                  <c:v>0.96105702364394996</c:v>
                </c:pt>
                <c:pt idx="719">
                  <c:v>0.96111111111111114</c:v>
                </c:pt>
                <c:pt idx="720">
                  <c:v>0.96116504854368934</c:v>
                </c:pt>
                <c:pt idx="721">
                  <c:v>0.96121883656509699</c:v>
                </c:pt>
                <c:pt idx="722">
                  <c:v>0.9612724757952974</c:v>
                </c:pt>
                <c:pt idx="723">
                  <c:v>0.96132596685082872</c:v>
                </c:pt>
                <c:pt idx="724">
                  <c:v>0.9613793103448276</c:v>
                </c:pt>
                <c:pt idx="725">
                  <c:v>0.96005509641873277</c:v>
                </c:pt>
                <c:pt idx="726">
                  <c:v>0.9601100412654745</c:v>
                </c:pt>
                <c:pt idx="727">
                  <c:v>0.9601648351648352</c:v>
                </c:pt>
                <c:pt idx="728">
                  <c:v>0.96021947873799729</c:v>
                </c:pt>
                <c:pt idx="729">
                  <c:v>0.96027397260273972</c:v>
                </c:pt>
                <c:pt idx="730">
                  <c:v>0.96032831737346103</c:v>
                </c:pt>
                <c:pt idx="731">
                  <c:v>0.9603825136612022</c:v>
                </c:pt>
                <c:pt idx="732">
                  <c:v>0.9604365620736699</c:v>
                </c:pt>
                <c:pt idx="733">
                  <c:v>0.96049046321525888</c:v>
                </c:pt>
                <c:pt idx="734">
                  <c:v>0.96054421768707487</c:v>
                </c:pt>
                <c:pt idx="735">
                  <c:v>0.96059782608695654</c:v>
                </c:pt>
                <c:pt idx="736">
                  <c:v>0.96065128900949792</c:v>
                </c:pt>
                <c:pt idx="737">
                  <c:v>0.96070460704607041</c:v>
                </c:pt>
                <c:pt idx="738">
                  <c:v>0.96075778078484442</c:v>
                </c:pt>
                <c:pt idx="739">
                  <c:v>0.95945945945945943</c:v>
                </c:pt>
                <c:pt idx="740">
                  <c:v>0.95951417004048578</c:v>
                </c:pt>
                <c:pt idx="741">
                  <c:v>0.9582210242587601</c:v>
                </c:pt>
                <c:pt idx="742">
                  <c:v>0.95827725437415878</c:v>
                </c:pt>
                <c:pt idx="743">
                  <c:v>0.95833333333333337</c:v>
                </c:pt>
                <c:pt idx="744">
                  <c:v>0.95838926174496641</c:v>
                </c:pt>
                <c:pt idx="745">
                  <c:v>0.95844504021447718</c:v>
                </c:pt>
                <c:pt idx="746">
                  <c:v>0.95850066934404288</c:v>
                </c:pt>
                <c:pt idx="747">
                  <c:v>0.95855614973262027</c:v>
                </c:pt>
                <c:pt idx="748">
                  <c:v>0.95861148197596791</c:v>
                </c:pt>
                <c:pt idx="749">
                  <c:v>0.95866666666666667</c:v>
                </c:pt>
                <c:pt idx="750">
                  <c:v>0.95872170439414117</c:v>
                </c:pt>
                <c:pt idx="751">
                  <c:v>0.95877659574468088</c:v>
                </c:pt>
                <c:pt idx="752">
                  <c:v>0.95883134130146086</c:v>
                </c:pt>
                <c:pt idx="753">
                  <c:v>0.95888594164456231</c:v>
                </c:pt>
                <c:pt idx="754">
                  <c:v>0.95894039735099335</c:v>
                </c:pt>
                <c:pt idx="755">
                  <c:v>0.95899470899470896</c:v>
                </c:pt>
                <c:pt idx="756">
                  <c:v>0.95904887714663145</c:v>
                </c:pt>
                <c:pt idx="757">
                  <c:v>0.95910290237467022</c:v>
                </c:pt>
                <c:pt idx="758">
                  <c:v>0.95915678524374182</c:v>
                </c:pt>
                <c:pt idx="759">
                  <c:v>0.95921052631578951</c:v>
                </c:pt>
                <c:pt idx="760">
                  <c:v>0.95926412614980294</c:v>
                </c:pt>
                <c:pt idx="761">
                  <c:v>0.95931758530183731</c:v>
                </c:pt>
                <c:pt idx="762">
                  <c:v>0.9593709043250328</c:v>
                </c:pt>
                <c:pt idx="763">
                  <c:v>0.95942408376963351</c:v>
                </c:pt>
                <c:pt idx="764">
                  <c:v>0.95947712418300657</c:v>
                </c:pt>
                <c:pt idx="765">
                  <c:v>0.95953002610966054</c:v>
                </c:pt>
                <c:pt idx="766">
                  <c:v>0.95958279009126468</c:v>
                </c:pt>
                <c:pt idx="767">
                  <c:v>0.95963541666666663</c:v>
                </c:pt>
                <c:pt idx="768">
                  <c:v>0.95968790637191159</c:v>
                </c:pt>
                <c:pt idx="769">
                  <c:v>0.95974025974025978</c:v>
                </c:pt>
                <c:pt idx="770">
                  <c:v>0.95979247730220496</c:v>
                </c:pt>
                <c:pt idx="771">
                  <c:v>0.9598445595854922</c:v>
                </c:pt>
                <c:pt idx="772">
                  <c:v>0.95989650711513586</c:v>
                </c:pt>
                <c:pt idx="773">
                  <c:v>0.9599483204134367</c:v>
                </c:pt>
                <c:pt idx="774">
                  <c:v>0.96</c:v>
                </c:pt>
                <c:pt idx="775">
                  <c:v>0.96005154639175261</c:v>
                </c:pt>
                <c:pt idx="776">
                  <c:v>0.96010296010296015</c:v>
                </c:pt>
                <c:pt idx="777">
                  <c:v>0.96015424164524421</c:v>
                </c:pt>
                <c:pt idx="778">
                  <c:v>0.96020539152759954</c:v>
                </c:pt>
                <c:pt idx="779">
                  <c:v>0.96025641025641029</c:v>
                </c:pt>
                <c:pt idx="780">
                  <c:v>0.96030729833546735</c:v>
                </c:pt>
                <c:pt idx="781">
                  <c:v>0.96035805626598469</c:v>
                </c:pt>
                <c:pt idx="782">
                  <c:v>0.95913154533844192</c:v>
                </c:pt>
                <c:pt idx="783">
                  <c:v>0.95918367346938771</c:v>
                </c:pt>
                <c:pt idx="784">
                  <c:v>0.95923566878980893</c:v>
                </c:pt>
                <c:pt idx="785">
                  <c:v>0.95928753180661575</c:v>
                </c:pt>
                <c:pt idx="786">
                  <c:v>0.9593392630241423</c:v>
                </c:pt>
                <c:pt idx="787">
                  <c:v>0.95939086294416243</c:v>
                </c:pt>
                <c:pt idx="788">
                  <c:v>0.95944233206590623</c:v>
                </c:pt>
                <c:pt idx="789">
                  <c:v>0.95949367088607596</c:v>
                </c:pt>
                <c:pt idx="790">
                  <c:v>0.95954487989886217</c:v>
                </c:pt>
                <c:pt idx="791">
                  <c:v>0.95959595959595956</c:v>
                </c:pt>
                <c:pt idx="792">
                  <c:v>0.95964691046658257</c:v>
                </c:pt>
                <c:pt idx="793">
                  <c:v>0.95843828715365242</c:v>
                </c:pt>
                <c:pt idx="794">
                  <c:v>0.95849056603773586</c:v>
                </c:pt>
                <c:pt idx="795">
                  <c:v>0.95854271356783916</c:v>
                </c:pt>
                <c:pt idx="796">
                  <c:v>0.95859473023839403</c:v>
                </c:pt>
                <c:pt idx="797">
                  <c:v>0.95864661654135341</c:v>
                </c:pt>
                <c:pt idx="798">
                  <c:v>0.95869837296620775</c:v>
                </c:pt>
                <c:pt idx="799">
                  <c:v>0.95874999999999999</c:v>
                </c:pt>
                <c:pt idx="800">
                  <c:v>0.95880149812734083</c:v>
                </c:pt>
                <c:pt idx="801">
                  <c:v>0.95885286783042389</c:v>
                </c:pt>
                <c:pt idx="802">
                  <c:v>0.95890410958904104</c:v>
                </c:pt>
                <c:pt idx="803">
                  <c:v>0.95895522388059706</c:v>
                </c:pt>
                <c:pt idx="804">
                  <c:v>0.95900621118012419</c:v>
                </c:pt>
                <c:pt idx="805">
                  <c:v>0.95905707196029777</c:v>
                </c:pt>
                <c:pt idx="806">
                  <c:v>0.95910780669144979</c:v>
                </c:pt>
                <c:pt idx="807">
                  <c:v>0.95915841584158412</c:v>
                </c:pt>
                <c:pt idx="808">
                  <c:v>0.95920889987639057</c:v>
                </c:pt>
                <c:pt idx="809">
                  <c:v>0.95925925925925926</c:v>
                </c:pt>
                <c:pt idx="810">
                  <c:v>0.95930949445129465</c:v>
                </c:pt>
                <c:pt idx="811">
                  <c:v>0.95935960591133007</c:v>
                </c:pt>
                <c:pt idx="812">
                  <c:v>0.95940959409594095</c:v>
                </c:pt>
                <c:pt idx="813">
                  <c:v>0.95945945945945943</c:v>
                </c:pt>
                <c:pt idx="814">
                  <c:v>0.95950920245398774</c:v>
                </c:pt>
                <c:pt idx="815">
                  <c:v>0.9595588235294118</c:v>
                </c:pt>
                <c:pt idx="816">
                  <c:v>0.95960832313341493</c:v>
                </c:pt>
                <c:pt idx="817">
                  <c:v>0.95965770171149145</c:v>
                </c:pt>
                <c:pt idx="818">
                  <c:v>0.95970695970695974</c:v>
                </c:pt>
                <c:pt idx="819">
                  <c:v>0.95975609756097557</c:v>
                </c:pt>
                <c:pt idx="820">
                  <c:v>0.95980511571254568</c:v>
                </c:pt>
                <c:pt idx="821">
                  <c:v>0.95985401459854014</c:v>
                </c:pt>
                <c:pt idx="822">
                  <c:v>0.95990279465370598</c:v>
                </c:pt>
                <c:pt idx="823">
                  <c:v>0.95995145631067957</c:v>
                </c:pt>
                <c:pt idx="824">
                  <c:v>0.96</c:v>
                </c:pt>
                <c:pt idx="825">
                  <c:v>0.96004842615012109</c:v>
                </c:pt>
                <c:pt idx="826">
                  <c:v>0.96009673518742444</c:v>
                </c:pt>
                <c:pt idx="827">
                  <c:v>0.96014492753623193</c:v>
                </c:pt>
                <c:pt idx="828">
                  <c:v>0.96019300361881788</c:v>
                </c:pt>
                <c:pt idx="829">
                  <c:v>0.95903614457831321</c:v>
                </c:pt>
                <c:pt idx="830">
                  <c:v>0.95908543922984357</c:v>
                </c:pt>
                <c:pt idx="831">
                  <c:v>0.95913461538461542</c:v>
                </c:pt>
                <c:pt idx="832">
                  <c:v>0.95918367346938771</c:v>
                </c:pt>
                <c:pt idx="833">
                  <c:v>0.95923261390887293</c:v>
                </c:pt>
                <c:pt idx="834">
                  <c:v>0.95928143712574854</c:v>
                </c:pt>
                <c:pt idx="835">
                  <c:v>0.95933014354066981</c:v>
                </c:pt>
                <c:pt idx="836">
                  <c:v>0.95937873357228198</c:v>
                </c:pt>
                <c:pt idx="837">
                  <c:v>0.95942720763723155</c:v>
                </c:pt>
                <c:pt idx="838">
                  <c:v>0.95947556615017882</c:v>
                </c:pt>
                <c:pt idx="839">
                  <c:v>0.95952380952380956</c:v>
                </c:pt>
                <c:pt idx="840">
                  <c:v>0.95957193816884656</c:v>
                </c:pt>
                <c:pt idx="841">
                  <c:v>0.95961995249406173</c:v>
                </c:pt>
                <c:pt idx="842">
                  <c:v>0.95966785290628709</c:v>
                </c:pt>
                <c:pt idx="843">
                  <c:v>0.95971563981042651</c:v>
                </c:pt>
                <c:pt idx="844">
                  <c:v>0.95976331360946743</c:v>
                </c:pt>
                <c:pt idx="845">
                  <c:v>0.95981087470449178</c:v>
                </c:pt>
                <c:pt idx="846">
                  <c:v>0.95985832349468714</c:v>
                </c:pt>
                <c:pt idx="847">
                  <c:v>0.95990566037735847</c:v>
                </c:pt>
                <c:pt idx="848">
                  <c:v>0.9599528857479388</c:v>
                </c:pt>
                <c:pt idx="849">
                  <c:v>0.96</c:v>
                </c:pt>
                <c:pt idx="850">
                  <c:v>0.9600470035252644</c:v>
                </c:pt>
                <c:pt idx="851">
                  <c:v>0.960093896713615</c:v>
                </c:pt>
                <c:pt idx="852">
                  <c:v>0.9601406799531067</c:v>
                </c:pt>
                <c:pt idx="853">
                  <c:v>0.96018735362997654</c:v>
                </c:pt>
                <c:pt idx="854">
                  <c:v>0.960233918128655</c:v>
                </c:pt>
                <c:pt idx="855">
                  <c:v>0.96028037383177567</c:v>
                </c:pt>
                <c:pt idx="856">
                  <c:v>0.96032672112018669</c:v>
                </c:pt>
                <c:pt idx="857">
                  <c:v>0.96037296037296038</c:v>
                </c:pt>
                <c:pt idx="858">
                  <c:v>0.96041909196740394</c:v>
                </c:pt>
                <c:pt idx="859">
                  <c:v>0.96046511627906972</c:v>
                </c:pt>
                <c:pt idx="860">
                  <c:v>0.96051103368176538</c:v>
                </c:pt>
                <c:pt idx="861">
                  <c:v>0.96055684454756385</c:v>
                </c:pt>
                <c:pt idx="862">
                  <c:v>0.96060254924681343</c:v>
                </c:pt>
                <c:pt idx="863">
                  <c:v>0.96064814814814814</c:v>
                </c:pt>
                <c:pt idx="864">
                  <c:v>0.96069364161849713</c:v>
                </c:pt>
                <c:pt idx="865">
                  <c:v>0.96073903002309469</c:v>
                </c:pt>
                <c:pt idx="866">
                  <c:v>0.96078431372549022</c:v>
                </c:pt>
                <c:pt idx="867">
                  <c:v>0.96082949308755761</c:v>
                </c:pt>
                <c:pt idx="868">
                  <c:v>0.96087456846950514</c:v>
                </c:pt>
                <c:pt idx="869">
                  <c:v>0.96091954022988502</c:v>
                </c:pt>
                <c:pt idx="870">
                  <c:v>0.96096440872560274</c:v>
                </c:pt>
                <c:pt idx="871">
                  <c:v>0.96100917431192656</c:v>
                </c:pt>
                <c:pt idx="872">
                  <c:v>0.96105383734249716</c:v>
                </c:pt>
                <c:pt idx="873">
                  <c:v>0.9610983981693364</c:v>
                </c:pt>
                <c:pt idx="874">
                  <c:v>0.96114285714285719</c:v>
                </c:pt>
                <c:pt idx="875">
                  <c:v>0.96004566210045661</c:v>
                </c:pt>
                <c:pt idx="876">
                  <c:v>0.95895096921322687</c:v>
                </c:pt>
                <c:pt idx="877">
                  <c:v>0.95899772209567202</c:v>
                </c:pt>
                <c:pt idx="878">
                  <c:v>0.95904436860068254</c:v>
                </c:pt>
                <c:pt idx="879">
                  <c:v>0.95909090909090911</c:v>
                </c:pt>
                <c:pt idx="880">
                  <c:v>0.95913734392735528</c:v>
                </c:pt>
                <c:pt idx="881">
                  <c:v>0.95918367346938771</c:v>
                </c:pt>
                <c:pt idx="882">
                  <c:v>0.95922989807474524</c:v>
                </c:pt>
                <c:pt idx="883">
                  <c:v>0.95927601809954754</c:v>
                </c:pt>
                <c:pt idx="884">
                  <c:v>0.95932203389830506</c:v>
                </c:pt>
                <c:pt idx="885">
                  <c:v>0.95936794582392781</c:v>
                </c:pt>
                <c:pt idx="886">
                  <c:v>0.95941375422773389</c:v>
                </c:pt>
                <c:pt idx="887">
                  <c:v>0.95945945945945943</c:v>
                </c:pt>
                <c:pt idx="888">
                  <c:v>0.95950506186726658</c:v>
                </c:pt>
                <c:pt idx="889">
                  <c:v>0.95842696629213486</c:v>
                </c:pt>
                <c:pt idx="890">
                  <c:v>0.95847362514029177</c:v>
                </c:pt>
                <c:pt idx="891">
                  <c:v>0.95852017937219736</c:v>
                </c:pt>
                <c:pt idx="892">
                  <c:v>0.9585666293393057</c:v>
                </c:pt>
                <c:pt idx="893">
                  <c:v>0.95861297539149892</c:v>
                </c:pt>
                <c:pt idx="894">
                  <c:v>0.95865921787709496</c:v>
                </c:pt>
                <c:pt idx="895">
                  <c:v>0.9587053571428571</c:v>
                </c:pt>
                <c:pt idx="896">
                  <c:v>0.9576365663322185</c:v>
                </c:pt>
                <c:pt idx="897">
                  <c:v>0.95768374164810688</c:v>
                </c:pt>
                <c:pt idx="898">
                  <c:v>0.9577308120133482</c:v>
                </c:pt>
                <c:pt idx="899">
                  <c:v>0.95777777777777773</c:v>
                </c:pt>
                <c:pt idx="900">
                  <c:v>0.95782463928967809</c:v>
                </c:pt>
                <c:pt idx="901">
                  <c:v>0.95787139689578715</c:v>
                </c:pt>
                <c:pt idx="902">
                  <c:v>0.95791805094130678</c:v>
                </c:pt>
                <c:pt idx="903">
                  <c:v>0.95796460176991149</c:v>
                </c:pt>
                <c:pt idx="904">
                  <c:v>0.95801104972375695</c:v>
                </c:pt>
                <c:pt idx="905">
                  <c:v>0.95805739514348787</c:v>
                </c:pt>
                <c:pt idx="906">
                  <c:v>0.95810363836824697</c:v>
                </c:pt>
                <c:pt idx="907">
                  <c:v>0.95814977973568283</c:v>
                </c:pt>
                <c:pt idx="908">
                  <c:v>0.95819581958195821</c:v>
                </c:pt>
                <c:pt idx="909">
                  <c:v>0.95824175824175828</c:v>
                </c:pt>
                <c:pt idx="910">
                  <c:v>0.95828759604829861</c:v>
                </c:pt>
                <c:pt idx="911">
                  <c:v>0.95833333333333337</c:v>
                </c:pt>
                <c:pt idx="912">
                  <c:v>0.95837897042716325</c:v>
                </c:pt>
                <c:pt idx="913">
                  <c:v>0.95842450765864329</c:v>
                </c:pt>
                <c:pt idx="914">
                  <c:v>0.95846994535519126</c:v>
                </c:pt>
                <c:pt idx="915">
                  <c:v>0.95851528384279472</c:v>
                </c:pt>
                <c:pt idx="916">
                  <c:v>0.95856052344601961</c:v>
                </c:pt>
                <c:pt idx="917">
                  <c:v>0.95860566448801743</c:v>
                </c:pt>
                <c:pt idx="918">
                  <c:v>0.95865070729053314</c:v>
                </c:pt>
                <c:pt idx="919">
                  <c:v>0.95869565217391306</c:v>
                </c:pt>
                <c:pt idx="920">
                  <c:v>0.95874049945711182</c:v>
                </c:pt>
                <c:pt idx="921">
                  <c:v>0.95878524945770061</c:v>
                </c:pt>
                <c:pt idx="922">
                  <c:v>0.95882990249187428</c:v>
                </c:pt>
                <c:pt idx="923">
                  <c:v>0.95887445887445888</c:v>
                </c:pt>
                <c:pt idx="924">
                  <c:v>0.95891891891891889</c:v>
                </c:pt>
                <c:pt idx="925">
                  <c:v>0.95896328293736499</c:v>
                </c:pt>
                <c:pt idx="926">
                  <c:v>0.95900755124056092</c:v>
                </c:pt>
                <c:pt idx="927">
                  <c:v>0.95905172413793105</c:v>
                </c:pt>
                <c:pt idx="928">
                  <c:v>0.95909580193756727</c:v>
                </c:pt>
                <c:pt idx="929">
                  <c:v>0.95913978494623653</c:v>
                </c:pt>
                <c:pt idx="930">
                  <c:v>0.95918367346938771</c:v>
                </c:pt>
                <c:pt idx="931">
                  <c:v>0.95922746781115875</c:v>
                </c:pt>
                <c:pt idx="932">
                  <c:v>0.95819935691318325</c:v>
                </c:pt>
                <c:pt idx="933">
                  <c:v>0.95824411134903642</c:v>
                </c:pt>
                <c:pt idx="934">
                  <c:v>0.9582887700534759</c:v>
                </c:pt>
                <c:pt idx="935">
                  <c:v>0.95833333333333337</c:v>
                </c:pt>
                <c:pt idx="936">
                  <c:v>0.95837780149413021</c:v>
                </c:pt>
                <c:pt idx="937">
                  <c:v>0.95842217484008529</c:v>
                </c:pt>
                <c:pt idx="938">
                  <c:v>0.95846645367412142</c:v>
                </c:pt>
                <c:pt idx="939">
                  <c:v>0.95851063829787231</c:v>
                </c:pt>
                <c:pt idx="940">
                  <c:v>0.9585547290116897</c:v>
                </c:pt>
                <c:pt idx="941">
                  <c:v>0.95859872611464969</c:v>
                </c:pt>
                <c:pt idx="942">
                  <c:v>0.95864262990455995</c:v>
                </c:pt>
                <c:pt idx="943">
                  <c:v>0.95868644067796616</c:v>
                </c:pt>
                <c:pt idx="944">
                  <c:v>0.95767195767195767</c:v>
                </c:pt>
                <c:pt idx="945">
                  <c:v>0.95771670190274838</c:v>
                </c:pt>
                <c:pt idx="946">
                  <c:v>0.95776135163674758</c:v>
                </c:pt>
                <c:pt idx="947">
                  <c:v>0.95780590717299574</c:v>
                </c:pt>
                <c:pt idx="948">
                  <c:v>0.95785036880927288</c:v>
                </c:pt>
                <c:pt idx="949">
                  <c:v>0.95789473684210524</c:v>
                </c:pt>
                <c:pt idx="950">
                  <c:v>0.95793901156677186</c:v>
                </c:pt>
                <c:pt idx="951">
                  <c:v>0.95798319327731096</c:v>
                </c:pt>
                <c:pt idx="952">
                  <c:v>0.95802728226652678</c:v>
                </c:pt>
                <c:pt idx="953">
                  <c:v>0.95807127882599585</c:v>
                </c:pt>
                <c:pt idx="954">
                  <c:v>0.95811518324607325</c:v>
                </c:pt>
                <c:pt idx="955">
                  <c:v>0.95711297071129708</c:v>
                </c:pt>
                <c:pt idx="956">
                  <c:v>0.9571577847439916</c:v>
                </c:pt>
                <c:pt idx="957">
                  <c:v>0.95615866388308979</c:v>
                </c:pt>
                <c:pt idx="958">
                  <c:v>0.95620437956204385</c:v>
                </c:pt>
                <c:pt idx="959">
                  <c:v>0.95625000000000004</c:v>
                </c:pt>
                <c:pt idx="960">
                  <c:v>0.95629552549427677</c:v>
                </c:pt>
                <c:pt idx="961">
                  <c:v>0.95634095634095639</c:v>
                </c:pt>
                <c:pt idx="962">
                  <c:v>0.95638629283489096</c:v>
                </c:pt>
                <c:pt idx="963">
                  <c:v>0.95643153526970959</c:v>
                </c:pt>
                <c:pt idx="964">
                  <c:v>0.95647668393782381</c:v>
                </c:pt>
                <c:pt idx="965">
                  <c:v>0.95548654244306419</c:v>
                </c:pt>
                <c:pt idx="966">
                  <c:v>0.9555325749741469</c:v>
                </c:pt>
                <c:pt idx="967">
                  <c:v>0.95557851239669422</c:v>
                </c:pt>
                <c:pt idx="968">
                  <c:v>0.95562435500515996</c:v>
                </c:pt>
                <c:pt idx="969">
                  <c:v>0.95463917525773201</c:v>
                </c:pt>
                <c:pt idx="970">
                  <c:v>0.95468589083419153</c:v>
                </c:pt>
                <c:pt idx="971">
                  <c:v>0.95473251028806583</c:v>
                </c:pt>
                <c:pt idx="972">
                  <c:v>0.95477903391572461</c:v>
                </c:pt>
                <c:pt idx="973">
                  <c:v>0.95482546201232033</c:v>
                </c:pt>
                <c:pt idx="974">
                  <c:v>0.95487179487179485</c:v>
                </c:pt>
                <c:pt idx="975">
                  <c:v>0.95491803278688525</c:v>
                </c:pt>
                <c:pt idx="976">
                  <c:v>0.95496417604912998</c:v>
                </c:pt>
                <c:pt idx="977">
                  <c:v>0.95398773006134974</c:v>
                </c:pt>
                <c:pt idx="978">
                  <c:v>0.95403472931562816</c:v>
                </c:pt>
                <c:pt idx="979">
                  <c:v>0.95408163265306123</c:v>
                </c:pt>
                <c:pt idx="980">
                  <c:v>0.95412844036697253</c:v>
                </c:pt>
                <c:pt idx="981">
                  <c:v>0.95417515274949083</c:v>
                </c:pt>
                <c:pt idx="982">
                  <c:v>0.95422177009155651</c:v>
                </c:pt>
                <c:pt idx="983">
                  <c:v>0.95426829268292679</c:v>
                </c:pt>
                <c:pt idx="984">
                  <c:v>0.95431472081218272</c:v>
                </c:pt>
                <c:pt idx="985">
                  <c:v>0.95436105476673427</c:v>
                </c:pt>
                <c:pt idx="986">
                  <c:v>0.95440729483282671</c:v>
                </c:pt>
                <c:pt idx="987">
                  <c:v>0.95445344129554655</c:v>
                </c:pt>
                <c:pt idx="988">
                  <c:v>0.95449949443882709</c:v>
                </c:pt>
                <c:pt idx="989">
                  <c:v>0.95454545454545459</c:v>
                </c:pt>
                <c:pt idx="990">
                  <c:v>0.95459132189707363</c:v>
                </c:pt>
                <c:pt idx="991">
                  <c:v>0.95463709677419351</c:v>
                </c:pt>
                <c:pt idx="992">
                  <c:v>0.9546827794561934</c:v>
                </c:pt>
                <c:pt idx="993">
                  <c:v>0.95472837022132795</c:v>
                </c:pt>
                <c:pt idx="994">
                  <c:v>0.95477386934673369</c:v>
                </c:pt>
                <c:pt idx="995">
                  <c:v>0.95481927710843373</c:v>
                </c:pt>
                <c:pt idx="996">
                  <c:v>0.95486459378134403</c:v>
                </c:pt>
                <c:pt idx="997">
                  <c:v>0.95490981963927857</c:v>
                </c:pt>
                <c:pt idx="998">
                  <c:v>0.95495495495495497</c:v>
                </c:pt>
                <c:pt idx="999">
                  <c:v>0.95499999999999996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12-1944-BA6C-51B4D227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014720"/>
        <c:axId val="1738016512"/>
      </c:lineChart>
      <c:catAx>
        <c:axId val="173801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38016512"/>
        <c:crosses val="autoZero"/>
        <c:auto val="1"/>
        <c:lblAlgn val="ctr"/>
        <c:lblOffset val="100"/>
        <c:noMultiLvlLbl val="0"/>
      </c:catAx>
      <c:valAx>
        <c:axId val="17380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E"/>
          </a:p>
        </c:txPr>
        <c:crossAx val="17380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215347</xdr:colOff>
      <xdr:row>9</xdr:row>
      <xdr:rowOff>185989</xdr:rowOff>
    </xdr:from>
    <xdr:to>
      <xdr:col>14</xdr:col>
      <xdr:colOff>597421</xdr:colOff>
      <xdr:row>22</xdr:row>
      <xdr:rowOff>88347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4E1AC-46B7-5050-DD90-B657422E4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6C4BF-AE6F-044D-93E2-63EDC1C3B194}" name="Tableau1" displayName="Tableau1" ref="AO2:AU63" totalsRowShown="0" headerRowDxfId="86">
  <autoFilter ref="AO2:AU63" xr:uid="{4486C4BF-AE6F-044D-93E2-63EDC1C3B194}"/>
  <sortState xmlns:xlrd2="http://schemas.microsoft.com/office/spreadsheetml/2017/richdata2" ref="AO3:AU63">
    <sortCondition descending="1" ref="AU2:AU63"/>
  </sortState>
  <tableColumns count="7">
    <tableColumn id="1" xr3:uid="{91D34635-A5DB-C648-A1F9-C066511FA9AA}" name="Player id"/>
    <tableColumn id="2" xr3:uid="{CD4BAED5-E873-C04F-AE6B-0A33E81ED85E}" name="Dragon fruit"/>
    <tableColumn id="3" xr3:uid="{4528B460-F4D8-1C49-9700-B300A2988737}" name="Bamboo shoot"/>
    <tableColumn id="4" xr3:uid="{548431E4-B3C7-524F-B224-83805CC387D0}" name="Carrot"/>
    <tableColumn id="5" xr3:uid="{02FEC7AE-194E-E443-80BE-002277C3C790}" name="Phantom fruit"/>
    <tableColumn id="6" xr3:uid="{39276B89-7605-E349-83ED-B482A19A8A8E}" name="Clocko fruit"/>
    <tableColumn id="7" xr3:uid="{972A68AA-6FAC-5F46-8292-EE806861AA1E}" name="Average" dataDxfId="85">
      <calculatedColumnFormula>AVERAGE(Tableau1[[#This Row],[Dragon fruit]:[Clocko fruit]])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8B1DE2-E3C1-1146-B270-50D85E6C4DC4}" name="Tableau2" displayName="Tableau2" ref="AW2:AX63" totalsRowShown="0" headerRowDxfId="84" dataDxfId="82" headerRowBorderDxfId="83" tableBorderDxfId="81" totalsRowBorderDxfId="80">
  <autoFilter ref="AW2:AX63" xr:uid="{2B8B1DE2-E3C1-1146-B270-50D85E6C4DC4}"/>
  <sortState xmlns:xlrd2="http://schemas.microsoft.com/office/spreadsheetml/2017/richdata2" ref="AW3:AX63">
    <sortCondition descending="1" ref="AX2:AX63"/>
  </sortState>
  <tableColumns count="2">
    <tableColumn id="1" xr3:uid="{A2E787FC-A5E1-D249-B640-6F4A571D947A}" name="Player id" dataDxfId="79"/>
    <tableColumn id="2" xr3:uid="{C7E046FE-D1B7-9945-AAEC-ECFFA21F2F05}" name="Dragon fruit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B4434-C1BD-FF48-9254-45F5ABD378AA}" name="Tableau3" displayName="Tableau3" ref="AY2:AZ63" totalsRowShown="0" headerRowDxfId="77" dataDxfId="75" headerRowBorderDxfId="76" tableBorderDxfId="74" totalsRowBorderDxfId="73">
  <autoFilter ref="AY2:AZ63" xr:uid="{F14B4434-C1BD-FF48-9254-45F5ABD378AA}"/>
  <sortState xmlns:xlrd2="http://schemas.microsoft.com/office/spreadsheetml/2017/richdata2" ref="AY3:AZ63">
    <sortCondition descending="1" ref="AZ2:AZ63"/>
  </sortState>
  <tableColumns count="2">
    <tableColumn id="1" xr3:uid="{B97D4C0D-A042-3E4E-92BC-4CB93CB1ECB1}" name="Player id" dataDxfId="72"/>
    <tableColumn id="2" xr3:uid="{70ADDA47-2DA7-EE4B-A70E-9A14F820A230}" name="Bamboo shoot" dataDxfId="7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1101D-F9A4-A64E-AE7D-84C329375EB3}" name="Tableau4" displayName="Tableau4" ref="BA2:BB63" totalsRowShown="0" headerRowDxfId="70" dataDxfId="68" headerRowBorderDxfId="69" tableBorderDxfId="67" totalsRowBorderDxfId="66">
  <autoFilter ref="BA2:BB63" xr:uid="{8251101D-F9A4-A64E-AE7D-84C329375EB3}"/>
  <sortState xmlns:xlrd2="http://schemas.microsoft.com/office/spreadsheetml/2017/richdata2" ref="BA3:BB63">
    <sortCondition descending="1" ref="BB2:BB63"/>
  </sortState>
  <tableColumns count="2">
    <tableColumn id="1" xr3:uid="{1EF03151-0496-8041-A1D6-D832796B7172}" name="Player id" dataDxfId="65"/>
    <tableColumn id="2" xr3:uid="{EEB04574-CD27-BF43-B160-3C0A4D7C5E3E}" name="Carrot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ADF3EB-8EA2-404C-A4E7-00D5FFD5DA3C}" name="Tableau5" displayName="Tableau5" ref="BC2:BD63" totalsRowShown="0" headerRowDxfId="63" dataDxfId="61" headerRowBorderDxfId="62" tableBorderDxfId="60" totalsRowBorderDxfId="59">
  <autoFilter ref="BC2:BD63" xr:uid="{ECADF3EB-8EA2-404C-A4E7-00D5FFD5DA3C}"/>
  <sortState xmlns:xlrd2="http://schemas.microsoft.com/office/spreadsheetml/2017/richdata2" ref="BC3:BD63">
    <sortCondition descending="1" ref="BD2:BD63"/>
  </sortState>
  <tableColumns count="2">
    <tableColumn id="1" xr3:uid="{4EC2D3EF-F073-394D-A7CD-FBB76FEB709A}" name="Player id" dataDxfId="58"/>
    <tableColumn id="2" xr3:uid="{A3E7287B-EA8B-0D4E-BFB6-12EBE7FFB9C3}" name="Phantom fruit" dataDxfId="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ABDD0B-7F8F-8A43-9BDD-F4F7C3F5BF7C}" name="Tableau6" displayName="Tableau6" ref="BE2:BF63" totalsRowShown="0" headerRowDxfId="56" dataDxfId="54" headerRowBorderDxfId="55" tableBorderDxfId="53" totalsRowBorderDxfId="52">
  <autoFilter ref="BE2:BF63" xr:uid="{05ABDD0B-7F8F-8A43-9BDD-F4F7C3F5BF7C}"/>
  <sortState xmlns:xlrd2="http://schemas.microsoft.com/office/spreadsheetml/2017/richdata2" ref="BE3:BF63">
    <sortCondition descending="1" ref="BF2:BF63"/>
  </sortState>
  <tableColumns count="2">
    <tableColumn id="1" xr3:uid="{626A6D84-49CC-234F-9D49-5B06369D3FBB}" name="Player id" dataDxfId="51"/>
    <tableColumn id="2" xr3:uid="{6A01E90B-4BC8-314D-A273-BEBD09E8F9C2}" name="Clocko fruit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D2E99D-6E8A-1249-917E-8AD4308A492A}" name="Tableau18" displayName="Tableau18" ref="B2:I63" totalsRowShown="0" headerRowDxfId="49">
  <autoFilter ref="B2:I63" xr:uid="{93D2E99D-6E8A-1249-917E-8AD4308A492A}"/>
  <sortState xmlns:xlrd2="http://schemas.microsoft.com/office/spreadsheetml/2017/richdata2" ref="B3:I63">
    <sortCondition descending="1" ref="I2:I63"/>
  </sortState>
  <tableColumns count="8">
    <tableColumn id="1" xr3:uid="{157BE217-E842-0C47-A85B-7234BD1DDC78}" name="Player id"/>
    <tableColumn id="2" xr3:uid="{6CB70E47-6161-7D4F-BBF3-08DE868D3158}" name="Bamboo shoot" dataDxfId="48"/>
    <tableColumn id="3" xr3:uid="{6547ED81-2726-B043-8EE2-9C5946140AAC}" name="Dragon fruit" dataDxfId="47"/>
    <tableColumn id="4" xr3:uid="{67A86883-65B1-6B4C-9EC4-65756A247A06}" name="Phantom fruit" dataDxfId="46"/>
    <tableColumn id="8" xr3:uid="{40450F16-90B6-614D-AA97-A47385AD9B98}" name="Carrot" dataDxfId="45"/>
    <tableColumn id="5" xr3:uid="{5332D852-F6AD-D547-8E18-F87E6C4D5D28}" name="Cherry" dataDxfId="44"/>
    <tableColumn id="6" xr3:uid="{EDAE5DBF-50CC-3F42-BD00-F1E0C7B24BAA}" name="Clocko fruit" dataDxfId="43"/>
    <tableColumn id="7" xr3:uid="{D40CC9F0-3BD6-3542-A1F1-484BD6845719}" name="Average" dataDxfId="42">
      <calculatedColumnFormula>AVERAGE(Tableau18[[#This Row],[Bamboo shoot]:[Clocko fruit]])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5F0CDE-46D7-514A-AC46-10C602B7CD5F}" name="Tableau29" displayName="Tableau29" ref="K2:L63" totalsRowShown="0" headerRowDxfId="41" dataDxfId="39" headerRowBorderDxfId="40" tableBorderDxfId="38" totalsRowBorderDxfId="37">
  <autoFilter ref="K2:L63" xr:uid="{235F0CDE-46D7-514A-AC46-10C602B7CD5F}"/>
  <sortState xmlns:xlrd2="http://schemas.microsoft.com/office/spreadsheetml/2017/richdata2" ref="K3:L63">
    <sortCondition descending="1" ref="L2:L63"/>
  </sortState>
  <tableColumns count="2">
    <tableColumn id="1" xr3:uid="{99ED7C60-E6A2-B644-AF43-EDB36230968C}" name="Player id" dataDxfId="36"/>
    <tableColumn id="2" xr3:uid="{FEBA44CD-D210-B44C-8714-B06B09D5E98A}" name="Bamboo shoot" dataDxfId="35">
      <calculatedColumnFormula>VLOOKUP(Tableau29[[#This Row],[Player id]],Tableau18[[Player id]:[Clocko fruit]],2,0)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99589D5-0812-AE48-81B2-C34602D02B1E}" name="Tableau310" displayName="Tableau310" ref="M2:N63" totalsRowShown="0" headerRowDxfId="34" dataDxfId="32" headerRowBorderDxfId="33" tableBorderDxfId="31" totalsRowBorderDxfId="30">
  <autoFilter ref="M2:N63" xr:uid="{399589D5-0812-AE48-81B2-C34602D02B1E}"/>
  <sortState xmlns:xlrd2="http://schemas.microsoft.com/office/spreadsheetml/2017/richdata2" ref="M3:N63">
    <sortCondition descending="1" ref="N2:N63"/>
  </sortState>
  <tableColumns count="2">
    <tableColumn id="1" xr3:uid="{AC28EE11-47FB-FA46-92B5-1E2A9B158E8F}" name="Player id" dataDxfId="29"/>
    <tableColumn id="2" xr3:uid="{08E6D857-C519-A842-8971-28885E00ED64}" name="Dragon fruit" dataDxfId="28">
      <calculatedColumnFormula>VLOOKUP(Tableau310[[#This Row],[Player id]],Tableau18[[Player id]:[Clocko fruit]],3,0)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C71C8-A654-7342-B192-8ADC1AF0AF64}" name="Tableau411" displayName="Tableau411" ref="O2:P63" totalsRowShown="0" headerRowDxfId="27" dataDxfId="25" headerRowBorderDxfId="26" tableBorderDxfId="24" totalsRowBorderDxfId="23">
  <autoFilter ref="O2:P63" xr:uid="{711C71C8-A654-7342-B192-8ADC1AF0AF64}"/>
  <sortState xmlns:xlrd2="http://schemas.microsoft.com/office/spreadsheetml/2017/richdata2" ref="O3:P63">
    <sortCondition descending="1" ref="P2:P63"/>
  </sortState>
  <tableColumns count="2">
    <tableColumn id="1" xr3:uid="{612F406D-1CDA-A14D-9C50-DC63F3A35BC9}" name="Player id" dataDxfId="22"/>
    <tableColumn id="2" xr3:uid="{F09C6223-C78E-E44D-9AB9-1B999DD99E92}" name="Phantom fruit" dataDxfId="21">
      <calculatedColumnFormula>VLOOKUP(Tableau411[[#This Row],[Player id]],Tableau18[[Player id]:[Clocko fruit]],4,0)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F52AE8-9581-7A4F-8C89-414A6CB32F71}" name="Tableau512" displayName="Tableau512" ref="Q2:R63" totalsRowShown="0" headerRowDxfId="20" dataDxfId="18" headerRowBorderDxfId="19" tableBorderDxfId="17" totalsRowBorderDxfId="16">
  <autoFilter ref="Q2:R63" xr:uid="{5BF52AE8-9581-7A4F-8C89-414A6CB32F71}"/>
  <sortState xmlns:xlrd2="http://schemas.microsoft.com/office/spreadsheetml/2017/richdata2" ref="Q3:R63">
    <sortCondition descending="1" ref="R2:R63"/>
  </sortState>
  <tableColumns count="2">
    <tableColumn id="1" xr3:uid="{A51A37A4-40E5-AE49-A374-3F8A0E345484}" name="Player id" dataDxfId="15"/>
    <tableColumn id="2" xr3:uid="{4BE695CE-4561-4C49-8134-CD2000660677}" name="Carrot" dataDxfId="14">
      <calculatedColumnFormula>VLOOKUP(Tableau512[[#This Row],[Player id]],Tableau18[[Player id]:[Clocko fruit]],5,0)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5224AA-42C6-EF43-BD02-58006A70B26A}" name="Tableau613" displayName="Tableau613" ref="S2:T63" totalsRowShown="0" headerRowDxfId="13" dataDxfId="11" headerRowBorderDxfId="12" tableBorderDxfId="10" totalsRowBorderDxfId="9">
  <autoFilter ref="S2:T63" xr:uid="{725224AA-42C6-EF43-BD02-58006A70B26A}"/>
  <sortState xmlns:xlrd2="http://schemas.microsoft.com/office/spreadsheetml/2017/richdata2" ref="S3:T63">
    <sortCondition descending="1" ref="T2:T63"/>
  </sortState>
  <tableColumns count="2">
    <tableColumn id="1" xr3:uid="{073A69D0-7EE3-EB48-BA96-4FB9E3D13B1A}" name="Player id" dataDxfId="8"/>
    <tableColumn id="2" xr3:uid="{BEA6B22A-CAE8-D840-9A40-3A17545AC997}" name="Cherry" dataDxfId="7">
      <calculatedColumnFormula>VLOOKUP(Tableau613[[#This Row],[Player id]],Tableau18[[Player id]:[Clocko fruit]],5,0)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FF64F0-520A-3F4C-8B84-0C9917BB4FE6}" name="Tableau61314" displayName="Tableau61314" ref="U2:V63" totalsRowShown="0" headerRowDxfId="6" dataDxfId="4" headerRowBorderDxfId="5" tableBorderDxfId="3" totalsRowBorderDxfId="2">
  <autoFilter ref="U2:V63" xr:uid="{D2FF64F0-520A-3F4C-8B84-0C9917BB4FE6}"/>
  <sortState xmlns:xlrd2="http://schemas.microsoft.com/office/spreadsheetml/2017/richdata2" ref="U3:V63">
    <sortCondition descending="1" ref="V2:V63"/>
  </sortState>
  <tableColumns count="2">
    <tableColumn id="1" xr3:uid="{95668D2D-2437-4944-A53F-032D5AB99ED8}" name="Player id" dataDxfId="1"/>
    <tableColumn id="2" xr3:uid="{09FF6434-8F0E-8748-990B-19CBF00DD927}" name="Clocko fruit" dataDxfId="0">
      <calculatedColumnFormula>VLOOKUP(Tableau61314[[#This Row],[Player id]],Tableau18[[Player id]:[Clocko fruit]],6,0)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93A99-B024-554B-9882-ED2604C9D809}">
  <dimension ref="A1:AR218"/>
  <sheetViews>
    <sheetView topLeftCell="V1" zoomScaleNormal="150" zoomScaleSheetLayoutView="100" workbookViewId="0">
      <selection activeCell="AM4" sqref="AM4"/>
    </sheetView>
  </sheetViews>
  <sheetFormatPr defaultColWidth="8.609375" defaultRowHeight="15" x14ac:dyDescent="0.2"/>
  <cols>
    <col min="1" max="1" width="11.02734375" bestFit="1" customWidth="1"/>
    <col min="2" max="3" width="8.875" bestFit="1" customWidth="1"/>
    <col min="12" max="12" width="6.05078125" bestFit="1" customWidth="1"/>
    <col min="13" max="13" width="6.9921875" bestFit="1" customWidth="1"/>
    <col min="14" max="14" width="6.9921875" customWidth="1"/>
    <col min="15" max="15" width="4.03515625" bestFit="1" customWidth="1"/>
    <col min="16" max="16" width="5.109375" bestFit="1" customWidth="1"/>
    <col min="17" max="17" width="3.359375" bestFit="1" customWidth="1"/>
    <col min="18" max="18" width="4.4375" bestFit="1" customWidth="1"/>
    <col min="19" max="19" width="8.33984375" bestFit="1" customWidth="1"/>
    <col min="25" max="25" width="6.58984375" hidden="1" customWidth="1"/>
    <col min="26" max="26" width="5.91796875" bestFit="1" customWidth="1"/>
    <col min="27" max="27" width="5.37890625" hidden="1" customWidth="1"/>
    <col min="28" max="28" width="6.1875" bestFit="1" customWidth="1"/>
    <col min="29" max="29" width="6.1875" hidden="1" customWidth="1"/>
    <col min="30" max="30" width="7.26171875" bestFit="1" customWidth="1"/>
    <col min="31" max="31" width="6.1875" hidden="1" customWidth="1"/>
    <col min="32" max="32" width="7.26171875" bestFit="1" customWidth="1"/>
    <col min="33" max="33" width="6.1875" hidden="1" customWidth="1"/>
    <col min="34" max="34" width="8.203125" bestFit="1" customWidth="1"/>
    <col min="35" max="35" width="7.26171875" hidden="1" customWidth="1"/>
    <col min="36" max="36" width="8.203125" bestFit="1" customWidth="1"/>
    <col min="38" max="38" width="9.55078125" bestFit="1" customWidth="1"/>
  </cols>
  <sheetData>
    <row r="1" spans="1:44" ht="15.75" thickBot="1" x14ac:dyDescent="0.25">
      <c r="A1" t="s">
        <v>30</v>
      </c>
      <c r="B1" t="s">
        <v>31</v>
      </c>
      <c r="C1">
        <v>1</v>
      </c>
      <c r="D1">
        <v>2</v>
      </c>
      <c r="E1">
        <v>3</v>
      </c>
      <c r="F1">
        <v>5</v>
      </c>
      <c r="G1">
        <v>10</v>
      </c>
      <c r="H1">
        <v>20</v>
      </c>
      <c r="I1" t="s">
        <v>33</v>
      </c>
      <c r="L1" s="67" t="s">
        <v>59</v>
      </c>
      <c r="M1" s="68"/>
      <c r="N1" s="68"/>
      <c r="O1" s="68"/>
      <c r="P1" s="68"/>
      <c r="Q1" s="68"/>
      <c r="R1" s="68"/>
      <c r="S1" s="69"/>
    </row>
    <row r="2" spans="1:44" ht="15.75" thickBot="1" x14ac:dyDescent="0.25">
      <c r="A2" t="s">
        <v>0</v>
      </c>
      <c r="B2" s="1">
        <v>0.43480000000000002</v>
      </c>
      <c r="D2" s="1"/>
      <c r="E2" s="1"/>
      <c r="F2" s="1"/>
      <c r="G2" s="1"/>
      <c r="I2">
        <f>SUMPRODUCT(C2:H2,C$1:H$1)*B2</f>
        <v>0</v>
      </c>
      <c r="L2" s="29" t="s">
        <v>60</v>
      </c>
      <c r="M2" s="30" t="s">
        <v>61</v>
      </c>
      <c r="N2" s="31" t="s">
        <v>65</v>
      </c>
      <c r="O2" s="16" t="s">
        <v>58</v>
      </c>
      <c r="P2" s="17" t="s">
        <v>57</v>
      </c>
      <c r="Q2" s="17" t="s">
        <v>63</v>
      </c>
      <c r="R2" s="17" t="s">
        <v>64</v>
      </c>
      <c r="S2" s="18" t="s">
        <v>62</v>
      </c>
    </row>
    <row r="3" spans="1:44" x14ac:dyDescent="0.2">
      <c r="A3" t="s">
        <v>1</v>
      </c>
      <c r="B3" s="1">
        <v>0.28989999999999999</v>
      </c>
      <c r="D3" s="1"/>
      <c r="E3" s="1"/>
      <c r="F3" s="1"/>
      <c r="G3" s="1"/>
      <c r="I3">
        <f t="shared" ref="I3:I32" si="0">SUMPRODUCT(C3:H3,C$1:H$1)*B3</f>
        <v>0</v>
      </c>
      <c r="L3" s="32">
        <v>80</v>
      </c>
      <c r="M3" s="27">
        <f>SUM(L$3:L3)</f>
        <v>80</v>
      </c>
      <c r="N3" s="33">
        <f>M3*0.255*4</f>
        <v>81.599999999999994</v>
      </c>
      <c r="O3" s="51" t="str">
        <f>IF(_xlfn.TEXTAFTER($S3," ")="PB",_xlfn.TEXTBEFORE($S3," "),0)</f>
        <v>80</v>
      </c>
      <c r="P3" s="52" t="str">
        <f>O3</f>
        <v>80</v>
      </c>
      <c r="Q3" s="52">
        <f>IF(_xlfn.TEXTAFTER($S3," ")="CP",_xlfn.TEXTBEFORE($S3," "),0)</f>
        <v>0</v>
      </c>
      <c r="R3" s="52">
        <f>Q3</f>
        <v>0</v>
      </c>
      <c r="S3" s="53" t="s">
        <v>173</v>
      </c>
      <c r="W3" s="27"/>
      <c r="X3" s="27" t="s">
        <v>203</v>
      </c>
      <c r="Y3" s="27" t="s">
        <v>182</v>
      </c>
      <c r="Z3" s="27" t="s">
        <v>204</v>
      </c>
      <c r="AA3" s="27" t="s">
        <v>187</v>
      </c>
      <c r="AB3" s="27" t="s">
        <v>205</v>
      </c>
      <c r="AC3" s="27" t="s">
        <v>202</v>
      </c>
      <c r="AD3" s="27" t="s">
        <v>206</v>
      </c>
      <c r="AE3" s="27" t="s">
        <v>201</v>
      </c>
      <c r="AF3" s="27" t="s">
        <v>207</v>
      </c>
      <c r="AG3" s="27" t="s">
        <v>200</v>
      </c>
      <c r="AH3" s="27" t="s">
        <v>208</v>
      </c>
      <c r="AI3" s="27" t="s">
        <v>199</v>
      </c>
      <c r="AJ3" s="27" t="s">
        <v>209</v>
      </c>
      <c r="AL3" s="27" t="s">
        <v>213</v>
      </c>
      <c r="AM3" s="27" t="str">
        <f>Z3</f>
        <v>Candy</v>
      </c>
      <c r="AN3" s="27" t="str">
        <f>AB3</f>
        <v>Card</v>
      </c>
      <c r="AO3" s="27" t="str">
        <f>AD3</f>
        <v>Raid</v>
      </c>
      <c r="AP3" s="27" t="str">
        <f>AF3</f>
        <v>Duel</v>
      </c>
      <c r="AQ3" s="27" t="str">
        <f>AH3</f>
        <v>Feed</v>
      </c>
      <c r="AR3" s="27" t="str">
        <f>AJ3</f>
        <v>Visit</v>
      </c>
    </row>
    <row r="4" spans="1:44" x14ac:dyDescent="0.2">
      <c r="A4" t="s">
        <v>2</v>
      </c>
      <c r="B4" s="1">
        <v>0.21740000000000001</v>
      </c>
      <c r="D4" s="1"/>
      <c r="E4" s="1"/>
      <c r="F4" s="1"/>
      <c r="G4" s="1"/>
      <c r="I4">
        <f t="shared" si="0"/>
        <v>0</v>
      </c>
      <c r="L4" s="32">
        <v>70</v>
      </c>
      <c r="M4" s="27">
        <f>SUM(L$3:L4)</f>
        <v>150</v>
      </c>
      <c r="N4" s="33">
        <f t="shared" ref="N4:N42" si="1">M4*0.255*4</f>
        <v>153</v>
      </c>
      <c r="O4" s="54">
        <f t="shared" ref="O4:O54" si="2">IF(_xlfn.TEXTAFTER(S4," ")="PB",_xlfn.TEXTBEFORE(S4," "),0)</f>
        <v>0</v>
      </c>
      <c r="P4" s="55">
        <f>P3+O4</f>
        <v>80</v>
      </c>
      <c r="Q4" s="55">
        <f t="shared" ref="Q4:Q67" si="3">IF(_xlfn.TEXTAFTER($S4," ")="CP",_xlfn.TEXTBEFORE($S4," "),0)</f>
        <v>0</v>
      </c>
      <c r="R4" s="55">
        <f>R3+Q4</f>
        <v>0</v>
      </c>
      <c r="S4" s="56" t="s">
        <v>182</v>
      </c>
      <c r="W4" s="27" t="str">
        <f>TRUNC((X4+6)*10/80)&amp;"-"&amp;((X4+6)/8-TRUNC((X4+6)/8))*80</f>
        <v>0-70</v>
      </c>
      <c r="X4" s="12">
        <v>1</v>
      </c>
      <c r="Y4" s="12"/>
      <c r="Z4" s="12">
        <f>1</f>
        <v>1</v>
      </c>
      <c r="AA4" s="12"/>
      <c r="AB4" s="12">
        <f>AA4</f>
        <v>0</v>
      </c>
      <c r="AC4" s="12"/>
      <c r="AD4" s="12">
        <f>AC4</f>
        <v>0</v>
      </c>
      <c r="AE4" s="12"/>
      <c r="AF4" s="12">
        <f>AE4</f>
        <v>0</v>
      </c>
      <c r="AG4" s="12"/>
      <c r="AH4" s="12">
        <f>AG4</f>
        <v>0</v>
      </c>
      <c r="AI4" s="12"/>
      <c r="AJ4" s="12">
        <f>AI4</f>
        <v>0</v>
      </c>
      <c r="AL4" s="27" t="s">
        <v>210</v>
      </c>
      <c r="AM4" s="12">
        <f>VLOOKUP($AL4,$W$3:$AJ$218,4,0)</f>
        <v>17.100000000000001</v>
      </c>
      <c r="AN4" s="12">
        <f>VLOOKUP($AL4,$W$3:$AJ$218,6,0)</f>
        <v>18900</v>
      </c>
      <c r="AO4" s="12">
        <f>VLOOKUP($AL4,$W$3:$AJ$218,8,0)</f>
        <v>73500</v>
      </c>
      <c r="AP4" s="12">
        <f>VLOOKUP($AL4,$W$3:$AJ$218,10,0)</f>
        <v>55500</v>
      </c>
      <c r="AQ4" s="12">
        <f>VLOOKUP($AL4,$W$3:$AJ$218,12,0)</f>
        <v>315000</v>
      </c>
      <c r="AR4" s="12">
        <f>VLOOKUP($AL4,$W$3:$AJ$218,14,0)</f>
        <v>486000</v>
      </c>
    </row>
    <row r="5" spans="1:44" x14ac:dyDescent="0.2">
      <c r="A5" t="s">
        <v>3</v>
      </c>
      <c r="B5" s="1">
        <v>0.1739</v>
      </c>
      <c r="D5" s="1"/>
      <c r="E5" s="1"/>
      <c r="F5" s="1"/>
      <c r="G5" s="1"/>
      <c r="I5">
        <f t="shared" si="0"/>
        <v>0</v>
      </c>
      <c r="L5" s="32">
        <v>150</v>
      </c>
      <c r="M5" s="27">
        <f>SUM(L$3:L5)</f>
        <v>300</v>
      </c>
      <c r="N5" s="33">
        <f t="shared" si="1"/>
        <v>306</v>
      </c>
      <c r="O5" s="54">
        <f t="shared" si="2"/>
        <v>0</v>
      </c>
      <c r="P5" s="55">
        <f t="shared" ref="P5:P42" si="4">P4+O5</f>
        <v>80</v>
      </c>
      <c r="Q5" s="55" t="str">
        <f t="shared" si="3"/>
        <v>5</v>
      </c>
      <c r="R5" s="55">
        <f t="shared" ref="R5:R42" si="5">R4+Q5</f>
        <v>5</v>
      </c>
      <c r="S5" s="56" t="s">
        <v>180</v>
      </c>
      <c r="W5" s="27" t="str">
        <f>TRUNC((X5+6)*10/80)&amp;"-"&amp;((X5+6)/8-TRUNC((X5+6)/8))*80</f>
        <v>1-0</v>
      </c>
      <c r="X5" s="12">
        <v>2</v>
      </c>
      <c r="Y5" s="12"/>
      <c r="Z5" s="12">
        <f>Y5+Z4</f>
        <v>1</v>
      </c>
      <c r="AA5" s="12"/>
      <c r="AB5" s="12">
        <f>AA5+AB4</f>
        <v>0</v>
      </c>
      <c r="AC5" s="12"/>
      <c r="AD5" s="12">
        <f>AC5+AD4</f>
        <v>0</v>
      </c>
      <c r="AE5" s="12"/>
      <c r="AF5" s="12">
        <f>AE5+AF4</f>
        <v>0</v>
      </c>
      <c r="AG5" s="12"/>
      <c r="AH5" s="12">
        <f>AG5+AH4</f>
        <v>0</v>
      </c>
      <c r="AI5" s="12"/>
      <c r="AJ5" s="12">
        <f>AI5+AJ4</f>
        <v>0</v>
      </c>
      <c r="AL5" s="27" t="s">
        <v>213</v>
      </c>
      <c r="AM5" s="12" t="str">
        <f>Z3</f>
        <v>Candy</v>
      </c>
      <c r="AN5" s="12" t="str">
        <f>AB3</f>
        <v>Card</v>
      </c>
      <c r="AO5" s="12" t="str">
        <f>AD3</f>
        <v>Raid</v>
      </c>
      <c r="AP5" s="12" t="str">
        <f>AF3</f>
        <v>Duel</v>
      </c>
      <c r="AQ5" s="12" t="str">
        <f>AH3</f>
        <v>Feed</v>
      </c>
      <c r="AR5" s="12" t="str">
        <f>AJ3</f>
        <v>Visit</v>
      </c>
    </row>
    <row r="6" spans="1:44" x14ac:dyDescent="0.2">
      <c r="A6" t="s">
        <v>4</v>
      </c>
      <c r="B6" s="1">
        <v>0.1739</v>
      </c>
      <c r="C6" s="1"/>
      <c r="D6" s="1"/>
      <c r="E6" s="1"/>
      <c r="F6" s="1"/>
      <c r="G6" s="1"/>
      <c r="I6">
        <f t="shared" si="0"/>
        <v>0</v>
      </c>
      <c r="L6" s="32">
        <v>100</v>
      </c>
      <c r="M6" s="27">
        <f>SUM(L$3:L6)</f>
        <v>400</v>
      </c>
      <c r="N6" s="33">
        <f t="shared" si="1"/>
        <v>408</v>
      </c>
      <c r="O6" s="54">
        <f t="shared" si="2"/>
        <v>0</v>
      </c>
      <c r="P6" s="55">
        <f t="shared" si="4"/>
        <v>80</v>
      </c>
      <c r="Q6" s="55">
        <f t="shared" si="3"/>
        <v>0</v>
      </c>
      <c r="R6" s="55">
        <f t="shared" si="5"/>
        <v>5</v>
      </c>
      <c r="S6" s="56" t="s">
        <v>182</v>
      </c>
      <c r="W6" s="27" t="str">
        <f>TRUNC((X6+6)*10/80)&amp;"-"&amp;((X6+6)/8-TRUNC((X6+6)/8))*80</f>
        <v>1-10</v>
      </c>
      <c r="X6" s="12">
        <v>3</v>
      </c>
      <c r="Y6" s="12"/>
      <c r="Z6" s="12">
        <f t="shared" ref="Z6:AF69" si="6">Y6+Z5</f>
        <v>1</v>
      </c>
      <c r="AA6" s="58"/>
      <c r="AB6" s="12">
        <f t="shared" si="6"/>
        <v>0</v>
      </c>
      <c r="AC6" s="12"/>
      <c r="AD6" s="12">
        <f t="shared" si="6"/>
        <v>0</v>
      </c>
      <c r="AE6" s="12"/>
      <c r="AF6" s="12">
        <f t="shared" si="6"/>
        <v>0</v>
      </c>
      <c r="AG6" s="12"/>
      <c r="AH6" s="12">
        <f t="shared" ref="AH6:AJ69" si="7">AG6+AH5</f>
        <v>0</v>
      </c>
      <c r="AI6" s="12"/>
      <c r="AJ6" s="12">
        <f t="shared" si="7"/>
        <v>0</v>
      </c>
      <c r="AL6" s="27" t="s">
        <v>211</v>
      </c>
      <c r="AM6" s="12">
        <f>VLOOKUP($AL6,$W$3:$AJ$218,4,0)</f>
        <v>33.700000000000003</v>
      </c>
      <c r="AN6" s="12">
        <f>VLOOKUP($AL6,$W$3:$AJ$218,6,0)</f>
        <v>39900</v>
      </c>
      <c r="AO6" s="12">
        <f>VLOOKUP($AL6,$W$3:$AJ$218,8,0)</f>
        <v>168200</v>
      </c>
      <c r="AP6" s="12">
        <f>VLOOKUP($AL6,$W$3:$AJ$218,10,0)</f>
        <v>127500</v>
      </c>
      <c r="AQ6" s="12">
        <f>VLOOKUP($AL6,$W$3:$AJ$218,12,0)</f>
        <v>720000</v>
      </c>
      <c r="AR6" s="12">
        <f>VLOOKUP($AL6,$W$3:$AJ$218,14,0)</f>
        <v>1004000</v>
      </c>
    </row>
    <row r="7" spans="1:44" x14ac:dyDescent="0.2">
      <c r="A7" t="s">
        <v>5</v>
      </c>
      <c r="B7" s="1">
        <v>0.1449</v>
      </c>
      <c r="C7" s="1"/>
      <c r="D7" s="1"/>
      <c r="E7" s="1"/>
      <c r="F7" s="1"/>
      <c r="G7" s="1"/>
      <c r="I7">
        <f t="shared" si="0"/>
        <v>0</v>
      </c>
      <c r="L7" s="32">
        <v>200</v>
      </c>
      <c r="M7" s="27">
        <f>SUM(L$3:L7)</f>
        <v>600</v>
      </c>
      <c r="N7" s="33">
        <f t="shared" si="1"/>
        <v>612</v>
      </c>
      <c r="O7" s="54" t="str">
        <f t="shared" si="2"/>
        <v>120</v>
      </c>
      <c r="P7" s="55">
        <f t="shared" si="4"/>
        <v>200</v>
      </c>
      <c r="Q7" s="55">
        <f t="shared" si="3"/>
        <v>0</v>
      </c>
      <c r="R7" s="55">
        <f t="shared" si="5"/>
        <v>5</v>
      </c>
      <c r="S7" s="56" t="s">
        <v>174</v>
      </c>
      <c r="W7" s="27" t="str">
        <f>TRUNC((X7+6)*10/80)&amp;"-"&amp;((X7+6)/8-TRUNC((X7+6)/8))*80</f>
        <v>1-20</v>
      </c>
      <c r="X7" s="12">
        <v>4</v>
      </c>
      <c r="Y7" s="58">
        <v>0.5</v>
      </c>
      <c r="Z7" s="12">
        <f t="shared" si="6"/>
        <v>1.5</v>
      </c>
      <c r="AA7" s="12"/>
      <c r="AB7" s="12">
        <f t="shared" si="6"/>
        <v>0</v>
      </c>
      <c r="AC7" s="12"/>
      <c r="AD7" s="12">
        <f t="shared" si="6"/>
        <v>0</v>
      </c>
      <c r="AE7" s="12"/>
      <c r="AF7" s="12">
        <f t="shared" si="6"/>
        <v>0</v>
      </c>
      <c r="AG7" s="12"/>
      <c r="AH7" s="12">
        <f t="shared" si="7"/>
        <v>0</v>
      </c>
      <c r="AI7" s="12"/>
      <c r="AJ7" s="12">
        <f t="shared" si="7"/>
        <v>0</v>
      </c>
      <c r="AL7" s="27" t="s">
        <v>212</v>
      </c>
      <c r="AM7" s="57" t="str">
        <f>"+"&amp;TRUNC(((AM6/AM4)-1)*100)&amp;"%"</f>
        <v>+97%</v>
      </c>
      <c r="AN7" s="57" t="str">
        <f>"+"&amp;TRUNC(((AN6/AN4)-1)*100)&amp;"%"</f>
        <v>+111%</v>
      </c>
      <c r="AO7" s="57" t="str">
        <f>"+"&amp;TRUNC(((AO6/AO4)-1)*100)&amp;"%"</f>
        <v>+128%</v>
      </c>
      <c r="AP7" s="57" t="str">
        <f>"+"&amp;TRUNC(((AP6/AP4)-1)*100)&amp;"%"</f>
        <v>+129%</v>
      </c>
      <c r="AQ7" s="57" t="str">
        <f>"+"&amp;TRUNC(((AQ6/AQ4)-1)*100)&amp;"%"</f>
        <v>+128%</v>
      </c>
      <c r="AR7" s="57" t="str">
        <f>"+"&amp;TRUNC(((AR6/AR4)-1)*100)&amp;"%"</f>
        <v>+106%</v>
      </c>
    </row>
    <row r="8" spans="1:44" x14ac:dyDescent="0.2">
      <c r="A8" t="s">
        <v>6</v>
      </c>
      <c r="B8" s="1">
        <v>0.1449</v>
      </c>
      <c r="C8" s="1"/>
      <c r="D8" s="1"/>
      <c r="E8" s="1"/>
      <c r="F8" s="1"/>
      <c r="G8" s="1"/>
      <c r="I8">
        <f t="shared" si="0"/>
        <v>0</v>
      </c>
      <c r="L8" s="32">
        <v>220</v>
      </c>
      <c r="M8" s="27">
        <f>SUM(L$3:L8)</f>
        <v>820</v>
      </c>
      <c r="N8" s="33">
        <f t="shared" si="1"/>
        <v>836.4</v>
      </c>
      <c r="O8" s="54">
        <f t="shared" si="2"/>
        <v>0</v>
      </c>
      <c r="P8" s="55">
        <f t="shared" si="4"/>
        <v>200</v>
      </c>
      <c r="Q8" s="55" t="str">
        <f t="shared" si="3"/>
        <v>5</v>
      </c>
      <c r="R8" s="55">
        <f t="shared" si="5"/>
        <v>10</v>
      </c>
      <c r="S8" s="56" t="s">
        <v>180</v>
      </c>
      <c r="W8" s="27" t="str">
        <f>TRUNC((X8+6)*10/80)&amp;"-"&amp;((X8+6)/8-TRUNC((X8+6)/8))*80</f>
        <v>1-30</v>
      </c>
      <c r="X8" s="12">
        <v>5</v>
      </c>
      <c r="Y8" s="12"/>
      <c r="Z8" s="12">
        <f t="shared" si="6"/>
        <v>1.5</v>
      </c>
      <c r="AA8" s="12">
        <v>500</v>
      </c>
      <c r="AB8" s="12">
        <f t="shared" si="6"/>
        <v>500</v>
      </c>
      <c r="AC8" s="12"/>
      <c r="AD8" s="12">
        <f t="shared" si="6"/>
        <v>0</v>
      </c>
      <c r="AE8" s="12"/>
      <c r="AF8" s="12">
        <f t="shared" si="6"/>
        <v>0</v>
      </c>
      <c r="AG8" s="12"/>
      <c r="AH8" s="12">
        <f t="shared" si="7"/>
        <v>0</v>
      </c>
      <c r="AI8" s="12"/>
      <c r="AJ8" s="12">
        <f t="shared" si="7"/>
        <v>0</v>
      </c>
    </row>
    <row r="9" spans="1:44" x14ac:dyDescent="0.2">
      <c r="A9" t="s">
        <v>7</v>
      </c>
      <c r="B9" s="1">
        <v>0.1242</v>
      </c>
      <c r="C9" s="1"/>
      <c r="D9" s="1"/>
      <c r="E9" s="1"/>
      <c r="F9" s="1"/>
      <c r="G9" s="1"/>
      <c r="I9">
        <f t="shared" si="0"/>
        <v>0</v>
      </c>
      <c r="L9" s="32">
        <v>300</v>
      </c>
      <c r="M9" s="27">
        <f>SUM(L$3:L9)</f>
        <v>1120</v>
      </c>
      <c r="N9" s="33">
        <f t="shared" si="1"/>
        <v>1142.4000000000001</v>
      </c>
      <c r="O9" s="54">
        <f t="shared" si="2"/>
        <v>0</v>
      </c>
      <c r="P9" s="55">
        <f t="shared" si="4"/>
        <v>200</v>
      </c>
      <c r="Q9" s="55">
        <f t="shared" si="3"/>
        <v>0</v>
      </c>
      <c r="R9" s="55">
        <f t="shared" si="5"/>
        <v>10</v>
      </c>
      <c r="S9" s="56" t="s">
        <v>183</v>
      </c>
      <c r="W9" s="27" t="str">
        <f>TRUNC((X9+6)*10/80)&amp;"-"&amp;((X9+6)/8-TRUNC((X9+6)/8))*80</f>
        <v>1-40</v>
      </c>
      <c r="X9" s="12">
        <v>6</v>
      </c>
      <c r="Y9" s="12"/>
      <c r="Z9" s="12">
        <f t="shared" si="6"/>
        <v>1.5</v>
      </c>
      <c r="AA9" s="12"/>
      <c r="AB9" s="12">
        <f t="shared" si="6"/>
        <v>500</v>
      </c>
      <c r="AC9" s="12"/>
      <c r="AD9" s="12">
        <f t="shared" si="6"/>
        <v>0</v>
      </c>
      <c r="AE9" s="12"/>
      <c r="AF9" s="12">
        <f t="shared" si="6"/>
        <v>0</v>
      </c>
      <c r="AG9" s="12"/>
      <c r="AH9" s="12">
        <f t="shared" si="7"/>
        <v>0</v>
      </c>
      <c r="AI9" s="12"/>
      <c r="AJ9" s="12">
        <f t="shared" si="7"/>
        <v>0</v>
      </c>
    </row>
    <row r="10" spans="1:44" x14ac:dyDescent="0.2">
      <c r="A10" t="s">
        <v>8</v>
      </c>
      <c r="B10" s="1">
        <v>0.1242</v>
      </c>
      <c r="C10" s="1"/>
      <c r="D10" s="1"/>
      <c r="E10" s="1"/>
      <c r="F10" s="1"/>
      <c r="G10" s="1"/>
      <c r="I10">
        <f t="shared" si="0"/>
        <v>0</v>
      </c>
      <c r="L10" s="32">
        <v>120</v>
      </c>
      <c r="M10" s="27">
        <f>SUM(L$3:L10)</f>
        <v>1240</v>
      </c>
      <c r="N10" s="33">
        <f t="shared" si="1"/>
        <v>1264.8</v>
      </c>
      <c r="O10" s="54">
        <f t="shared" si="2"/>
        <v>0</v>
      </c>
      <c r="P10" s="55">
        <f t="shared" si="4"/>
        <v>200</v>
      </c>
      <c r="Q10" s="55">
        <f t="shared" si="3"/>
        <v>0</v>
      </c>
      <c r="R10" s="55">
        <f t="shared" si="5"/>
        <v>10</v>
      </c>
      <c r="S10" s="56" t="s">
        <v>184</v>
      </c>
      <c r="W10" s="27" t="str">
        <f>TRUNC((X10+6)*10/80)&amp;"-"&amp;((X10+6)/8-TRUNC((X10+6)/8))*80</f>
        <v>1-50</v>
      </c>
      <c r="X10" s="12">
        <v>7</v>
      </c>
      <c r="Y10" s="12"/>
      <c r="Z10" s="12">
        <f t="shared" si="6"/>
        <v>1.5</v>
      </c>
      <c r="AA10" s="12"/>
      <c r="AB10" s="12">
        <f t="shared" si="6"/>
        <v>500</v>
      </c>
      <c r="AC10" s="12">
        <v>2100</v>
      </c>
      <c r="AD10" s="12">
        <f t="shared" si="6"/>
        <v>2100</v>
      </c>
      <c r="AE10" s="12"/>
      <c r="AF10" s="12">
        <f t="shared" si="6"/>
        <v>0</v>
      </c>
      <c r="AG10" s="12"/>
      <c r="AH10" s="12">
        <f t="shared" si="7"/>
        <v>0</v>
      </c>
      <c r="AI10" s="12"/>
      <c r="AJ10" s="12">
        <f t="shared" si="7"/>
        <v>0</v>
      </c>
    </row>
    <row r="11" spans="1:44" x14ac:dyDescent="0.2">
      <c r="A11" t="s">
        <v>9</v>
      </c>
      <c r="B11" s="1">
        <v>0.1087</v>
      </c>
      <c r="C11" s="1"/>
      <c r="D11" s="1"/>
      <c r="E11" s="1"/>
      <c r="F11" s="1"/>
      <c r="G11" s="1"/>
      <c r="I11">
        <f t="shared" si="0"/>
        <v>0</v>
      </c>
      <c r="L11" s="32">
        <v>400</v>
      </c>
      <c r="M11" s="27">
        <f>SUM(L$3:L11)</f>
        <v>1640</v>
      </c>
      <c r="N11" s="33">
        <f t="shared" si="1"/>
        <v>1672.8</v>
      </c>
      <c r="O11" s="54" t="str">
        <f t="shared" si="2"/>
        <v>200</v>
      </c>
      <c r="P11" s="55">
        <f t="shared" si="4"/>
        <v>400</v>
      </c>
      <c r="Q11" s="55">
        <f t="shared" si="3"/>
        <v>0</v>
      </c>
      <c r="R11" s="55">
        <f t="shared" si="5"/>
        <v>10</v>
      </c>
      <c r="S11" s="56" t="s">
        <v>175</v>
      </c>
      <c r="W11" s="27" t="str">
        <f>TRUNC((X11+6)*10/80)&amp;"-"&amp;((X11+6)/8-TRUNC((X11+6)/8))*80</f>
        <v>1-60</v>
      </c>
      <c r="X11" s="12">
        <v>8</v>
      </c>
      <c r="Y11" s="12"/>
      <c r="Z11" s="12">
        <f t="shared" si="6"/>
        <v>1.5</v>
      </c>
      <c r="AA11" s="12"/>
      <c r="AB11" s="12">
        <f t="shared" si="6"/>
        <v>500</v>
      </c>
      <c r="AC11" s="12"/>
      <c r="AD11" s="12">
        <f t="shared" si="6"/>
        <v>2100</v>
      </c>
      <c r="AE11" s="12"/>
      <c r="AF11" s="12">
        <f t="shared" si="6"/>
        <v>0</v>
      </c>
      <c r="AG11" s="12"/>
      <c r="AH11" s="12">
        <f t="shared" si="7"/>
        <v>0</v>
      </c>
      <c r="AI11" s="12"/>
      <c r="AJ11" s="12">
        <f t="shared" si="7"/>
        <v>0</v>
      </c>
    </row>
    <row r="12" spans="1:44" x14ac:dyDescent="0.2">
      <c r="A12" t="s">
        <v>10</v>
      </c>
      <c r="B12" s="1">
        <v>0.1087</v>
      </c>
      <c r="C12" s="1"/>
      <c r="D12" s="1"/>
      <c r="E12" s="1"/>
      <c r="F12" s="1"/>
      <c r="G12" s="1"/>
      <c r="I12">
        <f t="shared" si="0"/>
        <v>0</v>
      </c>
      <c r="L12" s="32">
        <v>250</v>
      </c>
      <c r="M12" s="27">
        <f>SUM(L$3:L12)</f>
        <v>1890</v>
      </c>
      <c r="N12" s="33">
        <f t="shared" si="1"/>
        <v>1927.8</v>
      </c>
      <c r="O12" s="54">
        <f t="shared" si="2"/>
        <v>0</v>
      </c>
      <c r="P12" s="55">
        <f t="shared" si="4"/>
        <v>400</v>
      </c>
      <c r="Q12" s="55">
        <f t="shared" si="3"/>
        <v>0</v>
      </c>
      <c r="R12" s="55">
        <f t="shared" si="5"/>
        <v>10</v>
      </c>
      <c r="S12" s="56" t="s">
        <v>185</v>
      </c>
      <c r="W12" s="27" t="str">
        <f>TRUNC((X12+6)*10/80)&amp;"-"&amp;((X12+6)/8-TRUNC((X12+6)/8))*80</f>
        <v>1-70</v>
      </c>
      <c r="X12" s="12">
        <v>9</v>
      </c>
      <c r="Y12" s="12"/>
      <c r="Z12" s="12">
        <f t="shared" si="6"/>
        <v>1.5</v>
      </c>
      <c r="AA12" s="12"/>
      <c r="AB12" s="12">
        <f t="shared" si="6"/>
        <v>500</v>
      </c>
      <c r="AC12" s="12"/>
      <c r="AD12" s="12">
        <f t="shared" si="6"/>
        <v>2100</v>
      </c>
      <c r="AE12" s="12"/>
      <c r="AF12" s="12">
        <f t="shared" si="6"/>
        <v>0</v>
      </c>
      <c r="AG12" s="12"/>
      <c r="AH12" s="12">
        <f t="shared" si="7"/>
        <v>0</v>
      </c>
      <c r="AI12" s="12"/>
      <c r="AJ12" s="12">
        <f t="shared" si="7"/>
        <v>0</v>
      </c>
    </row>
    <row r="13" spans="1:44" x14ac:dyDescent="0.2">
      <c r="A13" t="s">
        <v>11</v>
      </c>
      <c r="B13" s="1">
        <v>8.6999999999999994E-2</v>
      </c>
      <c r="C13" s="1">
        <v>0.1</v>
      </c>
      <c r="D13" s="1"/>
      <c r="E13" s="1"/>
      <c r="F13" s="1"/>
      <c r="G13" s="1"/>
      <c r="I13">
        <f t="shared" si="0"/>
        <v>8.6999999999999994E-3</v>
      </c>
      <c r="L13" s="32">
        <v>890</v>
      </c>
      <c r="M13" s="27">
        <f>SUM(L$3:L13)</f>
        <v>2780</v>
      </c>
      <c r="N13" s="33">
        <f t="shared" si="1"/>
        <v>2835.6</v>
      </c>
      <c r="O13" s="54">
        <f t="shared" si="2"/>
        <v>0</v>
      </c>
      <c r="P13" s="55">
        <f t="shared" si="4"/>
        <v>400</v>
      </c>
      <c r="Q13" s="55" t="str">
        <f t="shared" si="3"/>
        <v>20</v>
      </c>
      <c r="R13" s="55">
        <f t="shared" si="5"/>
        <v>30</v>
      </c>
      <c r="S13" s="56" t="s">
        <v>181</v>
      </c>
      <c r="W13" s="27" t="str">
        <f>TRUNC((X13+6)*10/80)&amp;"-"&amp;((X13+6)/8-TRUNC((X13+6)/8))*80</f>
        <v>2-0</v>
      </c>
      <c r="X13" s="12">
        <v>10</v>
      </c>
      <c r="Y13" s="58">
        <v>0.6</v>
      </c>
      <c r="Z13" s="12">
        <f t="shared" si="6"/>
        <v>2.1</v>
      </c>
      <c r="AA13" s="12"/>
      <c r="AB13" s="12">
        <f t="shared" si="6"/>
        <v>500</v>
      </c>
      <c r="AC13" s="12"/>
      <c r="AD13" s="12">
        <f t="shared" si="6"/>
        <v>2100</v>
      </c>
      <c r="AE13" s="12"/>
      <c r="AF13" s="12">
        <f t="shared" si="6"/>
        <v>0</v>
      </c>
      <c r="AG13" s="12"/>
      <c r="AH13" s="12">
        <f t="shared" si="7"/>
        <v>0</v>
      </c>
      <c r="AI13" s="12"/>
      <c r="AJ13" s="12">
        <f t="shared" si="7"/>
        <v>0</v>
      </c>
    </row>
    <row r="14" spans="1:44" x14ac:dyDescent="0.2">
      <c r="A14" t="s">
        <v>12</v>
      </c>
      <c r="B14" s="1">
        <v>8.6999999999999994E-2</v>
      </c>
      <c r="C14" s="1">
        <v>0.1</v>
      </c>
      <c r="D14" s="1"/>
      <c r="E14" s="1"/>
      <c r="F14" s="1"/>
      <c r="G14" s="1"/>
      <c r="I14">
        <f t="shared" si="0"/>
        <v>8.6999999999999994E-3</v>
      </c>
      <c r="L14" s="32">
        <v>160</v>
      </c>
      <c r="M14" s="27">
        <f>SUM(L$3:L14)</f>
        <v>2940</v>
      </c>
      <c r="N14" s="33">
        <f t="shared" si="1"/>
        <v>2998.8</v>
      </c>
      <c r="O14" s="54" t="str">
        <f t="shared" si="2"/>
        <v>80</v>
      </c>
      <c r="P14" s="55">
        <f t="shared" si="4"/>
        <v>480</v>
      </c>
      <c r="Q14" s="55">
        <f t="shared" si="3"/>
        <v>0</v>
      </c>
      <c r="R14" s="55">
        <f t="shared" si="5"/>
        <v>30</v>
      </c>
      <c r="S14" s="56" t="s">
        <v>173</v>
      </c>
      <c r="W14" s="27" t="str">
        <f>TRUNC((X14+6)*10/80)&amp;"-"&amp;((X14+6)/8-TRUNC((X14+6)/8))*80</f>
        <v>2-10</v>
      </c>
      <c r="X14" s="12">
        <v>11</v>
      </c>
      <c r="Y14" s="12"/>
      <c r="Z14" s="12">
        <f t="shared" si="6"/>
        <v>2.1</v>
      </c>
      <c r="AA14" s="12"/>
      <c r="AB14" s="12">
        <f t="shared" si="6"/>
        <v>500</v>
      </c>
      <c r="AC14" s="12"/>
      <c r="AD14" s="12">
        <f t="shared" si="6"/>
        <v>2100</v>
      </c>
      <c r="AE14" s="12">
        <v>1600</v>
      </c>
      <c r="AF14" s="12">
        <f t="shared" si="6"/>
        <v>1600</v>
      </c>
      <c r="AG14" s="12"/>
      <c r="AH14" s="12">
        <f t="shared" si="7"/>
        <v>0</v>
      </c>
      <c r="AI14" s="12"/>
      <c r="AJ14" s="12">
        <f t="shared" si="7"/>
        <v>0</v>
      </c>
    </row>
    <row r="15" spans="1:44" x14ac:dyDescent="0.2">
      <c r="A15" t="s">
        <v>13</v>
      </c>
      <c r="B15" s="1">
        <v>7.2499999999999995E-2</v>
      </c>
      <c r="C15" s="1">
        <v>0.11</v>
      </c>
      <c r="D15" s="1"/>
      <c r="E15" s="1"/>
      <c r="F15" s="1"/>
      <c r="G15" s="1"/>
      <c r="I15">
        <f t="shared" si="0"/>
        <v>7.9749999999999995E-3</v>
      </c>
      <c r="L15" s="32">
        <v>130</v>
      </c>
      <c r="M15" s="27">
        <f>SUM(L$3:L15)</f>
        <v>3070</v>
      </c>
      <c r="N15" s="33">
        <f t="shared" si="1"/>
        <v>3131.4</v>
      </c>
      <c r="O15" s="54">
        <f t="shared" si="2"/>
        <v>0</v>
      </c>
      <c r="P15" s="55">
        <f t="shared" si="4"/>
        <v>480</v>
      </c>
      <c r="Q15" s="55">
        <f t="shared" si="3"/>
        <v>0</v>
      </c>
      <c r="R15" s="55">
        <f t="shared" si="5"/>
        <v>30</v>
      </c>
      <c r="S15" s="56" t="s">
        <v>34</v>
      </c>
      <c r="W15" s="27" t="str">
        <f>TRUNC((X15+6)*10/80)&amp;"-"&amp;((X15+6)/8-TRUNC((X15+6)/8))*80</f>
        <v>2-20</v>
      </c>
      <c r="X15" s="12">
        <v>12</v>
      </c>
      <c r="Y15" s="12"/>
      <c r="Z15" s="12">
        <f t="shared" si="6"/>
        <v>2.1</v>
      </c>
      <c r="AA15" s="12"/>
      <c r="AB15" s="12">
        <f t="shared" si="6"/>
        <v>500</v>
      </c>
      <c r="AC15" s="12"/>
      <c r="AD15" s="12">
        <f t="shared" si="6"/>
        <v>2100</v>
      </c>
      <c r="AE15" s="12"/>
      <c r="AF15" s="12">
        <f t="shared" si="6"/>
        <v>1600</v>
      </c>
      <c r="AG15" s="12"/>
      <c r="AH15" s="12">
        <f t="shared" si="7"/>
        <v>0</v>
      </c>
      <c r="AI15" s="12"/>
      <c r="AJ15" s="12">
        <f t="shared" si="7"/>
        <v>0</v>
      </c>
    </row>
    <row r="16" spans="1:44" x14ac:dyDescent="0.2">
      <c r="A16" t="s">
        <v>14</v>
      </c>
      <c r="B16" s="1">
        <v>7.2499999999999995E-2</v>
      </c>
      <c r="C16" s="1">
        <v>0.11</v>
      </c>
      <c r="D16" s="1"/>
      <c r="E16" s="1"/>
      <c r="F16" s="1"/>
      <c r="G16" s="1"/>
      <c r="I16">
        <f t="shared" si="0"/>
        <v>7.9749999999999995E-3</v>
      </c>
      <c r="L16" s="32">
        <v>300</v>
      </c>
      <c r="M16" s="27">
        <f>SUM(L$3:L16)</f>
        <v>3370</v>
      </c>
      <c r="N16" s="33">
        <f t="shared" si="1"/>
        <v>3437.4</v>
      </c>
      <c r="O16" s="54" t="str">
        <f t="shared" si="2"/>
        <v>120</v>
      </c>
      <c r="P16" s="55">
        <f t="shared" si="4"/>
        <v>600</v>
      </c>
      <c r="Q16" s="55">
        <f t="shared" si="3"/>
        <v>0</v>
      </c>
      <c r="R16" s="55">
        <f t="shared" si="5"/>
        <v>30</v>
      </c>
      <c r="S16" s="56" t="s">
        <v>174</v>
      </c>
      <c r="W16" s="27" t="str">
        <f>TRUNC((X16+6)*10/80)&amp;"-"&amp;((X16+6)/8-TRUNC((X16+6)/8))*80</f>
        <v>2-30</v>
      </c>
      <c r="X16" s="12">
        <v>13</v>
      </c>
      <c r="Y16" s="12"/>
      <c r="Z16" s="12">
        <f t="shared" si="6"/>
        <v>2.1</v>
      </c>
      <c r="AA16" s="12"/>
      <c r="AB16" s="12">
        <f t="shared" si="6"/>
        <v>500</v>
      </c>
      <c r="AC16" s="12"/>
      <c r="AD16" s="12">
        <f t="shared" si="6"/>
        <v>2100</v>
      </c>
      <c r="AE16" s="12"/>
      <c r="AF16" s="12">
        <f t="shared" si="6"/>
        <v>1600</v>
      </c>
      <c r="AG16" s="12">
        <v>9000</v>
      </c>
      <c r="AH16" s="12">
        <f t="shared" si="7"/>
        <v>9000</v>
      </c>
      <c r="AI16" s="12"/>
      <c r="AJ16" s="12">
        <f t="shared" si="7"/>
        <v>0</v>
      </c>
    </row>
    <row r="17" spans="1:36" x14ac:dyDescent="0.2">
      <c r="A17" t="s">
        <v>15</v>
      </c>
      <c r="B17" s="1">
        <v>5.6599999999999998E-2</v>
      </c>
      <c r="C17" s="1">
        <v>0.15</v>
      </c>
      <c r="D17" s="1"/>
      <c r="E17" s="1"/>
      <c r="F17" s="1"/>
      <c r="G17" s="1"/>
      <c r="I17">
        <f t="shared" si="0"/>
        <v>8.4899999999999993E-3</v>
      </c>
      <c r="L17" s="32">
        <v>220</v>
      </c>
      <c r="M17" s="27">
        <f>SUM(L$3:L17)</f>
        <v>3590</v>
      </c>
      <c r="N17" s="33">
        <f t="shared" si="1"/>
        <v>3661.8</v>
      </c>
      <c r="O17" s="54">
        <f t="shared" si="2"/>
        <v>0</v>
      </c>
      <c r="P17" s="55">
        <f t="shared" si="4"/>
        <v>600</v>
      </c>
      <c r="Q17" s="55" t="str">
        <f t="shared" si="3"/>
        <v>5</v>
      </c>
      <c r="R17" s="55">
        <f t="shared" si="5"/>
        <v>35</v>
      </c>
      <c r="S17" s="56" t="s">
        <v>180</v>
      </c>
      <c r="W17" s="27" t="str">
        <f>TRUNC((X17+6)*10/80)&amp;"-"&amp;((X17+6)/8-TRUNC((X17+6)/8))*80</f>
        <v>2-40</v>
      </c>
      <c r="X17" s="12">
        <v>14</v>
      </c>
      <c r="Y17" s="12"/>
      <c r="Z17" s="12">
        <f t="shared" si="6"/>
        <v>2.1</v>
      </c>
      <c r="AA17" s="12"/>
      <c r="AB17" s="12">
        <f t="shared" si="6"/>
        <v>500</v>
      </c>
      <c r="AC17" s="12"/>
      <c r="AD17" s="12">
        <f t="shared" si="6"/>
        <v>2100</v>
      </c>
      <c r="AE17" s="12"/>
      <c r="AF17" s="12">
        <f t="shared" si="6"/>
        <v>1600</v>
      </c>
      <c r="AG17" s="12"/>
      <c r="AH17" s="12">
        <f t="shared" si="7"/>
        <v>9000</v>
      </c>
      <c r="AI17" s="12"/>
      <c r="AJ17" s="12">
        <f t="shared" si="7"/>
        <v>0</v>
      </c>
    </row>
    <row r="18" spans="1:36" x14ac:dyDescent="0.2">
      <c r="A18" t="s">
        <v>16</v>
      </c>
      <c r="B18" s="1">
        <v>5.6599999999999998E-2</v>
      </c>
      <c r="C18" s="1">
        <v>0.19</v>
      </c>
      <c r="D18" s="1"/>
      <c r="E18" s="1"/>
      <c r="F18" s="1"/>
      <c r="G18" s="1"/>
      <c r="I18">
        <f t="shared" si="0"/>
        <v>1.0754E-2</v>
      </c>
      <c r="L18" s="32">
        <v>200</v>
      </c>
      <c r="M18" s="27">
        <f>SUM(L$3:L18)</f>
        <v>3790</v>
      </c>
      <c r="N18" s="33">
        <f t="shared" si="1"/>
        <v>3865.8</v>
      </c>
      <c r="O18" s="54">
        <f t="shared" si="2"/>
        <v>0</v>
      </c>
      <c r="P18" s="55">
        <f t="shared" si="4"/>
        <v>600</v>
      </c>
      <c r="Q18" s="55">
        <f t="shared" si="3"/>
        <v>0</v>
      </c>
      <c r="R18" s="55">
        <f t="shared" si="5"/>
        <v>35</v>
      </c>
      <c r="S18" s="56" t="s">
        <v>186</v>
      </c>
      <c r="W18" s="27" t="str">
        <f>TRUNC((X18+6)*10/80)&amp;"-"&amp;((X18+6)/8-TRUNC((X18+6)/8))*80</f>
        <v>2-50</v>
      </c>
      <c r="X18" s="12">
        <v>15</v>
      </c>
      <c r="Y18" s="12"/>
      <c r="Z18" s="12">
        <f t="shared" si="6"/>
        <v>2.1</v>
      </c>
      <c r="AA18" s="12"/>
      <c r="AB18" s="12">
        <f t="shared" si="6"/>
        <v>500</v>
      </c>
      <c r="AC18" s="12"/>
      <c r="AD18" s="12">
        <f t="shared" si="6"/>
        <v>2100</v>
      </c>
      <c r="AE18" s="12"/>
      <c r="AF18" s="12">
        <f t="shared" si="6"/>
        <v>1600</v>
      </c>
      <c r="AG18" s="12"/>
      <c r="AH18" s="12">
        <f t="shared" si="7"/>
        <v>9000</v>
      </c>
      <c r="AI18" s="12">
        <v>14000</v>
      </c>
      <c r="AJ18" s="12">
        <f t="shared" si="7"/>
        <v>14000</v>
      </c>
    </row>
    <row r="19" spans="1:36" x14ac:dyDescent="0.2">
      <c r="A19" t="s">
        <v>17</v>
      </c>
      <c r="B19" s="1">
        <v>4.3299999999999998E-2</v>
      </c>
      <c r="C19" s="1">
        <v>0.19</v>
      </c>
      <c r="D19" s="1"/>
      <c r="E19" s="1"/>
      <c r="F19" s="1"/>
      <c r="G19" s="1"/>
      <c r="I19">
        <f t="shared" si="0"/>
        <v>8.2269999999999999E-3</v>
      </c>
      <c r="L19" s="32">
        <v>220</v>
      </c>
      <c r="M19" s="27">
        <f>SUM(L$3:L19)</f>
        <v>4010</v>
      </c>
      <c r="N19" s="33">
        <f t="shared" si="1"/>
        <v>4090.2000000000003</v>
      </c>
      <c r="O19" s="54">
        <f t="shared" si="2"/>
        <v>0</v>
      </c>
      <c r="P19" s="55">
        <f t="shared" si="4"/>
        <v>600</v>
      </c>
      <c r="Q19" s="55" t="str">
        <f t="shared" si="3"/>
        <v>5</v>
      </c>
      <c r="R19" s="55">
        <f t="shared" si="5"/>
        <v>40</v>
      </c>
      <c r="S19" s="56" t="s">
        <v>180</v>
      </c>
      <c r="W19" s="27" t="str">
        <f>TRUNC((X19+6)*10/80)&amp;"-"&amp;((X19+6)/8-TRUNC((X19+6)/8))*80</f>
        <v>2-60</v>
      </c>
      <c r="X19" s="12">
        <v>16</v>
      </c>
      <c r="Y19" s="58">
        <v>0.6</v>
      </c>
      <c r="Z19" s="12">
        <f t="shared" si="6"/>
        <v>2.7</v>
      </c>
      <c r="AA19" s="12"/>
      <c r="AB19" s="12">
        <f t="shared" si="6"/>
        <v>500</v>
      </c>
      <c r="AC19" s="12"/>
      <c r="AD19" s="12">
        <f t="shared" si="6"/>
        <v>2100</v>
      </c>
      <c r="AE19" s="12"/>
      <c r="AF19" s="12">
        <f t="shared" si="6"/>
        <v>1600</v>
      </c>
      <c r="AG19" s="12"/>
      <c r="AH19" s="12">
        <f t="shared" si="7"/>
        <v>9000</v>
      </c>
      <c r="AI19" s="12"/>
      <c r="AJ19" s="12">
        <f t="shared" si="7"/>
        <v>14000</v>
      </c>
    </row>
    <row r="20" spans="1:36" x14ac:dyDescent="0.2">
      <c r="A20" t="s">
        <v>18</v>
      </c>
      <c r="B20" s="1">
        <v>4.3299999999999998E-2</v>
      </c>
      <c r="C20" s="1">
        <v>0.23</v>
      </c>
      <c r="D20" s="1"/>
      <c r="E20" s="1"/>
      <c r="F20" s="1"/>
      <c r="G20" s="1"/>
      <c r="I20">
        <f t="shared" si="0"/>
        <v>9.9590000000000008E-3</v>
      </c>
      <c r="L20" s="32">
        <v>200</v>
      </c>
      <c r="M20" s="27">
        <f>SUM(L$3:L20)</f>
        <v>4210</v>
      </c>
      <c r="N20" s="33">
        <f t="shared" si="1"/>
        <v>4294.2</v>
      </c>
      <c r="O20" s="54">
        <f t="shared" si="2"/>
        <v>0</v>
      </c>
      <c r="P20" s="55">
        <f t="shared" si="4"/>
        <v>600</v>
      </c>
      <c r="Q20" s="55">
        <f t="shared" si="3"/>
        <v>0</v>
      </c>
      <c r="R20" s="55">
        <f t="shared" si="5"/>
        <v>40</v>
      </c>
      <c r="S20" s="56" t="s">
        <v>185</v>
      </c>
      <c r="W20" s="27" t="str">
        <f>TRUNC((X20+6)*10/80)&amp;"-"&amp;((X20+6)/8-TRUNC((X20+6)/8))*80</f>
        <v>3-0</v>
      </c>
      <c r="X20" s="12">
        <v>18</v>
      </c>
      <c r="Y20" s="12"/>
      <c r="Z20" s="12">
        <f t="shared" si="6"/>
        <v>2.7</v>
      </c>
      <c r="AA20" s="12"/>
      <c r="AB20" s="12">
        <f t="shared" si="6"/>
        <v>500</v>
      </c>
      <c r="AC20" s="12"/>
      <c r="AD20" s="12">
        <f t="shared" si="6"/>
        <v>2100</v>
      </c>
      <c r="AE20" s="12"/>
      <c r="AF20" s="12">
        <f t="shared" si="6"/>
        <v>1600</v>
      </c>
      <c r="AG20" s="12"/>
      <c r="AH20" s="12">
        <f t="shared" si="7"/>
        <v>9000</v>
      </c>
      <c r="AI20" s="12"/>
      <c r="AJ20" s="12">
        <f t="shared" si="7"/>
        <v>14000</v>
      </c>
    </row>
    <row r="21" spans="1:36" x14ac:dyDescent="0.2">
      <c r="A21" t="s">
        <v>19</v>
      </c>
      <c r="B21" s="1">
        <v>3.6600000000000001E-2</v>
      </c>
      <c r="C21" s="1">
        <v>0.23</v>
      </c>
      <c r="D21" s="1"/>
      <c r="E21" s="1"/>
      <c r="F21" s="1"/>
      <c r="G21" s="1"/>
      <c r="I21">
        <f t="shared" si="0"/>
        <v>8.4180000000000001E-3</v>
      </c>
      <c r="L21" s="32">
        <v>1000</v>
      </c>
      <c r="M21" s="27">
        <f>SUM(L$3:L21)</f>
        <v>5210</v>
      </c>
      <c r="N21" s="33">
        <f t="shared" si="1"/>
        <v>5314.2</v>
      </c>
      <c r="O21" s="54" t="str">
        <f t="shared" si="2"/>
        <v>500</v>
      </c>
      <c r="P21" s="55">
        <f t="shared" si="4"/>
        <v>1100</v>
      </c>
      <c r="Q21" s="55">
        <f t="shared" si="3"/>
        <v>0</v>
      </c>
      <c r="R21" s="55">
        <f t="shared" si="5"/>
        <v>40</v>
      </c>
      <c r="S21" s="56" t="s">
        <v>176</v>
      </c>
      <c r="W21" s="27" t="str">
        <f>TRUNC((X21+6)*10/80)&amp;"-"&amp;((X21+6)/8-TRUNC((X21+6)/8))*80</f>
        <v>3-20</v>
      </c>
      <c r="X21" s="12">
        <v>20</v>
      </c>
      <c r="Y21" s="12"/>
      <c r="Z21" s="12">
        <f t="shared" si="6"/>
        <v>2.7</v>
      </c>
      <c r="AA21" s="12"/>
      <c r="AB21" s="12">
        <f t="shared" si="6"/>
        <v>500</v>
      </c>
      <c r="AC21" s="12"/>
      <c r="AD21" s="12">
        <f t="shared" si="6"/>
        <v>2100</v>
      </c>
      <c r="AE21" s="12"/>
      <c r="AF21" s="12">
        <f t="shared" si="6"/>
        <v>1600</v>
      </c>
      <c r="AG21" s="12"/>
      <c r="AH21" s="12">
        <f t="shared" si="7"/>
        <v>9000</v>
      </c>
      <c r="AI21" s="12"/>
      <c r="AJ21" s="12">
        <f t="shared" si="7"/>
        <v>14000</v>
      </c>
    </row>
    <row r="22" spans="1:36" x14ac:dyDescent="0.2">
      <c r="A22" t="s">
        <v>20</v>
      </c>
      <c r="B22" s="1">
        <v>3.6600000000000001E-2</v>
      </c>
      <c r="C22" s="1">
        <v>0.23</v>
      </c>
      <c r="D22" s="1"/>
      <c r="E22" s="1"/>
      <c r="F22" s="1"/>
      <c r="G22" s="1"/>
      <c r="I22">
        <f t="shared" si="0"/>
        <v>8.4180000000000001E-3</v>
      </c>
      <c r="L22" s="32">
        <v>340</v>
      </c>
      <c r="M22" s="27">
        <f>SUM(L$3:L22)</f>
        <v>5550</v>
      </c>
      <c r="N22" s="33">
        <f t="shared" si="1"/>
        <v>5661</v>
      </c>
      <c r="O22" s="54">
        <f t="shared" si="2"/>
        <v>0</v>
      </c>
      <c r="P22" s="55">
        <f t="shared" si="4"/>
        <v>1100</v>
      </c>
      <c r="Q22" s="55">
        <f t="shared" si="3"/>
        <v>0</v>
      </c>
      <c r="R22" s="55">
        <f t="shared" si="5"/>
        <v>40</v>
      </c>
      <c r="S22" s="56" t="s">
        <v>35</v>
      </c>
      <c r="W22" s="27" t="str">
        <f>TRUNC((X22+6)*10/80)&amp;"-"&amp;((X22+6)/8-TRUNC((X22+6)/8))*80</f>
        <v>3-40</v>
      </c>
      <c r="X22" s="12">
        <v>22</v>
      </c>
      <c r="Y22" s="12"/>
      <c r="Z22" s="12">
        <f t="shared" si="6"/>
        <v>2.7</v>
      </c>
      <c r="AA22" s="12">
        <v>1000</v>
      </c>
      <c r="AB22" s="12">
        <f t="shared" si="6"/>
        <v>1500</v>
      </c>
      <c r="AC22" s="12"/>
      <c r="AD22" s="12">
        <f t="shared" si="6"/>
        <v>2100</v>
      </c>
      <c r="AE22" s="12"/>
      <c r="AF22" s="12">
        <f t="shared" si="6"/>
        <v>1600</v>
      </c>
      <c r="AG22" s="12"/>
      <c r="AH22" s="12">
        <f t="shared" si="7"/>
        <v>9000</v>
      </c>
      <c r="AI22" s="12"/>
      <c r="AJ22" s="12">
        <f t="shared" si="7"/>
        <v>14000</v>
      </c>
    </row>
    <row r="23" spans="1:36" x14ac:dyDescent="0.2">
      <c r="A23" t="s">
        <v>21</v>
      </c>
      <c r="B23" s="1">
        <v>2.2200000000000001E-2</v>
      </c>
      <c r="C23" s="1">
        <v>0.37</v>
      </c>
      <c r="D23" s="1"/>
      <c r="E23" s="1"/>
      <c r="F23" s="1"/>
      <c r="G23" s="1"/>
      <c r="I23">
        <f t="shared" si="0"/>
        <v>8.2140000000000008E-3</v>
      </c>
      <c r="L23" s="32">
        <v>190</v>
      </c>
      <c r="M23" s="27">
        <f>SUM(L$3:L23)</f>
        <v>5740</v>
      </c>
      <c r="N23" s="33">
        <f t="shared" si="1"/>
        <v>5854.8</v>
      </c>
      <c r="O23" s="54">
        <f t="shared" si="2"/>
        <v>0</v>
      </c>
      <c r="P23" s="55">
        <f t="shared" si="4"/>
        <v>1100</v>
      </c>
      <c r="Q23" s="55" t="str">
        <f t="shared" si="3"/>
        <v>5</v>
      </c>
      <c r="R23" s="55">
        <f t="shared" si="5"/>
        <v>45</v>
      </c>
      <c r="S23" s="56" t="s">
        <v>180</v>
      </c>
      <c r="W23" s="27" t="str">
        <f>TRUNC((X23+6)*10/80)&amp;"-"&amp;((X23+6)/8-TRUNC((X23+6)/8))*80</f>
        <v>3-60</v>
      </c>
      <c r="X23" s="12">
        <v>24</v>
      </c>
      <c r="Y23" s="12"/>
      <c r="Z23" s="12">
        <f t="shared" si="6"/>
        <v>2.7</v>
      </c>
      <c r="AA23" s="12"/>
      <c r="AB23" s="12">
        <f t="shared" si="6"/>
        <v>1500</v>
      </c>
      <c r="AC23" s="12">
        <v>4200</v>
      </c>
      <c r="AD23" s="12">
        <f t="shared" si="6"/>
        <v>6300</v>
      </c>
      <c r="AE23" s="12"/>
      <c r="AF23" s="12">
        <f t="shared" si="6"/>
        <v>1600</v>
      </c>
      <c r="AG23" s="12"/>
      <c r="AH23" s="12">
        <f t="shared" si="7"/>
        <v>9000</v>
      </c>
      <c r="AI23" s="12"/>
      <c r="AJ23" s="12">
        <f t="shared" si="7"/>
        <v>14000</v>
      </c>
    </row>
    <row r="24" spans="1:36" x14ac:dyDescent="0.2">
      <c r="A24" t="s">
        <v>22</v>
      </c>
      <c r="B24" s="1">
        <v>2.2200000000000001E-2</v>
      </c>
      <c r="C24" s="1">
        <v>0.37</v>
      </c>
      <c r="D24" s="1"/>
      <c r="E24" s="1"/>
      <c r="F24" s="1"/>
      <c r="G24" s="1"/>
      <c r="I24">
        <f t="shared" si="0"/>
        <v>8.2140000000000008E-3</v>
      </c>
      <c r="L24" s="32">
        <v>250</v>
      </c>
      <c r="M24" s="27">
        <f>SUM(L$3:L24)</f>
        <v>5990</v>
      </c>
      <c r="N24" s="33">
        <f t="shared" si="1"/>
        <v>6109.8</v>
      </c>
      <c r="O24" s="54">
        <f t="shared" si="2"/>
        <v>0</v>
      </c>
      <c r="P24" s="55">
        <f t="shared" si="4"/>
        <v>1100</v>
      </c>
      <c r="Q24" s="55">
        <f t="shared" si="3"/>
        <v>0</v>
      </c>
      <c r="R24" s="55">
        <f t="shared" si="5"/>
        <v>45</v>
      </c>
      <c r="S24" s="56" t="s">
        <v>182</v>
      </c>
      <c r="W24" s="27" t="str">
        <f>TRUNC((X24+6)*10/80)&amp;"-"&amp;((X24+6)/8-TRUNC((X24+6)/8))*80</f>
        <v>4-0</v>
      </c>
      <c r="X24" s="12">
        <v>26</v>
      </c>
      <c r="Y24" s="12"/>
      <c r="Z24" s="12">
        <f t="shared" si="6"/>
        <v>2.7</v>
      </c>
      <c r="AA24" s="12"/>
      <c r="AB24" s="12">
        <f t="shared" si="6"/>
        <v>1500</v>
      </c>
      <c r="AC24" s="12"/>
      <c r="AD24" s="12">
        <f t="shared" si="6"/>
        <v>6300</v>
      </c>
      <c r="AE24" s="12">
        <v>3200</v>
      </c>
      <c r="AF24" s="12">
        <f t="shared" si="6"/>
        <v>4800</v>
      </c>
      <c r="AG24" s="12"/>
      <c r="AH24" s="12">
        <f t="shared" si="7"/>
        <v>9000</v>
      </c>
      <c r="AI24" s="12"/>
      <c r="AJ24" s="12">
        <f t="shared" si="7"/>
        <v>14000</v>
      </c>
    </row>
    <row r="25" spans="1:36" x14ac:dyDescent="0.2">
      <c r="A25" t="s">
        <v>23</v>
      </c>
      <c r="B25" s="1">
        <v>8.3000000000000001E-3</v>
      </c>
      <c r="C25" s="1">
        <v>1</v>
      </c>
      <c r="D25" s="1"/>
      <c r="E25" s="1"/>
      <c r="F25" s="1"/>
      <c r="G25" s="1"/>
      <c r="I25">
        <f t="shared" si="0"/>
        <v>8.3000000000000001E-3</v>
      </c>
      <c r="L25" s="32">
        <v>220</v>
      </c>
      <c r="M25" s="27">
        <f>SUM(L$3:L25)</f>
        <v>6210</v>
      </c>
      <c r="N25" s="33">
        <f t="shared" si="1"/>
        <v>6334.2</v>
      </c>
      <c r="O25" s="54">
        <f t="shared" si="2"/>
        <v>0</v>
      </c>
      <c r="P25" s="55">
        <f t="shared" si="4"/>
        <v>1100</v>
      </c>
      <c r="Q25" s="55" t="str">
        <f t="shared" si="3"/>
        <v>5</v>
      </c>
      <c r="R25" s="55">
        <f t="shared" si="5"/>
        <v>50</v>
      </c>
      <c r="S25" s="56" t="s">
        <v>180</v>
      </c>
      <c r="W25" s="27" t="str">
        <f>TRUNC((X25+6)*10/80)&amp;"-"&amp;((X25+6)/8-TRUNC((X25+6)/8))*80</f>
        <v>4-20</v>
      </c>
      <c r="X25" s="12">
        <v>28</v>
      </c>
      <c r="Y25" s="12"/>
      <c r="Z25" s="12">
        <f t="shared" si="6"/>
        <v>2.7</v>
      </c>
      <c r="AA25" s="12"/>
      <c r="AB25" s="12">
        <f t="shared" si="6"/>
        <v>1500</v>
      </c>
      <c r="AC25" s="12"/>
      <c r="AD25" s="12">
        <f t="shared" si="6"/>
        <v>6300</v>
      </c>
      <c r="AE25" s="12"/>
      <c r="AF25" s="12">
        <f t="shared" si="6"/>
        <v>4800</v>
      </c>
      <c r="AG25" s="12"/>
      <c r="AH25" s="12">
        <f>AG25+AH24</f>
        <v>9000</v>
      </c>
      <c r="AI25" s="12"/>
      <c r="AJ25" s="12">
        <f t="shared" si="7"/>
        <v>14000</v>
      </c>
    </row>
    <row r="26" spans="1:36" x14ac:dyDescent="0.2">
      <c r="A26" t="s">
        <v>32</v>
      </c>
      <c r="B26" s="1">
        <v>7.4999999999999997E-3</v>
      </c>
      <c r="C26" s="1">
        <v>0.88</v>
      </c>
      <c r="D26" s="1">
        <v>0.12</v>
      </c>
      <c r="E26" s="1"/>
      <c r="F26" s="1"/>
      <c r="G26" s="1"/>
      <c r="I26">
        <f t="shared" si="0"/>
        <v>8.4000000000000012E-3</v>
      </c>
      <c r="L26" s="32">
        <v>250</v>
      </c>
      <c r="M26" s="27">
        <f>SUM(L$3:L26)</f>
        <v>6460</v>
      </c>
      <c r="N26" s="33">
        <f t="shared" si="1"/>
        <v>6589.2</v>
      </c>
      <c r="O26" s="54">
        <f t="shared" si="2"/>
        <v>0</v>
      </c>
      <c r="P26" s="55">
        <f t="shared" si="4"/>
        <v>1100</v>
      </c>
      <c r="Q26" s="55">
        <f t="shared" si="3"/>
        <v>0</v>
      </c>
      <c r="R26" s="55">
        <f t="shared" si="5"/>
        <v>50</v>
      </c>
      <c r="S26" s="56" t="s">
        <v>187</v>
      </c>
      <c r="W26" s="27" t="str">
        <f>TRUNC((X26+6)*10/80)&amp;"-"&amp;((X26+6)/8-TRUNC((X26+6)/8))*80</f>
        <v>4-40</v>
      </c>
      <c r="X26" s="12">
        <v>30</v>
      </c>
      <c r="Y26" s="12"/>
      <c r="Z26" s="12">
        <f t="shared" si="6"/>
        <v>2.7</v>
      </c>
      <c r="AA26" s="12"/>
      <c r="AB26" s="12">
        <f t="shared" si="6"/>
        <v>1500</v>
      </c>
      <c r="AC26" s="12"/>
      <c r="AD26" s="12">
        <f t="shared" si="6"/>
        <v>6300</v>
      </c>
      <c r="AE26" s="12"/>
      <c r="AF26" s="12">
        <f t="shared" si="6"/>
        <v>4800</v>
      </c>
      <c r="AG26" s="12"/>
      <c r="AH26" s="12">
        <f t="shared" si="7"/>
        <v>9000</v>
      </c>
      <c r="AI26" s="12"/>
      <c r="AJ26" s="12">
        <f t="shared" si="7"/>
        <v>14000</v>
      </c>
    </row>
    <row r="27" spans="1:36" x14ac:dyDescent="0.2">
      <c r="A27" t="s">
        <v>24</v>
      </c>
      <c r="B27" s="1">
        <v>6.7000000000000002E-3</v>
      </c>
      <c r="C27" s="1">
        <v>0.8</v>
      </c>
      <c r="D27" s="1">
        <v>0.15</v>
      </c>
      <c r="E27" s="1">
        <v>0.05</v>
      </c>
      <c r="F27" s="1"/>
      <c r="G27" s="1"/>
      <c r="I27">
        <f>SUMPRODUCT(C27:H27,C$1:H$1)*B27</f>
        <v>8.3750000000000005E-3</v>
      </c>
      <c r="L27" s="32">
        <v>220</v>
      </c>
      <c r="M27" s="27">
        <f>SUM(L$3:L27)</f>
        <v>6680</v>
      </c>
      <c r="N27" s="33">
        <f t="shared" si="1"/>
        <v>6813.6</v>
      </c>
      <c r="O27" s="54">
        <f t="shared" si="2"/>
        <v>0</v>
      </c>
      <c r="P27" s="55">
        <f t="shared" si="4"/>
        <v>1100</v>
      </c>
      <c r="Q27" s="55" t="str">
        <f t="shared" si="3"/>
        <v>5</v>
      </c>
      <c r="R27" s="55">
        <f t="shared" si="5"/>
        <v>55</v>
      </c>
      <c r="S27" s="56" t="s">
        <v>180</v>
      </c>
      <c r="W27" s="27" t="str">
        <f>TRUNC((X27+6)*10/80)&amp;"-"&amp;((X27+6)/8-TRUNC((X27+6)/8))*80</f>
        <v>4-60</v>
      </c>
      <c r="X27" s="12">
        <v>32</v>
      </c>
      <c r="Y27" s="12"/>
      <c r="Z27" s="12">
        <f t="shared" si="6"/>
        <v>2.7</v>
      </c>
      <c r="AA27" s="12"/>
      <c r="AB27" s="12">
        <f t="shared" si="6"/>
        <v>1500</v>
      </c>
      <c r="AC27" s="12"/>
      <c r="AD27" s="12">
        <f t="shared" si="6"/>
        <v>6300</v>
      </c>
      <c r="AE27" s="12"/>
      <c r="AF27" s="12">
        <f t="shared" si="6"/>
        <v>4800</v>
      </c>
      <c r="AG27" s="12">
        <v>18000</v>
      </c>
      <c r="AH27" s="12">
        <f>AG27+AH26</f>
        <v>27000</v>
      </c>
      <c r="AI27" s="12"/>
      <c r="AJ27" s="12">
        <f t="shared" si="7"/>
        <v>14000</v>
      </c>
    </row>
    <row r="28" spans="1:36" x14ac:dyDescent="0.2">
      <c r="A28" t="s">
        <v>25</v>
      </c>
      <c r="B28" s="1">
        <v>5.8999999999999999E-3</v>
      </c>
      <c r="C28" s="1">
        <v>0.7</v>
      </c>
      <c r="D28" s="1">
        <v>0.18</v>
      </c>
      <c r="E28" s="1">
        <v>0.1</v>
      </c>
      <c r="F28" s="1">
        <v>0.02</v>
      </c>
      <c r="G28" s="1"/>
      <c r="I28">
        <f t="shared" si="0"/>
        <v>8.6140000000000001E-3</v>
      </c>
      <c r="L28" s="32">
        <v>250</v>
      </c>
      <c r="M28" s="27">
        <f>SUM(L$3:L28)</f>
        <v>6930</v>
      </c>
      <c r="N28" s="33">
        <f t="shared" si="1"/>
        <v>7068.6</v>
      </c>
      <c r="O28" s="54">
        <f t="shared" si="2"/>
        <v>0</v>
      </c>
      <c r="P28" s="55">
        <f t="shared" si="4"/>
        <v>1100</v>
      </c>
      <c r="Q28" s="55">
        <f t="shared" si="3"/>
        <v>0</v>
      </c>
      <c r="R28" s="55">
        <f t="shared" si="5"/>
        <v>55</v>
      </c>
      <c r="S28" s="56" t="s">
        <v>185</v>
      </c>
      <c r="W28" s="27" t="str">
        <f>TRUNC((X28+6)*10/80)&amp;"-"&amp;((X28+6)/8-TRUNC((X28+6)/8))*80</f>
        <v>5-0</v>
      </c>
      <c r="X28" s="12">
        <v>34</v>
      </c>
      <c r="Y28" s="12"/>
      <c r="Z28" s="12">
        <f t="shared" si="6"/>
        <v>2.7</v>
      </c>
      <c r="AA28" s="12"/>
      <c r="AB28" s="12">
        <f t="shared" si="6"/>
        <v>1500</v>
      </c>
      <c r="AC28" s="12"/>
      <c r="AD28" s="12">
        <f t="shared" si="6"/>
        <v>6300</v>
      </c>
      <c r="AE28" s="12"/>
      <c r="AF28" s="12">
        <f t="shared" si="6"/>
        <v>4800</v>
      </c>
      <c r="AG28" s="12"/>
      <c r="AH28" s="12">
        <f t="shared" si="7"/>
        <v>27000</v>
      </c>
      <c r="AI28" s="12">
        <v>28000</v>
      </c>
      <c r="AJ28" s="12">
        <f t="shared" si="7"/>
        <v>42000</v>
      </c>
    </row>
    <row r="29" spans="1:36" x14ac:dyDescent="0.2">
      <c r="A29" t="s">
        <v>26</v>
      </c>
      <c r="B29" s="1">
        <v>5.0000000000000001E-3</v>
      </c>
      <c r="C29" s="1">
        <v>0.55000000000000004</v>
      </c>
      <c r="D29" s="1">
        <v>0.25</v>
      </c>
      <c r="E29" s="1">
        <v>0.15</v>
      </c>
      <c r="F29" s="1">
        <v>0.05</v>
      </c>
      <c r="G29" s="1"/>
      <c r="I29">
        <f t="shared" si="0"/>
        <v>8.7500000000000008E-3</v>
      </c>
      <c r="L29" s="32">
        <v>1000</v>
      </c>
      <c r="M29" s="27">
        <f>SUM(L$3:L29)</f>
        <v>7930</v>
      </c>
      <c r="N29" s="33">
        <f t="shared" si="1"/>
        <v>8088.6</v>
      </c>
      <c r="O29" s="54" t="str">
        <f t="shared" si="2"/>
        <v>500</v>
      </c>
      <c r="P29" s="55">
        <f t="shared" si="4"/>
        <v>1600</v>
      </c>
      <c r="Q29" s="55">
        <f t="shared" si="3"/>
        <v>0</v>
      </c>
      <c r="R29" s="55">
        <f t="shared" si="5"/>
        <v>55</v>
      </c>
      <c r="S29" s="56" t="s">
        <v>176</v>
      </c>
      <c r="W29" s="27" t="str">
        <f>TRUNC((X29+6)*10/80)&amp;"-"&amp;((X29+6)/8-TRUNC((X29+6)/8))*80</f>
        <v>5-20</v>
      </c>
      <c r="X29" s="12">
        <v>36</v>
      </c>
      <c r="Y29" s="58">
        <v>0.8</v>
      </c>
      <c r="Z29" s="12">
        <f t="shared" si="6"/>
        <v>3.5</v>
      </c>
      <c r="AA29" s="12"/>
      <c r="AB29" s="12">
        <f t="shared" si="6"/>
        <v>1500</v>
      </c>
      <c r="AC29" s="12"/>
      <c r="AD29" s="12">
        <f t="shared" si="6"/>
        <v>6300</v>
      </c>
      <c r="AE29" s="12"/>
      <c r="AF29" s="12">
        <f t="shared" si="6"/>
        <v>4800</v>
      </c>
      <c r="AG29" s="12"/>
      <c r="AH29" s="12">
        <f t="shared" si="7"/>
        <v>27000</v>
      </c>
      <c r="AI29" s="12"/>
      <c r="AJ29" s="12">
        <f t="shared" si="7"/>
        <v>42000</v>
      </c>
    </row>
    <row r="30" spans="1:36" x14ac:dyDescent="0.2">
      <c r="A30" t="s">
        <v>27</v>
      </c>
      <c r="B30" s="1">
        <v>4.1000000000000003E-3</v>
      </c>
      <c r="C30" s="1">
        <v>0.4</v>
      </c>
      <c r="D30" s="1">
        <v>0.3</v>
      </c>
      <c r="E30" s="1">
        <v>0.2</v>
      </c>
      <c r="F30" s="1">
        <v>0.08</v>
      </c>
      <c r="G30" s="1">
        <v>0.02</v>
      </c>
      <c r="I30">
        <f t="shared" si="0"/>
        <v>9.020000000000002E-3</v>
      </c>
      <c r="L30" s="32">
        <v>220</v>
      </c>
      <c r="M30" s="27">
        <f>SUM(L$3:L30)</f>
        <v>8150</v>
      </c>
      <c r="N30" s="33">
        <f t="shared" si="1"/>
        <v>8313</v>
      </c>
      <c r="O30" s="54">
        <f t="shared" si="2"/>
        <v>0</v>
      </c>
      <c r="P30" s="55">
        <f t="shared" si="4"/>
        <v>1600</v>
      </c>
      <c r="Q30" s="55" t="str">
        <f t="shared" si="3"/>
        <v>5</v>
      </c>
      <c r="R30" s="55">
        <f t="shared" si="5"/>
        <v>60</v>
      </c>
      <c r="S30" s="56" t="s">
        <v>180</v>
      </c>
      <c r="W30" s="27" t="str">
        <f>TRUNC((X30+6)*10/80)&amp;"-"&amp;((X30+6)/8-TRUNC((X30+6)/8))*80</f>
        <v>5-40</v>
      </c>
      <c r="X30" s="12">
        <v>38</v>
      </c>
      <c r="Y30" s="58"/>
      <c r="Z30" s="12">
        <f t="shared" si="6"/>
        <v>3.5</v>
      </c>
      <c r="AA30" s="12"/>
      <c r="AB30" s="12">
        <f t="shared" si="6"/>
        <v>1500</v>
      </c>
      <c r="AC30" s="12"/>
      <c r="AD30" s="12">
        <f t="shared" si="6"/>
        <v>6300</v>
      </c>
      <c r="AE30" s="12"/>
      <c r="AF30" s="12">
        <f t="shared" si="6"/>
        <v>4800</v>
      </c>
      <c r="AG30" s="12"/>
      <c r="AH30" s="12">
        <f t="shared" si="7"/>
        <v>27000</v>
      </c>
      <c r="AI30" s="12"/>
      <c r="AJ30" s="12">
        <f t="shared" si="7"/>
        <v>42000</v>
      </c>
    </row>
    <row r="31" spans="1:36" x14ac:dyDescent="0.2">
      <c r="A31" t="s">
        <v>28</v>
      </c>
      <c r="B31" s="1">
        <v>3.3E-3</v>
      </c>
      <c r="C31" s="1">
        <v>0.25</v>
      </c>
      <c r="D31" s="1">
        <v>0.3</v>
      </c>
      <c r="E31" s="1">
        <v>0.25</v>
      </c>
      <c r="F31" s="1">
        <v>0.1</v>
      </c>
      <c r="G31" s="1">
        <v>0.1</v>
      </c>
      <c r="I31">
        <f t="shared" si="0"/>
        <v>1.023E-2</v>
      </c>
      <c r="L31" s="32">
        <v>240</v>
      </c>
      <c r="M31" s="27">
        <f>SUM(L$3:L31)</f>
        <v>8390</v>
      </c>
      <c r="N31" s="33">
        <f t="shared" si="1"/>
        <v>8557.7999999999993</v>
      </c>
      <c r="O31" s="54" t="str">
        <f t="shared" si="2"/>
        <v>120</v>
      </c>
      <c r="P31" s="55">
        <f t="shared" si="4"/>
        <v>1720</v>
      </c>
      <c r="Q31" s="55">
        <f t="shared" si="3"/>
        <v>0</v>
      </c>
      <c r="R31" s="55">
        <f t="shared" si="5"/>
        <v>60</v>
      </c>
      <c r="S31" s="56" t="s">
        <v>174</v>
      </c>
      <c r="W31" s="27" t="str">
        <f>TRUNC((X31+6)*10/80)&amp;"-"&amp;((X31+6)/8-TRUNC((X31+6)/8))*80</f>
        <v>5-60</v>
      </c>
      <c r="X31" s="12">
        <v>40</v>
      </c>
      <c r="Y31" s="12"/>
      <c r="Z31" s="12">
        <f t="shared" si="6"/>
        <v>3.5</v>
      </c>
      <c r="AA31" s="12"/>
      <c r="AB31" s="12">
        <f t="shared" si="6"/>
        <v>1500</v>
      </c>
      <c r="AC31" s="12"/>
      <c r="AD31" s="12">
        <f t="shared" si="6"/>
        <v>6300</v>
      </c>
      <c r="AE31" s="12"/>
      <c r="AF31" s="12">
        <f t="shared" si="6"/>
        <v>4800</v>
      </c>
      <c r="AG31" s="12"/>
      <c r="AH31" s="12">
        <f t="shared" si="7"/>
        <v>27000</v>
      </c>
      <c r="AI31" s="12"/>
      <c r="AJ31" s="12">
        <f t="shared" si="7"/>
        <v>42000</v>
      </c>
    </row>
    <row r="32" spans="1:36" x14ac:dyDescent="0.2">
      <c r="A32" t="s">
        <v>29</v>
      </c>
      <c r="B32" s="1">
        <v>2.5000000000000001E-3</v>
      </c>
      <c r="C32" s="1"/>
      <c r="D32" s="1">
        <v>0.3</v>
      </c>
      <c r="E32" s="1">
        <v>0.35</v>
      </c>
      <c r="F32" s="1">
        <v>0.24</v>
      </c>
      <c r="G32" s="1">
        <v>0.1</v>
      </c>
      <c r="H32" s="1">
        <v>0.01</v>
      </c>
      <c r="I32">
        <f t="shared" si="0"/>
        <v>1.0125E-2</v>
      </c>
      <c r="L32" s="32">
        <v>330</v>
      </c>
      <c r="M32" s="27">
        <f>SUM(L$3:L32)</f>
        <v>8720</v>
      </c>
      <c r="N32" s="33">
        <f t="shared" si="1"/>
        <v>8894.4</v>
      </c>
      <c r="O32" s="54">
        <f t="shared" si="2"/>
        <v>0</v>
      </c>
      <c r="P32" s="55">
        <f t="shared" si="4"/>
        <v>1720</v>
      </c>
      <c r="Q32" s="55">
        <f t="shared" si="3"/>
        <v>0</v>
      </c>
      <c r="R32" s="55">
        <f t="shared" si="5"/>
        <v>60</v>
      </c>
      <c r="S32" s="56" t="s">
        <v>182</v>
      </c>
      <c r="W32" s="27" t="str">
        <f>TRUNC((X32+6)*10/80)&amp;"-"&amp;((X32+6)/8-TRUNC((X32+6)/8))*80</f>
        <v>6-10</v>
      </c>
      <c r="X32" s="12">
        <v>43</v>
      </c>
      <c r="Y32" s="12"/>
      <c r="Z32" s="12">
        <f t="shared" si="6"/>
        <v>3.5</v>
      </c>
      <c r="AA32" s="12">
        <v>800</v>
      </c>
      <c r="AB32" s="12">
        <f t="shared" si="6"/>
        <v>2300</v>
      </c>
      <c r="AC32" s="12"/>
      <c r="AD32" s="12">
        <f t="shared" si="6"/>
        <v>6300</v>
      </c>
      <c r="AE32" s="12"/>
      <c r="AF32" s="12">
        <f t="shared" si="6"/>
        <v>4800</v>
      </c>
      <c r="AG32" s="12"/>
      <c r="AH32" s="12">
        <f t="shared" si="7"/>
        <v>27000</v>
      </c>
      <c r="AI32" s="12"/>
      <c r="AJ32" s="12">
        <f t="shared" si="7"/>
        <v>42000</v>
      </c>
    </row>
    <row r="33" spans="12:36" x14ac:dyDescent="0.2">
      <c r="L33" s="32">
        <v>600</v>
      </c>
      <c r="M33" s="27">
        <f>SUM(L$3:L33)</f>
        <v>9320</v>
      </c>
      <c r="N33" s="33">
        <f t="shared" si="1"/>
        <v>9506.4</v>
      </c>
      <c r="O33" s="54">
        <f t="shared" si="2"/>
        <v>0</v>
      </c>
      <c r="P33" s="55">
        <f t="shared" si="4"/>
        <v>1720</v>
      </c>
      <c r="Q33" s="55">
        <f t="shared" si="3"/>
        <v>0</v>
      </c>
      <c r="R33" s="55">
        <f t="shared" si="5"/>
        <v>60</v>
      </c>
      <c r="S33" s="56" t="s">
        <v>183</v>
      </c>
      <c r="W33" s="27" t="str">
        <f>TRUNC((X33+6)*10/80)&amp;"-"&amp;((X33+6)/8-TRUNC((X33+6)/8))*80</f>
        <v>6-40</v>
      </c>
      <c r="X33" s="12">
        <v>46</v>
      </c>
      <c r="Y33" s="12"/>
      <c r="Z33" s="12">
        <f t="shared" si="6"/>
        <v>3.5</v>
      </c>
      <c r="AA33" s="12"/>
      <c r="AB33" s="12">
        <f t="shared" si="6"/>
        <v>2300</v>
      </c>
      <c r="AC33" s="12"/>
      <c r="AD33" s="12">
        <f t="shared" si="6"/>
        <v>6300</v>
      </c>
      <c r="AE33" s="12"/>
      <c r="AF33" s="12">
        <f t="shared" si="6"/>
        <v>4800</v>
      </c>
      <c r="AG33" s="12"/>
      <c r="AH33" s="12">
        <f t="shared" si="7"/>
        <v>27000</v>
      </c>
      <c r="AI33" s="12"/>
      <c r="AJ33" s="12">
        <f t="shared" si="7"/>
        <v>42000</v>
      </c>
    </row>
    <row r="34" spans="12:36" x14ac:dyDescent="0.2">
      <c r="L34" s="32">
        <v>240</v>
      </c>
      <c r="M34" s="27">
        <f>SUM(L$3:L34)</f>
        <v>9560</v>
      </c>
      <c r="N34" s="33">
        <f t="shared" si="1"/>
        <v>9751.2000000000007</v>
      </c>
      <c r="O34" s="54">
        <f t="shared" si="2"/>
        <v>0</v>
      </c>
      <c r="P34" s="55">
        <f t="shared" si="4"/>
        <v>1720</v>
      </c>
      <c r="Q34" s="55">
        <f t="shared" si="3"/>
        <v>0</v>
      </c>
      <c r="R34" s="55">
        <f t="shared" si="5"/>
        <v>60</v>
      </c>
      <c r="S34" s="56" t="s">
        <v>36</v>
      </c>
      <c r="W34" s="27" t="str">
        <f>TRUNC((X34+6)*10/80)&amp;"-"&amp;((X34+6)/8-TRUNC((X34+6)/8))*80</f>
        <v>6-70</v>
      </c>
      <c r="X34" s="12">
        <v>49</v>
      </c>
      <c r="Y34" s="12"/>
      <c r="Z34" s="12">
        <f t="shared" si="6"/>
        <v>3.5</v>
      </c>
      <c r="AA34" s="12"/>
      <c r="AB34" s="12">
        <f t="shared" si="6"/>
        <v>2300</v>
      </c>
      <c r="AC34" s="12">
        <v>3500</v>
      </c>
      <c r="AD34" s="12">
        <f t="shared" si="6"/>
        <v>9800</v>
      </c>
      <c r="AE34" s="12"/>
      <c r="AF34" s="12">
        <f t="shared" si="6"/>
        <v>4800</v>
      </c>
      <c r="AG34" s="12"/>
      <c r="AH34" s="12">
        <f t="shared" si="7"/>
        <v>27000</v>
      </c>
      <c r="AI34" s="12"/>
      <c r="AJ34" s="12">
        <f t="shared" si="7"/>
        <v>42000</v>
      </c>
    </row>
    <row r="35" spans="12:36" x14ac:dyDescent="0.2">
      <c r="L35" s="32">
        <v>1120</v>
      </c>
      <c r="M35" s="27">
        <f>SUM(L$3:L35)</f>
        <v>10680</v>
      </c>
      <c r="N35" s="33">
        <f t="shared" si="1"/>
        <v>10893.6</v>
      </c>
      <c r="O35" s="54">
        <f t="shared" si="2"/>
        <v>0</v>
      </c>
      <c r="P35" s="55">
        <f t="shared" si="4"/>
        <v>1720</v>
      </c>
      <c r="Q35" s="55" t="str">
        <f t="shared" si="3"/>
        <v>25</v>
      </c>
      <c r="R35" s="55">
        <f t="shared" si="5"/>
        <v>85</v>
      </c>
      <c r="S35" s="56" t="s">
        <v>178</v>
      </c>
      <c r="W35" s="27" t="str">
        <f>TRUNC((X35+6)*10/80)&amp;"-"&amp;((X35+6)/8-TRUNC((X35+6)/8))*80</f>
        <v>7-20</v>
      </c>
      <c r="X35" s="12">
        <v>52</v>
      </c>
      <c r="Y35" s="12"/>
      <c r="Z35" s="12">
        <f t="shared" si="6"/>
        <v>3.5</v>
      </c>
      <c r="AA35" s="12"/>
      <c r="AB35" s="12">
        <f t="shared" si="6"/>
        <v>2300</v>
      </c>
      <c r="AC35" s="12"/>
      <c r="AD35" s="12">
        <f t="shared" si="6"/>
        <v>9800</v>
      </c>
      <c r="AE35" s="12">
        <v>2500</v>
      </c>
      <c r="AF35" s="12">
        <f t="shared" si="6"/>
        <v>7300</v>
      </c>
      <c r="AG35" s="12"/>
      <c r="AH35" s="12">
        <f t="shared" si="7"/>
        <v>27000</v>
      </c>
      <c r="AI35" s="12"/>
      <c r="AJ35" s="12">
        <f t="shared" si="7"/>
        <v>42000</v>
      </c>
    </row>
    <row r="36" spans="12:36" x14ac:dyDescent="0.2">
      <c r="L36" s="32">
        <v>240</v>
      </c>
      <c r="M36" s="27">
        <f>SUM(L$3:L36)</f>
        <v>10920</v>
      </c>
      <c r="N36" s="33">
        <f t="shared" si="1"/>
        <v>11138.4</v>
      </c>
      <c r="O36" s="54" t="str">
        <f t="shared" si="2"/>
        <v>120</v>
      </c>
      <c r="P36" s="55">
        <f t="shared" si="4"/>
        <v>1840</v>
      </c>
      <c r="Q36" s="55">
        <f t="shared" si="3"/>
        <v>0</v>
      </c>
      <c r="R36" s="55">
        <f t="shared" si="5"/>
        <v>85</v>
      </c>
      <c r="S36" s="56" t="s">
        <v>174</v>
      </c>
      <c r="W36" s="27" t="str">
        <f>TRUNC((X36+6)*10/80)&amp;"-"&amp;((X36+6)/8-TRUNC((X36+6)/8))*80</f>
        <v>7-50</v>
      </c>
      <c r="X36" s="12">
        <v>55</v>
      </c>
      <c r="Y36" s="12"/>
      <c r="Z36" s="12">
        <f t="shared" si="6"/>
        <v>3.5</v>
      </c>
      <c r="AA36" s="12"/>
      <c r="AB36" s="12">
        <f t="shared" si="6"/>
        <v>2300</v>
      </c>
      <c r="AC36" s="12"/>
      <c r="AD36" s="12">
        <f t="shared" si="6"/>
        <v>9800</v>
      </c>
      <c r="AE36" s="12"/>
      <c r="AF36" s="12">
        <f t="shared" si="6"/>
        <v>7300</v>
      </c>
      <c r="AG36" s="12">
        <v>15000</v>
      </c>
      <c r="AH36" s="12">
        <f t="shared" si="7"/>
        <v>42000</v>
      </c>
      <c r="AI36" s="12"/>
      <c r="AJ36" s="12">
        <f t="shared" si="7"/>
        <v>42000</v>
      </c>
    </row>
    <row r="37" spans="12:36" x14ac:dyDescent="0.2">
      <c r="L37" s="32">
        <v>290</v>
      </c>
      <c r="M37" s="27">
        <f>SUM(L$3:L37)</f>
        <v>11210</v>
      </c>
      <c r="N37" s="33">
        <f t="shared" si="1"/>
        <v>11434.2</v>
      </c>
      <c r="O37" s="54">
        <f t="shared" si="2"/>
        <v>0</v>
      </c>
      <c r="P37" s="55">
        <f t="shared" si="4"/>
        <v>1840</v>
      </c>
      <c r="Q37" s="55">
        <f t="shared" si="3"/>
        <v>0</v>
      </c>
      <c r="R37" s="55">
        <f t="shared" si="5"/>
        <v>85</v>
      </c>
      <c r="S37" s="56" t="s">
        <v>185</v>
      </c>
      <c r="W37" s="27" t="str">
        <f>TRUNC((X37+6)*10/80)&amp;"-"&amp;((X37+6)/8-TRUNC((X37+6)/8))*80</f>
        <v>8-0</v>
      </c>
      <c r="X37" s="12">
        <v>58</v>
      </c>
      <c r="Y37" s="12"/>
      <c r="Z37" s="12">
        <f t="shared" si="6"/>
        <v>3.5</v>
      </c>
      <c r="AA37" s="12"/>
      <c r="AB37" s="12">
        <f t="shared" si="6"/>
        <v>2300</v>
      </c>
      <c r="AC37" s="12"/>
      <c r="AD37" s="12">
        <f t="shared" si="6"/>
        <v>9800</v>
      </c>
      <c r="AE37" s="12"/>
      <c r="AF37" s="12">
        <f t="shared" si="6"/>
        <v>7300</v>
      </c>
      <c r="AG37" s="12"/>
      <c r="AH37" s="12">
        <f t="shared" si="7"/>
        <v>42000</v>
      </c>
      <c r="AI37" s="12">
        <v>22000</v>
      </c>
      <c r="AJ37" s="12">
        <f t="shared" si="7"/>
        <v>64000</v>
      </c>
    </row>
    <row r="38" spans="12:36" x14ac:dyDescent="0.2">
      <c r="L38" s="32">
        <v>260</v>
      </c>
      <c r="M38" s="27">
        <f>SUM(L$3:L38)</f>
        <v>11470</v>
      </c>
      <c r="N38" s="33">
        <f t="shared" si="1"/>
        <v>11699.4</v>
      </c>
      <c r="O38" s="54">
        <f t="shared" si="2"/>
        <v>0</v>
      </c>
      <c r="P38" s="55">
        <f t="shared" si="4"/>
        <v>1840</v>
      </c>
      <c r="Q38" s="55" t="str">
        <f t="shared" si="3"/>
        <v>5</v>
      </c>
      <c r="R38" s="55">
        <f t="shared" si="5"/>
        <v>90</v>
      </c>
      <c r="S38" s="56" t="s">
        <v>180</v>
      </c>
      <c r="W38" s="27" t="str">
        <f>TRUNC((X38+6)*10/80)&amp;"-"&amp;((X38+6)/8-TRUNC((X38+6)/8))*80</f>
        <v>8-30</v>
      </c>
      <c r="X38" s="12">
        <v>61</v>
      </c>
      <c r="Y38" s="58">
        <v>0.8</v>
      </c>
      <c r="Z38" s="12">
        <f t="shared" si="6"/>
        <v>4.3</v>
      </c>
      <c r="AA38" s="12"/>
      <c r="AB38" s="12">
        <f t="shared" si="6"/>
        <v>2300</v>
      </c>
      <c r="AC38" s="12"/>
      <c r="AD38" s="12">
        <f t="shared" si="6"/>
        <v>9800</v>
      </c>
      <c r="AE38" s="12"/>
      <c r="AF38" s="12">
        <f t="shared" si="6"/>
        <v>7300</v>
      </c>
      <c r="AG38" s="12"/>
      <c r="AH38" s="12">
        <f t="shared" si="7"/>
        <v>42000</v>
      </c>
      <c r="AI38" s="12"/>
      <c r="AJ38" s="12">
        <f t="shared" si="7"/>
        <v>64000</v>
      </c>
    </row>
    <row r="39" spans="12:36" x14ac:dyDescent="0.2">
      <c r="L39" s="32">
        <v>290</v>
      </c>
      <c r="M39" s="27">
        <f>SUM(L$3:L39)</f>
        <v>11760</v>
      </c>
      <c r="N39" s="33">
        <f t="shared" si="1"/>
        <v>11995.2</v>
      </c>
      <c r="O39" s="54">
        <f t="shared" si="2"/>
        <v>0</v>
      </c>
      <c r="P39" s="55">
        <f t="shared" si="4"/>
        <v>1840</v>
      </c>
      <c r="Q39" s="55">
        <f t="shared" si="3"/>
        <v>0</v>
      </c>
      <c r="R39" s="55">
        <f t="shared" si="5"/>
        <v>90</v>
      </c>
      <c r="S39" s="56" t="s">
        <v>182</v>
      </c>
      <c r="W39" s="27" t="str">
        <f>TRUNC((X39+6)*10/80)&amp;"-"&amp;((X39+6)/8-TRUNC((X39+6)/8))*80</f>
        <v>8-60</v>
      </c>
      <c r="X39" s="12">
        <v>64</v>
      </c>
      <c r="Y39" s="12"/>
      <c r="Z39" s="12">
        <f t="shared" si="6"/>
        <v>4.3</v>
      </c>
      <c r="AA39" s="12">
        <v>800</v>
      </c>
      <c r="AB39" s="12">
        <f t="shared" si="6"/>
        <v>3100</v>
      </c>
      <c r="AC39" s="12"/>
      <c r="AD39" s="12">
        <f t="shared" si="6"/>
        <v>9800</v>
      </c>
      <c r="AE39" s="12"/>
      <c r="AF39" s="12">
        <f t="shared" si="6"/>
        <v>7300</v>
      </c>
      <c r="AG39" s="12"/>
      <c r="AH39" s="12">
        <f t="shared" si="7"/>
        <v>42000</v>
      </c>
      <c r="AI39" s="12"/>
      <c r="AJ39" s="12">
        <f t="shared" si="7"/>
        <v>64000</v>
      </c>
    </row>
    <row r="40" spans="12:36" x14ac:dyDescent="0.2">
      <c r="L40" s="32">
        <v>530</v>
      </c>
      <c r="M40" s="27">
        <f>SUM(L$3:L40)</f>
        <v>12290</v>
      </c>
      <c r="N40" s="33">
        <f t="shared" si="1"/>
        <v>12535.800000000001</v>
      </c>
      <c r="O40" s="54">
        <f t="shared" si="2"/>
        <v>0</v>
      </c>
      <c r="P40" s="55">
        <f t="shared" si="4"/>
        <v>1840</v>
      </c>
      <c r="Q40" s="55" t="str">
        <f t="shared" si="3"/>
        <v>10</v>
      </c>
      <c r="R40" s="55">
        <f t="shared" si="5"/>
        <v>100</v>
      </c>
      <c r="S40" s="56" t="s">
        <v>179</v>
      </c>
      <c r="W40" s="27" t="str">
        <f>TRUNC((X40+6)*10/80)&amp;"-"&amp;((X40+6)/8-TRUNC((X40+6)/8))*80</f>
        <v>9-10</v>
      </c>
      <c r="X40" s="12">
        <v>67</v>
      </c>
      <c r="Y40" s="12"/>
      <c r="Z40" s="12">
        <f t="shared" si="6"/>
        <v>4.3</v>
      </c>
      <c r="AA40" s="12"/>
      <c r="AB40" s="12">
        <f t="shared" si="6"/>
        <v>3100</v>
      </c>
      <c r="AC40" s="12">
        <v>3500</v>
      </c>
      <c r="AD40" s="12">
        <f t="shared" si="6"/>
        <v>13300</v>
      </c>
      <c r="AE40" s="12"/>
      <c r="AF40" s="12">
        <f t="shared" si="6"/>
        <v>7300</v>
      </c>
      <c r="AG40" s="12"/>
      <c r="AH40" s="12">
        <f t="shared" si="7"/>
        <v>42000</v>
      </c>
      <c r="AI40" s="12"/>
      <c r="AJ40" s="12">
        <f t="shared" si="7"/>
        <v>64000</v>
      </c>
    </row>
    <row r="41" spans="12:36" x14ac:dyDescent="0.2">
      <c r="L41" s="32">
        <v>290</v>
      </c>
      <c r="M41" s="27">
        <f>SUM(L$3:L41)</f>
        <v>12580</v>
      </c>
      <c r="N41" s="33">
        <f t="shared" si="1"/>
        <v>12831.6</v>
      </c>
      <c r="O41" s="54">
        <f t="shared" si="2"/>
        <v>0</v>
      </c>
      <c r="P41" s="55">
        <f t="shared" si="4"/>
        <v>1840</v>
      </c>
      <c r="Q41" s="55">
        <f t="shared" si="3"/>
        <v>0</v>
      </c>
      <c r="R41" s="55">
        <f t="shared" si="5"/>
        <v>100</v>
      </c>
      <c r="S41" s="56" t="s">
        <v>182</v>
      </c>
      <c r="W41" s="27" t="str">
        <f>TRUNC((X41+6)*10/80)&amp;"-"&amp;((X41+6)/8-TRUNC((X41+6)/8))*80</f>
        <v>9-40</v>
      </c>
      <c r="X41" s="12">
        <v>70</v>
      </c>
      <c r="Y41" s="12"/>
      <c r="Z41" s="12">
        <f t="shared" si="6"/>
        <v>4.3</v>
      </c>
      <c r="AA41" s="12"/>
      <c r="AB41" s="12">
        <f t="shared" si="6"/>
        <v>3100</v>
      </c>
      <c r="AC41" s="12"/>
      <c r="AD41" s="12">
        <f t="shared" si="6"/>
        <v>13300</v>
      </c>
      <c r="AE41" s="12"/>
      <c r="AF41" s="12">
        <f t="shared" si="6"/>
        <v>7300</v>
      </c>
      <c r="AG41" s="12"/>
      <c r="AH41" s="12">
        <f t="shared" si="7"/>
        <v>42000</v>
      </c>
      <c r="AI41" s="12"/>
      <c r="AJ41" s="12">
        <f t="shared" si="7"/>
        <v>64000</v>
      </c>
    </row>
    <row r="42" spans="12:36" x14ac:dyDescent="0.2">
      <c r="L42" s="32">
        <v>1310</v>
      </c>
      <c r="M42" s="27">
        <f>SUM(L$3:L42)</f>
        <v>13890</v>
      </c>
      <c r="N42" s="33">
        <f t="shared" si="1"/>
        <v>14167.800000000001</v>
      </c>
      <c r="O42" s="54">
        <f t="shared" si="2"/>
        <v>0</v>
      </c>
      <c r="P42" s="55">
        <f t="shared" si="4"/>
        <v>1840</v>
      </c>
      <c r="Q42" s="55" t="str">
        <f t="shared" si="3"/>
        <v>25</v>
      </c>
      <c r="R42" s="55">
        <f t="shared" si="5"/>
        <v>125</v>
      </c>
      <c r="S42" s="56" t="s">
        <v>178</v>
      </c>
      <c r="W42" s="27" t="str">
        <f>TRUNC((X42+6)*10/80)&amp;"-"&amp;((X42+6)/8-TRUNC((X42+6)/8))*80</f>
        <v>9-70</v>
      </c>
      <c r="X42" s="12">
        <v>73</v>
      </c>
      <c r="Y42" s="12"/>
      <c r="Z42" s="12">
        <f t="shared" si="6"/>
        <v>4.3</v>
      </c>
      <c r="AA42" s="12"/>
      <c r="AB42" s="12">
        <f t="shared" si="6"/>
        <v>3100</v>
      </c>
      <c r="AC42" s="12"/>
      <c r="AD42" s="12">
        <f t="shared" si="6"/>
        <v>13300</v>
      </c>
      <c r="AE42" s="12">
        <v>2500</v>
      </c>
      <c r="AF42" s="12">
        <f t="shared" si="6"/>
        <v>9800</v>
      </c>
      <c r="AG42" s="12"/>
      <c r="AH42" s="12">
        <f t="shared" si="7"/>
        <v>42000</v>
      </c>
      <c r="AI42" s="12"/>
      <c r="AJ42" s="12">
        <f t="shared" si="7"/>
        <v>64000</v>
      </c>
    </row>
    <row r="43" spans="12:36" x14ac:dyDescent="0.2">
      <c r="L43" s="32">
        <v>710</v>
      </c>
      <c r="M43" s="27">
        <f>SUM(L$3:L43)</f>
        <v>14600</v>
      </c>
      <c r="N43" s="33">
        <f t="shared" ref="N43:N54" si="8">M43*0.255*4</f>
        <v>14892</v>
      </c>
      <c r="O43" s="54" t="str">
        <f t="shared" si="2"/>
        <v>300</v>
      </c>
      <c r="P43" s="55">
        <f t="shared" ref="P43:P54" si="9">P42+O43</f>
        <v>2140</v>
      </c>
      <c r="Q43" s="55">
        <f t="shared" si="3"/>
        <v>0</v>
      </c>
      <c r="R43" s="55">
        <f t="shared" ref="R43:R54" si="10">R42+Q43</f>
        <v>125</v>
      </c>
      <c r="S43" s="56" t="s">
        <v>177</v>
      </c>
      <c r="W43" s="27" t="str">
        <f>TRUNC((X43+6)*10/80)&amp;"-"&amp;((X43+6)/8-TRUNC((X43+6)/8))*80</f>
        <v>10-20</v>
      </c>
      <c r="X43" s="12">
        <v>76</v>
      </c>
      <c r="Y43" s="12"/>
      <c r="Z43" s="12">
        <f t="shared" si="6"/>
        <v>4.3</v>
      </c>
      <c r="AA43" s="12"/>
      <c r="AB43" s="12">
        <f t="shared" si="6"/>
        <v>3100</v>
      </c>
      <c r="AC43" s="12"/>
      <c r="AD43" s="12">
        <f t="shared" si="6"/>
        <v>13300</v>
      </c>
      <c r="AE43" s="12"/>
      <c r="AF43" s="12">
        <f t="shared" si="6"/>
        <v>9800</v>
      </c>
      <c r="AG43" s="12">
        <v>15000</v>
      </c>
      <c r="AH43" s="12">
        <f t="shared" si="7"/>
        <v>57000</v>
      </c>
      <c r="AI43" s="12"/>
      <c r="AJ43" s="12">
        <f t="shared" si="7"/>
        <v>64000</v>
      </c>
    </row>
    <row r="44" spans="12:36" x14ac:dyDescent="0.2">
      <c r="L44" s="32">
        <v>580</v>
      </c>
      <c r="M44" s="27">
        <f>SUM(L$3:L44)</f>
        <v>15180</v>
      </c>
      <c r="N44" s="33">
        <f t="shared" si="8"/>
        <v>15483.6</v>
      </c>
      <c r="O44" s="54">
        <f t="shared" si="2"/>
        <v>0</v>
      </c>
      <c r="P44" s="55">
        <f t="shared" si="9"/>
        <v>2140</v>
      </c>
      <c r="Q44" s="55">
        <f t="shared" si="3"/>
        <v>0</v>
      </c>
      <c r="R44" s="55">
        <f t="shared" si="10"/>
        <v>125</v>
      </c>
      <c r="S44" s="56" t="s">
        <v>172</v>
      </c>
      <c r="W44" s="27" t="str">
        <f>TRUNC((X44+6)*10/80)&amp;"-"&amp;((X44+6)/8-TRUNC((X44+6)/8))*80</f>
        <v>10-50</v>
      </c>
      <c r="X44" s="12">
        <v>79</v>
      </c>
      <c r="Y44" s="12"/>
      <c r="Z44" s="12">
        <f t="shared" si="6"/>
        <v>4.3</v>
      </c>
      <c r="AA44" s="12"/>
      <c r="AB44" s="12">
        <f t="shared" si="6"/>
        <v>3100</v>
      </c>
      <c r="AC44" s="12"/>
      <c r="AD44" s="12">
        <f t="shared" si="6"/>
        <v>13300</v>
      </c>
      <c r="AE44" s="12"/>
      <c r="AF44" s="12">
        <f t="shared" si="6"/>
        <v>9800</v>
      </c>
      <c r="AG44" s="12"/>
      <c r="AH44" s="12">
        <f t="shared" si="7"/>
        <v>57000</v>
      </c>
      <c r="AI44" s="12">
        <v>22000</v>
      </c>
      <c r="AJ44" s="12">
        <f t="shared" si="7"/>
        <v>86000</v>
      </c>
    </row>
    <row r="45" spans="12:36" x14ac:dyDescent="0.2">
      <c r="L45" s="32">
        <v>1310</v>
      </c>
      <c r="M45" s="27">
        <f>SUM(L$3:L45)</f>
        <v>16490</v>
      </c>
      <c r="N45" s="33">
        <f t="shared" si="8"/>
        <v>16819.8</v>
      </c>
      <c r="O45" s="54">
        <f t="shared" si="2"/>
        <v>0</v>
      </c>
      <c r="P45" s="55">
        <f t="shared" si="9"/>
        <v>2140</v>
      </c>
      <c r="Q45" s="55" t="str">
        <f t="shared" si="3"/>
        <v>25</v>
      </c>
      <c r="R45" s="55">
        <f t="shared" si="10"/>
        <v>150</v>
      </c>
      <c r="S45" s="56" t="s">
        <v>178</v>
      </c>
      <c r="W45" s="27" t="str">
        <f>TRUNC((X45+6)*10/80)&amp;"-"&amp;((X45+6)/8-TRUNC((X45+6)/8))*80</f>
        <v>11-0</v>
      </c>
      <c r="X45" s="12">
        <v>82</v>
      </c>
      <c r="Y45" s="58">
        <v>0.8</v>
      </c>
      <c r="Z45" s="12">
        <f t="shared" si="6"/>
        <v>5.0999999999999996</v>
      </c>
      <c r="AA45" s="12"/>
      <c r="AB45" s="12">
        <f t="shared" si="6"/>
        <v>3100</v>
      </c>
      <c r="AC45" s="12"/>
      <c r="AD45" s="12">
        <f t="shared" si="6"/>
        <v>13300</v>
      </c>
      <c r="AE45" s="12"/>
      <c r="AF45" s="12">
        <f t="shared" si="6"/>
        <v>9800</v>
      </c>
      <c r="AG45" s="12"/>
      <c r="AH45" s="12">
        <f t="shared" si="7"/>
        <v>57000</v>
      </c>
      <c r="AI45" s="12"/>
      <c r="AJ45" s="12">
        <f t="shared" si="7"/>
        <v>86000</v>
      </c>
    </row>
    <row r="46" spans="12:36" x14ac:dyDescent="0.2">
      <c r="L46" s="32">
        <v>710</v>
      </c>
      <c r="M46" s="27">
        <f>SUM(L$3:L46)</f>
        <v>17200</v>
      </c>
      <c r="N46" s="33">
        <f t="shared" si="8"/>
        <v>17544</v>
      </c>
      <c r="O46" s="54" t="str">
        <f t="shared" si="2"/>
        <v>300</v>
      </c>
      <c r="P46" s="55">
        <f t="shared" si="9"/>
        <v>2440</v>
      </c>
      <c r="Q46" s="55">
        <f t="shared" si="3"/>
        <v>0</v>
      </c>
      <c r="R46" s="55">
        <f t="shared" si="10"/>
        <v>150</v>
      </c>
      <c r="S46" s="56" t="s">
        <v>177</v>
      </c>
      <c r="W46" s="27" t="str">
        <f>TRUNC((X46+6)*10/80)&amp;"-"&amp;((X46+6)/8-TRUNC((X46+6)/8))*80</f>
        <v>11-30</v>
      </c>
      <c r="X46" s="12">
        <v>85</v>
      </c>
      <c r="Y46" s="12"/>
      <c r="Z46" s="12">
        <f t="shared" si="6"/>
        <v>5.0999999999999996</v>
      </c>
      <c r="AA46" s="12">
        <v>800</v>
      </c>
      <c r="AB46" s="12">
        <f t="shared" si="6"/>
        <v>3900</v>
      </c>
      <c r="AC46" s="12"/>
      <c r="AD46" s="12">
        <f t="shared" si="6"/>
        <v>13300</v>
      </c>
      <c r="AE46" s="12"/>
      <c r="AF46" s="12">
        <f t="shared" si="6"/>
        <v>9800</v>
      </c>
      <c r="AG46" s="12"/>
      <c r="AH46" s="12">
        <f t="shared" si="7"/>
        <v>57000</v>
      </c>
      <c r="AI46" s="12"/>
      <c r="AJ46" s="12">
        <f t="shared" si="7"/>
        <v>86000</v>
      </c>
    </row>
    <row r="47" spans="12:36" x14ac:dyDescent="0.2">
      <c r="L47" s="32">
        <v>290</v>
      </c>
      <c r="M47" s="27">
        <f>SUM(L$3:L47)</f>
        <v>17490</v>
      </c>
      <c r="N47" s="33">
        <f t="shared" si="8"/>
        <v>17839.8</v>
      </c>
      <c r="O47" s="54">
        <f t="shared" si="2"/>
        <v>0</v>
      </c>
      <c r="P47" s="55">
        <f t="shared" si="9"/>
        <v>2440</v>
      </c>
      <c r="Q47" s="55">
        <f t="shared" si="3"/>
        <v>0</v>
      </c>
      <c r="R47" s="55">
        <f t="shared" si="10"/>
        <v>150</v>
      </c>
      <c r="S47" s="56" t="s">
        <v>189</v>
      </c>
      <c r="W47" s="27" t="str">
        <f>TRUNC((X47+6)*10/80)&amp;"-"&amp;((X47+6)/8-TRUNC((X47+6)/8))*80</f>
        <v>11-60</v>
      </c>
      <c r="X47" s="12">
        <v>88</v>
      </c>
      <c r="Y47" s="12"/>
      <c r="Z47" s="12">
        <f t="shared" si="6"/>
        <v>5.0999999999999996</v>
      </c>
      <c r="AA47" s="12"/>
      <c r="AB47" s="12">
        <f t="shared" si="6"/>
        <v>3900</v>
      </c>
      <c r="AC47" s="12">
        <v>3500</v>
      </c>
      <c r="AD47" s="12">
        <f t="shared" si="6"/>
        <v>16800</v>
      </c>
      <c r="AE47" s="12"/>
      <c r="AF47" s="12">
        <f t="shared" si="6"/>
        <v>9800</v>
      </c>
      <c r="AG47" s="12"/>
      <c r="AH47" s="12">
        <f t="shared" si="7"/>
        <v>57000</v>
      </c>
      <c r="AI47" s="12"/>
      <c r="AJ47" s="12">
        <f t="shared" si="7"/>
        <v>86000</v>
      </c>
    </row>
    <row r="48" spans="12:36" x14ac:dyDescent="0.2">
      <c r="L48" s="32">
        <v>260</v>
      </c>
      <c r="M48" s="27">
        <f>SUM(L$3:L48)</f>
        <v>17750</v>
      </c>
      <c r="N48" s="33">
        <f t="shared" si="8"/>
        <v>18105</v>
      </c>
      <c r="O48" s="54">
        <f t="shared" si="2"/>
        <v>0</v>
      </c>
      <c r="P48" s="55">
        <f t="shared" si="9"/>
        <v>2440</v>
      </c>
      <c r="Q48" s="55" t="str">
        <f t="shared" si="3"/>
        <v>5</v>
      </c>
      <c r="R48" s="55">
        <f t="shared" si="10"/>
        <v>155</v>
      </c>
      <c r="S48" s="56" t="s">
        <v>180</v>
      </c>
      <c r="W48" s="27" t="str">
        <f>TRUNC((X48+6)*10/80)&amp;"-"&amp;((X48+6)/8-TRUNC((X48+6)/8))*80</f>
        <v>12-10</v>
      </c>
      <c r="X48" s="12">
        <v>91</v>
      </c>
      <c r="Y48" s="12"/>
      <c r="Z48" s="12">
        <f t="shared" si="6"/>
        <v>5.0999999999999996</v>
      </c>
      <c r="AA48" s="12"/>
      <c r="AB48" s="12">
        <f t="shared" si="6"/>
        <v>3900</v>
      </c>
      <c r="AC48" s="12"/>
      <c r="AD48" s="12">
        <f t="shared" si="6"/>
        <v>16800</v>
      </c>
      <c r="AE48" s="12">
        <v>2500</v>
      </c>
      <c r="AF48" s="12">
        <f t="shared" si="6"/>
        <v>12300</v>
      </c>
      <c r="AG48" s="12"/>
      <c r="AH48" s="12">
        <f t="shared" si="7"/>
        <v>57000</v>
      </c>
      <c r="AI48" s="12"/>
      <c r="AJ48" s="12">
        <f t="shared" si="7"/>
        <v>86000</v>
      </c>
    </row>
    <row r="49" spans="12:36" x14ac:dyDescent="0.2">
      <c r="L49" s="32">
        <v>580</v>
      </c>
      <c r="M49" s="27">
        <f>SUM(L$3:L49)</f>
        <v>18330</v>
      </c>
      <c r="N49" s="33">
        <f t="shared" si="8"/>
        <v>18696.599999999999</v>
      </c>
      <c r="O49" s="54">
        <f t="shared" si="2"/>
        <v>0</v>
      </c>
      <c r="P49" s="55">
        <f t="shared" si="9"/>
        <v>2440</v>
      </c>
      <c r="Q49" s="55">
        <f t="shared" si="3"/>
        <v>0</v>
      </c>
      <c r="R49" s="55">
        <f t="shared" si="10"/>
        <v>155</v>
      </c>
      <c r="S49" s="56" t="s">
        <v>182</v>
      </c>
      <c r="W49" s="27" t="str">
        <f>TRUNC((X49+6)*10/80)&amp;"-"&amp;((X49+6)/8-TRUNC((X49+6)/8))*80</f>
        <v>12-40</v>
      </c>
      <c r="X49" s="12">
        <v>94</v>
      </c>
      <c r="Y49" s="12"/>
      <c r="Z49" s="12">
        <f t="shared" si="6"/>
        <v>5.0999999999999996</v>
      </c>
      <c r="AA49" s="12"/>
      <c r="AB49" s="12">
        <f t="shared" si="6"/>
        <v>3900</v>
      </c>
      <c r="AC49" s="12"/>
      <c r="AD49" s="12">
        <f t="shared" si="6"/>
        <v>16800</v>
      </c>
      <c r="AE49" s="12"/>
      <c r="AF49" s="12">
        <f t="shared" si="6"/>
        <v>12300</v>
      </c>
      <c r="AG49" s="12">
        <v>15000</v>
      </c>
      <c r="AH49" s="12">
        <f t="shared" si="7"/>
        <v>72000</v>
      </c>
      <c r="AI49" s="12"/>
      <c r="AJ49" s="12">
        <f t="shared" si="7"/>
        <v>86000</v>
      </c>
    </row>
    <row r="50" spans="12:36" x14ac:dyDescent="0.2">
      <c r="L50" s="32">
        <v>2860</v>
      </c>
      <c r="M50" s="27">
        <f>SUM(L$3:L50)</f>
        <v>21190</v>
      </c>
      <c r="N50" s="33">
        <f t="shared" si="8"/>
        <v>21613.8</v>
      </c>
      <c r="O50" s="54" t="str">
        <f t="shared" si="2"/>
        <v>1000</v>
      </c>
      <c r="P50" s="55">
        <f t="shared" si="9"/>
        <v>3440</v>
      </c>
      <c r="Q50" s="55">
        <f t="shared" si="3"/>
        <v>0</v>
      </c>
      <c r="R50" s="55">
        <f t="shared" si="10"/>
        <v>155</v>
      </c>
      <c r="S50" s="56" t="s">
        <v>188</v>
      </c>
      <c r="W50" s="27" t="str">
        <f>TRUNC((X50+6)*10/80)&amp;"-"&amp;((X50+6)/8-TRUNC((X50+6)/8))*80</f>
        <v>12-70</v>
      </c>
      <c r="X50" s="12">
        <v>97</v>
      </c>
      <c r="Y50" s="12"/>
      <c r="Z50" s="12">
        <f t="shared" si="6"/>
        <v>5.0999999999999996</v>
      </c>
      <c r="AA50" s="12"/>
      <c r="AB50" s="12">
        <f t="shared" si="6"/>
        <v>3900</v>
      </c>
      <c r="AC50" s="12"/>
      <c r="AD50" s="12">
        <f t="shared" si="6"/>
        <v>16800</v>
      </c>
      <c r="AE50" s="12"/>
      <c r="AF50" s="12">
        <f t="shared" si="6"/>
        <v>12300</v>
      </c>
      <c r="AG50" s="12"/>
      <c r="AH50" s="12">
        <f t="shared" si="7"/>
        <v>72000</v>
      </c>
      <c r="AI50" s="12"/>
      <c r="AJ50" s="12">
        <f t="shared" si="7"/>
        <v>86000</v>
      </c>
    </row>
    <row r="51" spans="12:36" x14ac:dyDescent="0.2">
      <c r="L51" s="32">
        <v>320</v>
      </c>
      <c r="M51" s="27">
        <f>SUM(L$3:L51)</f>
        <v>21510</v>
      </c>
      <c r="N51" s="33">
        <f t="shared" si="8"/>
        <v>21940.2</v>
      </c>
      <c r="O51" s="54">
        <f t="shared" si="2"/>
        <v>0</v>
      </c>
      <c r="P51" s="55">
        <f t="shared" si="9"/>
        <v>3440</v>
      </c>
      <c r="Q51" s="55" t="str">
        <f t="shared" si="3"/>
        <v>5</v>
      </c>
      <c r="R51" s="55">
        <f t="shared" si="10"/>
        <v>160</v>
      </c>
      <c r="S51" s="56" t="s">
        <v>180</v>
      </c>
      <c r="W51" s="27" t="str">
        <f>TRUNC((X51+6)*10/80)&amp;"-"&amp;((X51+6)/8-TRUNC((X51+6)/8))*80</f>
        <v>13-20</v>
      </c>
      <c r="X51" s="12">
        <v>100</v>
      </c>
      <c r="Y51" s="12"/>
      <c r="Z51" s="12">
        <f t="shared" si="6"/>
        <v>5.0999999999999996</v>
      </c>
      <c r="AA51" s="12"/>
      <c r="AB51" s="12">
        <f t="shared" si="6"/>
        <v>3900</v>
      </c>
      <c r="AC51" s="12"/>
      <c r="AD51" s="12">
        <f t="shared" si="6"/>
        <v>16800</v>
      </c>
      <c r="AE51" s="12"/>
      <c r="AF51" s="12">
        <f t="shared" si="6"/>
        <v>12300</v>
      </c>
      <c r="AG51" s="12"/>
      <c r="AH51" s="12">
        <f t="shared" si="7"/>
        <v>72000</v>
      </c>
      <c r="AI51" s="12">
        <v>22000</v>
      </c>
      <c r="AJ51" s="12">
        <f t="shared" si="7"/>
        <v>108000</v>
      </c>
    </row>
    <row r="52" spans="12:36" x14ac:dyDescent="0.2">
      <c r="L52" s="32">
        <v>350</v>
      </c>
      <c r="M52" s="27">
        <f>SUM(L$3:L52)</f>
        <v>21860</v>
      </c>
      <c r="N52" s="33">
        <f t="shared" si="8"/>
        <v>22297.200000000001</v>
      </c>
      <c r="O52" s="54">
        <f t="shared" si="2"/>
        <v>0</v>
      </c>
      <c r="P52" s="55">
        <f t="shared" si="9"/>
        <v>3440</v>
      </c>
      <c r="Q52" s="55">
        <f t="shared" si="3"/>
        <v>0</v>
      </c>
      <c r="R52" s="55">
        <f t="shared" si="10"/>
        <v>160</v>
      </c>
      <c r="S52" s="56" t="s">
        <v>185</v>
      </c>
      <c r="W52" s="27" t="str">
        <f>TRUNC((X52+6)*10/80)&amp;"-"&amp;((X52+6)/8-TRUNC((X52+6)/8))*80</f>
        <v>13-50</v>
      </c>
      <c r="X52" s="12">
        <v>103</v>
      </c>
      <c r="Y52" s="58">
        <v>0.8</v>
      </c>
      <c r="Z52" s="12">
        <f t="shared" si="6"/>
        <v>5.8999999999999995</v>
      </c>
      <c r="AA52" s="12"/>
      <c r="AB52" s="12">
        <f t="shared" si="6"/>
        <v>3900</v>
      </c>
      <c r="AC52" s="12"/>
      <c r="AD52" s="12">
        <f t="shared" si="6"/>
        <v>16800</v>
      </c>
      <c r="AE52" s="12"/>
      <c r="AF52" s="12">
        <f t="shared" si="6"/>
        <v>12300</v>
      </c>
      <c r="AG52" s="12"/>
      <c r="AH52" s="12">
        <f t="shared" si="7"/>
        <v>72000</v>
      </c>
      <c r="AI52" s="12"/>
      <c r="AJ52" s="12">
        <f t="shared" si="7"/>
        <v>108000</v>
      </c>
    </row>
    <row r="53" spans="12:36" x14ac:dyDescent="0.2">
      <c r="L53" s="32">
        <v>400</v>
      </c>
      <c r="M53" s="27">
        <f>SUM(L$3:L53)</f>
        <v>22260</v>
      </c>
      <c r="N53" s="33">
        <f t="shared" si="8"/>
        <v>22705.200000000001</v>
      </c>
      <c r="O53" s="54" t="str">
        <f t="shared" si="2"/>
        <v>140</v>
      </c>
      <c r="P53" s="55">
        <f t="shared" si="9"/>
        <v>3580</v>
      </c>
      <c r="Q53" s="55">
        <f t="shared" si="3"/>
        <v>0</v>
      </c>
      <c r="R53" s="55">
        <f t="shared" si="10"/>
        <v>160</v>
      </c>
      <c r="S53" s="56" t="s">
        <v>190</v>
      </c>
      <c r="W53" s="27" t="str">
        <f>TRUNC((X53+6)*10/80)&amp;"-"&amp;((X53+6)/8-TRUNC((X53+6)/8))*80</f>
        <v>14-0</v>
      </c>
      <c r="X53" s="12">
        <v>106</v>
      </c>
      <c r="Y53" s="12"/>
      <c r="Z53" s="12">
        <f t="shared" si="6"/>
        <v>5.8999999999999995</v>
      </c>
      <c r="AA53" s="12">
        <v>1000</v>
      </c>
      <c r="AB53" s="12">
        <f t="shared" si="6"/>
        <v>4900</v>
      </c>
      <c r="AC53" s="12"/>
      <c r="AD53" s="12">
        <f t="shared" si="6"/>
        <v>16800</v>
      </c>
      <c r="AE53" s="12"/>
      <c r="AF53" s="12">
        <f t="shared" si="6"/>
        <v>12300</v>
      </c>
      <c r="AG53" s="12"/>
      <c r="AH53" s="12">
        <f t="shared" si="7"/>
        <v>72000</v>
      </c>
      <c r="AI53" s="12"/>
      <c r="AJ53" s="12">
        <f t="shared" si="7"/>
        <v>108000</v>
      </c>
    </row>
    <row r="54" spans="12:36" x14ac:dyDescent="0.2">
      <c r="L54" s="32">
        <v>700</v>
      </c>
      <c r="M54" s="27">
        <f>SUM(L$3:L54)</f>
        <v>22960</v>
      </c>
      <c r="N54" s="33">
        <f t="shared" ref="N54:N80" si="11">M54*0.255*4</f>
        <v>23419.200000000001</v>
      </c>
      <c r="O54" s="54">
        <f t="shared" ref="O54:O80" si="12">IF(_xlfn.TEXTAFTER(S54," ")="PB",_xlfn.TEXTBEFORE(S54," "),0)</f>
        <v>0</v>
      </c>
      <c r="P54" s="55">
        <f t="shared" ref="P54:P80" si="13">P53+O54</f>
        <v>3580</v>
      </c>
      <c r="Q54" s="55">
        <f t="shared" si="3"/>
        <v>0</v>
      </c>
      <c r="R54" s="55">
        <f t="shared" ref="R54:R80" si="14">R53+Q54</f>
        <v>160</v>
      </c>
      <c r="S54" s="56" t="s">
        <v>182</v>
      </c>
      <c r="W54" s="27" t="str">
        <f>TRUNC((X54+6)*10/80)&amp;"-"&amp;((X54+6)/8-TRUNC((X54+6)/8))*80</f>
        <v>14-30</v>
      </c>
      <c r="X54" s="12">
        <v>109</v>
      </c>
      <c r="Y54" s="12"/>
      <c r="Z54" s="12">
        <f t="shared" si="6"/>
        <v>5.8999999999999995</v>
      </c>
      <c r="AA54" s="12"/>
      <c r="AB54" s="12">
        <f t="shared" si="6"/>
        <v>4900</v>
      </c>
      <c r="AC54" s="12">
        <v>4200</v>
      </c>
      <c r="AD54" s="12">
        <f t="shared" si="6"/>
        <v>21000</v>
      </c>
      <c r="AE54" s="12"/>
      <c r="AF54" s="12">
        <f t="shared" si="6"/>
        <v>12300</v>
      </c>
      <c r="AG54" s="12"/>
      <c r="AH54" s="12">
        <f t="shared" si="7"/>
        <v>72000</v>
      </c>
      <c r="AI54" s="12"/>
      <c r="AJ54" s="12">
        <f t="shared" si="7"/>
        <v>108000</v>
      </c>
    </row>
    <row r="55" spans="12:36" x14ac:dyDescent="0.2">
      <c r="L55" s="32">
        <v>320</v>
      </c>
      <c r="M55" s="27">
        <f>SUM(L$3:L55)</f>
        <v>23280</v>
      </c>
      <c r="N55" s="33">
        <f t="shared" si="11"/>
        <v>23745.600000000002</v>
      </c>
      <c r="O55" s="54">
        <f t="shared" si="12"/>
        <v>0</v>
      </c>
      <c r="P55" s="55">
        <f t="shared" si="13"/>
        <v>3580</v>
      </c>
      <c r="Q55" s="55" t="str">
        <f t="shared" si="3"/>
        <v>5</v>
      </c>
      <c r="R55" s="55">
        <f t="shared" si="14"/>
        <v>165</v>
      </c>
      <c r="S55" s="56" t="s">
        <v>180</v>
      </c>
      <c r="W55" s="27" t="str">
        <f>TRUNC((X55+6)*10/80)&amp;"-"&amp;((X55+6)/8-TRUNC((X55+6)/8))*80</f>
        <v>14-60</v>
      </c>
      <c r="X55" s="12">
        <v>112</v>
      </c>
      <c r="Y55" s="12"/>
      <c r="Z55" s="12">
        <f t="shared" si="6"/>
        <v>5.8999999999999995</v>
      </c>
      <c r="AA55" s="12"/>
      <c r="AB55" s="12">
        <f t="shared" si="6"/>
        <v>4900</v>
      </c>
      <c r="AC55" s="12"/>
      <c r="AD55" s="12">
        <f t="shared" si="6"/>
        <v>21000</v>
      </c>
      <c r="AE55" s="12">
        <v>3200</v>
      </c>
      <c r="AF55" s="12">
        <f t="shared" si="6"/>
        <v>15500</v>
      </c>
      <c r="AG55" s="12"/>
      <c r="AH55" s="12">
        <f t="shared" si="7"/>
        <v>72000</v>
      </c>
      <c r="AI55" s="12"/>
      <c r="AJ55" s="12">
        <f t="shared" si="7"/>
        <v>108000</v>
      </c>
    </row>
    <row r="56" spans="12:36" x14ac:dyDescent="0.2">
      <c r="L56" s="32">
        <v>860</v>
      </c>
      <c r="M56" s="27">
        <f>SUM(L$3:L56)</f>
        <v>24140</v>
      </c>
      <c r="N56" s="33">
        <f t="shared" si="11"/>
        <v>24622.799999999999</v>
      </c>
      <c r="O56" s="54" t="str">
        <f t="shared" si="12"/>
        <v>300</v>
      </c>
      <c r="P56" s="55">
        <f t="shared" si="13"/>
        <v>3880</v>
      </c>
      <c r="Q56" s="55">
        <f t="shared" si="3"/>
        <v>0</v>
      </c>
      <c r="R56" s="55">
        <f t="shared" si="14"/>
        <v>165</v>
      </c>
      <c r="S56" s="56" t="s">
        <v>177</v>
      </c>
      <c r="W56" s="27" t="str">
        <f>TRUNC((X56+6)*10/80)&amp;"-"&amp;((X56+6)/8-TRUNC((X56+6)/8))*80</f>
        <v>15-10</v>
      </c>
      <c r="X56" s="12">
        <v>115</v>
      </c>
      <c r="Y56" s="12"/>
      <c r="Z56" s="12">
        <f t="shared" si="6"/>
        <v>5.8999999999999995</v>
      </c>
      <c r="AA56" s="12"/>
      <c r="AB56" s="12">
        <f t="shared" si="6"/>
        <v>4900</v>
      </c>
      <c r="AC56" s="12"/>
      <c r="AD56" s="12">
        <f t="shared" si="6"/>
        <v>21000</v>
      </c>
      <c r="AE56" s="12"/>
      <c r="AF56" s="12">
        <f t="shared" si="6"/>
        <v>15500</v>
      </c>
      <c r="AG56" s="12">
        <v>18000</v>
      </c>
      <c r="AH56" s="12">
        <f t="shared" si="7"/>
        <v>90000</v>
      </c>
      <c r="AI56" s="12"/>
      <c r="AJ56" s="12">
        <f t="shared" si="7"/>
        <v>108000</v>
      </c>
    </row>
    <row r="57" spans="12:36" x14ac:dyDescent="0.2">
      <c r="L57" s="32">
        <v>700</v>
      </c>
      <c r="M57" s="27">
        <f>SUM(L$3:L57)</f>
        <v>24840</v>
      </c>
      <c r="N57" s="33">
        <f t="shared" si="11"/>
        <v>25336.799999999999</v>
      </c>
      <c r="O57" s="54">
        <f t="shared" si="12"/>
        <v>0</v>
      </c>
      <c r="P57" s="55">
        <f t="shared" si="13"/>
        <v>3880</v>
      </c>
      <c r="Q57" s="55">
        <f t="shared" si="3"/>
        <v>0</v>
      </c>
      <c r="R57" s="55">
        <f t="shared" si="14"/>
        <v>165</v>
      </c>
      <c r="S57" s="56" t="s">
        <v>172</v>
      </c>
      <c r="W57" s="27" t="str">
        <f>TRUNC((X57+6)*10/80)&amp;"-"&amp;((X57+6)/8-TRUNC((X57+6)/8))*80</f>
        <v>15-40</v>
      </c>
      <c r="X57" s="12">
        <v>118</v>
      </c>
      <c r="Y57" s="12"/>
      <c r="Z57" s="12">
        <f t="shared" si="6"/>
        <v>5.8999999999999995</v>
      </c>
      <c r="AA57" s="12"/>
      <c r="AB57" s="12">
        <f t="shared" si="6"/>
        <v>4900</v>
      </c>
      <c r="AC57" s="12"/>
      <c r="AD57" s="12">
        <f t="shared" si="6"/>
        <v>21000</v>
      </c>
      <c r="AE57" s="12"/>
      <c r="AF57" s="12">
        <f t="shared" si="6"/>
        <v>15500</v>
      </c>
      <c r="AG57" s="12"/>
      <c r="AH57" s="12">
        <f t="shared" si="7"/>
        <v>90000</v>
      </c>
      <c r="AI57" s="12">
        <v>28000</v>
      </c>
      <c r="AJ57" s="12">
        <f t="shared" si="7"/>
        <v>136000</v>
      </c>
    </row>
    <row r="58" spans="12:36" x14ac:dyDescent="0.2">
      <c r="L58" s="32">
        <v>1910</v>
      </c>
      <c r="M58" s="27">
        <f>SUM(L$3:L58)</f>
        <v>26750</v>
      </c>
      <c r="N58" s="33">
        <f t="shared" si="11"/>
        <v>27285</v>
      </c>
      <c r="O58" s="54">
        <f t="shared" si="12"/>
        <v>0</v>
      </c>
      <c r="P58" s="55">
        <f t="shared" si="13"/>
        <v>3880</v>
      </c>
      <c r="Q58" s="55" t="str">
        <f t="shared" si="3"/>
        <v>30</v>
      </c>
      <c r="R58" s="55">
        <f t="shared" si="14"/>
        <v>195</v>
      </c>
      <c r="S58" s="56" t="s">
        <v>191</v>
      </c>
      <c r="W58" s="27" t="str">
        <f>TRUNC((X58+6)*10/80)&amp;"-"&amp;((X58+6)/8-TRUNC((X58+6)/8))*80</f>
        <v>15-70</v>
      </c>
      <c r="X58" s="12">
        <v>121</v>
      </c>
      <c r="Y58" s="58">
        <v>0.8</v>
      </c>
      <c r="Z58" s="12">
        <f t="shared" si="6"/>
        <v>6.6999999999999993</v>
      </c>
      <c r="AA58" s="12"/>
      <c r="AB58" s="12">
        <f t="shared" si="6"/>
        <v>4900</v>
      </c>
      <c r="AC58" s="12"/>
      <c r="AD58" s="12">
        <f t="shared" si="6"/>
        <v>21000</v>
      </c>
      <c r="AE58" s="12"/>
      <c r="AF58" s="12">
        <f t="shared" si="6"/>
        <v>15500</v>
      </c>
      <c r="AG58" s="12"/>
      <c r="AH58" s="12">
        <f t="shared" si="7"/>
        <v>90000</v>
      </c>
      <c r="AI58" s="12"/>
      <c r="AJ58" s="12">
        <f t="shared" si="7"/>
        <v>136000</v>
      </c>
    </row>
    <row r="59" spans="12:36" x14ac:dyDescent="0.2">
      <c r="L59" s="32">
        <v>1370</v>
      </c>
      <c r="M59" s="27">
        <f>SUM(L$3:L59)</f>
        <v>28120</v>
      </c>
      <c r="N59" s="33">
        <f t="shared" si="11"/>
        <v>28682.400000000001</v>
      </c>
      <c r="O59" s="54" t="str">
        <f t="shared" si="12"/>
        <v>480</v>
      </c>
      <c r="P59" s="55">
        <f t="shared" si="13"/>
        <v>4360</v>
      </c>
      <c r="Q59" s="55">
        <f t="shared" si="3"/>
        <v>0</v>
      </c>
      <c r="R59" s="55">
        <f t="shared" si="14"/>
        <v>195</v>
      </c>
      <c r="S59" s="56" t="s">
        <v>192</v>
      </c>
      <c r="W59" s="27" t="str">
        <f>TRUNC((X59+6)*10/80)&amp;"-"&amp;((X59+6)/8-TRUNC((X59+6)/8))*80</f>
        <v>16-20</v>
      </c>
      <c r="X59" s="12">
        <v>124</v>
      </c>
      <c r="Y59" s="12"/>
      <c r="Z59" s="12">
        <f t="shared" si="6"/>
        <v>6.6999999999999993</v>
      </c>
      <c r="AA59" s="12">
        <v>1000</v>
      </c>
      <c r="AB59" s="12">
        <f t="shared" si="6"/>
        <v>5900</v>
      </c>
      <c r="AC59" s="12"/>
      <c r="AD59" s="12">
        <f t="shared" si="6"/>
        <v>21000</v>
      </c>
      <c r="AE59" s="12"/>
      <c r="AF59" s="12">
        <f t="shared" si="6"/>
        <v>15500</v>
      </c>
      <c r="AG59" s="12"/>
      <c r="AH59" s="12">
        <f t="shared" si="7"/>
        <v>90000</v>
      </c>
      <c r="AI59" s="12"/>
      <c r="AJ59" s="12">
        <f t="shared" si="7"/>
        <v>136000</v>
      </c>
    </row>
    <row r="60" spans="12:36" x14ac:dyDescent="0.2">
      <c r="L60" s="32">
        <v>640</v>
      </c>
      <c r="M60" s="27">
        <f>SUM(L$3:L60)</f>
        <v>28760</v>
      </c>
      <c r="N60" s="33">
        <f t="shared" si="11"/>
        <v>29335.200000000001</v>
      </c>
      <c r="O60" s="54">
        <f t="shared" si="12"/>
        <v>0</v>
      </c>
      <c r="P60" s="55">
        <f t="shared" si="13"/>
        <v>4360</v>
      </c>
      <c r="Q60" s="55" t="str">
        <f t="shared" si="3"/>
        <v>10</v>
      </c>
      <c r="R60" s="55">
        <f t="shared" si="14"/>
        <v>205</v>
      </c>
      <c r="S60" s="56" t="s">
        <v>179</v>
      </c>
      <c r="W60" s="27" t="str">
        <f>TRUNC((X60+6)*10/80)&amp;"-"&amp;((X60+6)/8-TRUNC((X60+6)/8))*80</f>
        <v>16-50</v>
      </c>
      <c r="X60" s="12">
        <v>127</v>
      </c>
      <c r="Y60" s="12"/>
      <c r="Z60" s="12">
        <f t="shared" si="6"/>
        <v>6.6999999999999993</v>
      </c>
      <c r="AA60" s="12"/>
      <c r="AB60" s="12">
        <f t="shared" si="6"/>
        <v>5900</v>
      </c>
      <c r="AC60" s="12">
        <v>4200</v>
      </c>
      <c r="AD60" s="12">
        <f t="shared" si="6"/>
        <v>25200</v>
      </c>
      <c r="AE60" s="12"/>
      <c r="AF60" s="12">
        <f t="shared" si="6"/>
        <v>15500</v>
      </c>
      <c r="AG60" s="12"/>
      <c r="AH60" s="12">
        <f t="shared" si="7"/>
        <v>90000</v>
      </c>
      <c r="AI60" s="12"/>
      <c r="AJ60" s="12">
        <f t="shared" si="7"/>
        <v>136000</v>
      </c>
    </row>
    <row r="61" spans="12:36" x14ac:dyDescent="0.2">
      <c r="L61" s="32">
        <v>350</v>
      </c>
      <c r="M61" s="27">
        <f>SUM(L$3:L61)</f>
        <v>29110</v>
      </c>
      <c r="N61" s="33">
        <f t="shared" si="11"/>
        <v>29692.2</v>
      </c>
      <c r="O61" s="54">
        <f t="shared" si="12"/>
        <v>0</v>
      </c>
      <c r="P61" s="55">
        <f t="shared" si="13"/>
        <v>4360</v>
      </c>
      <c r="Q61" s="55">
        <f t="shared" si="3"/>
        <v>0</v>
      </c>
      <c r="R61" s="55">
        <f t="shared" si="14"/>
        <v>205</v>
      </c>
      <c r="S61" s="56" t="s">
        <v>185</v>
      </c>
      <c r="W61" s="27" t="str">
        <f>TRUNC((X61+6)*10/80)&amp;"-"&amp;((X61+6)/8-TRUNC((X61+6)/8))*80</f>
        <v>17-0</v>
      </c>
      <c r="X61" s="12">
        <v>130</v>
      </c>
      <c r="Y61" s="12"/>
      <c r="Z61" s="12">
        <f t="shared" si="6"/>
        <v>6.6999999999999993</v>
      </c>
      <c r="AA61" s="12"/>
      <c r="AB61" s="12">
        <f t="shared" si="6"/>
        <v>5900</v>
      </c>
      <c r="AC61" s="12"/>
      <c r="AD61" s="12">
        <f t="shared" si="6"/>
        <v>25200</v>
      </c>
      <c r="AE61" s="12">
        <v>3200</v>
      </c>
      <c r="AF61" s="12">
        <f t="shared" si="6"/>
        <v>18700</v>
      </c>
      <c r="AG61" s="12"/>
      <c r="AH61" s="12">
        <f t="shared" si="7"/>
        <v>90000</v>
      </c>
      <c r="AI61" s="12"/>
      <c r="AJ61" s="12">
        <f t="shared" si="7"/>
        <v>136000</v>
      </c>
    </row>
    <row r="62" spans="12:36" x14ac:dyDescent="0.2">
      <c r="L62" s="32">
        <v>320</v>
      </c>
      <c r="M62" s="27">
        <f>SUM(L$3:L62)</f>
        <v>29430</v>
      </c>
      <c r="N62" s="33">
        <f t="shared" si="11"/>
        <v>30018.600000000002</v>
      </c>
      <c r="O62" s="54">
        <f t="shared" si="12"/>
        <v>0</v>
      </c>
      <c r="P62" s="55">
        <f t="shared" si="13"/>
        <v>4360</v>
      </c>
      <c r="Q62" s="55">
        <f t="shared" si="3"/>
        <v>0</v>
      </c>
      <c r="R62" s="55">
        <f t="shared" si="14"/>
        <v>205</v>
      </c>
      <c r="S62" s="56" t="s">
        <v>193</v>
      </c>
      <c r="W62" s="27" t="str">
        <f>TRUNC((X62+6)*10/80)&amp;"-"&amp;((X62+6)/8-TRUNC((X62+6)/8))*80</f>
        <v>17-30</v>
      </c>
      <c r="X62" s="12">
        <v>133</v>
      </c>
      <c r="Y62" s="12"/>
      <c r="Z62" s="12">
        <f t="shared" si="6"/>
        <v>6.6999999999999993</v>
      </c>
      <c r="AA62" s="12"/>
      <c r="AB62" s="12">
        <f t="shared" si="6"/>
        <v>5900</v>
      </c>
      <c r="AC62" s="12"/>
      <c r="AD62" s="12">
        <f t="shared" si="6"/>
        <v>25200</v>
      </c>
      <c r="AE62" s="12"/>
      <c r="AF62" s="12">
        <f t="shared" si="6"/>
        <v>18700</v>
      </c>
      <c r="AG62" s="12">
        <v>18000</v>
      </c>
      <c r="AH62" s="12">
        <f t="shared" si="7"/>
        <v>108000</v>
      </c>
      <c r="AI62" s="12"/>
      <c r="AJ62" s="12">
        <f t="shared" si="7"/>
        <v>136000</v>
      </c>
    </row>
    <row r="63" spans="12:36" x14ac:dyDescent="0.2">
      <c r="L63" s="32">
        <v>760</v>
      </c>
      <c r="M63" s="27">
        <f>SUM(L$3:L63)</f>
        <v>30190</v>
      </c>
      <c r="N63" s="33">
        <f t="shared" si="11"/>
        <v>30793.8</v>
      </c>
      <c r="O63" s="54">
        <f t="shared" si="12"/>
        <v>0</v>
      </c>
      <c r="P63" s="55">
        <f t="shared" si="13"/>
        <v>4360</v>
      </c>
      <c r="Q63" s="55">
        <f t="shared" si="3"/>
        <v>0</v>
      </c>
      <c r="R63" s="55">
        <f t="shared" si="14"/>
        <v>205</v>
      </c>
      <c r="S63" s="56" t="s">
        <v>182</v>
      </c>
      <c r="W63" s="27" t="str">
        <f>TRUNC((X63+6)*10/80)&amp;"-"&amp;((X63+6)/8-TRUNC((X63+6)/8))*80</f>
        <v>17-60</v>
      </c>
      <c r="X63" s="12">
        <v>136</v>
      </c>
      <c r="Y63" s="12"/>
      <c r="Z63" s="12">
        <f t="shared" si="6"/>
        <v>6.6999999999999993</v>
      </c>
      <c r="AA63" s="12"/>
      <c r="AB63" s="12">
        <f t="shared" si="6"/>
        <v>5900</v>
      </c>
      <c r="AC63" s="12"/>
      <c r="AD63" s="12">
        <f t="shared" si="6"/>
        <v>25200</v>
      </c>
      <c r="AE63" s="12"/>
      <c r="AF63" s="12">
        <f t="shared" si="6"/>
        <v>18700</v>
      </c>
      <c r="AG63" s="12"/>
      <c r="AH63" s="12">
        <f t="shared" si="7"/>
        <v>108000</v>
      </c>
      <c r="AI63" s="12">
        <v>28000</v>
      </c>
      <c r="AJ63" s="12">
        <f t="shared" si="7"/>
        <v>164000</v>
      </c>
    </row>
    <row r="64" spans="12:36" x14ac:dyDescent="0.2">
      <c r="L64" s="32">
        <v>640</v>
      </c>
      <c r="M64" s="27">
        <f>SUM(L$3:L64)</f>
        <v>30830</v>
      </c>
      <c r="N64" s="33">
        <f t="shared" si="11"/>
        <v>31446.600000000002</v>
      </c>
      <c r="O64" s="54">
        <f t="shared" si="12"/>
        <v>0</v>
      </c>
      <c r="P64" s="55">
        <f t="shared" si="13"/>
        <v>4360</v>
      </c>
      <c r="Q64" s="55" t="str">
        <f t="shared" si="3"/>
        <v>10</v>
      </c>
      <c r="R64" s="55">
        <f t="shared" si="14"/>
        <v>215</v>
      </c>
      <c r="S64" s="56" t="s">
        <v>179</v>
      </c>
      <c r="W64" s="27" t="str">
        <f>TRUNC((X64+6)*10/80)&amp;"-"&amp;((X64+6)/8-TRUNC((X64+6)/8))*80</f>
        <v>18-10</v>
      </c>
      <c r="X64" s="12">
        <v>139</v>
      </c>
      <c r="Y64" s="58">
        <v>0.8</v>
      </c>
      <c r="Z64" s="12">
        <f t="shared" si="6"/>
        <v>7.4999999999999991</v>
      </c>
      <c r="AA64" s="12"/>
      <c r="AB64" s="12">
        <f t="shared" si="6"/>
        <v>5900</v>
      </c>
      <c r="AC64" s="12"/>
      <c r="AD64" s="12">
        <f t="shared" si="6"/>
        <v>25200</v>
      </c>
      <c r="AE64" s="12"/>
      <c r="AF64" s="12">
        <f t="shared" si="6"/>
        <v>18700</v>
      </c>
      <c r="AG64" s="12"/>
      <c r="AH64" s="12">
        <f t="shared" si="7"/>
        <v>108000</v>
      </c>
      <c r="AI64" s="12"/>
      <c r="AJ64" s="12">
        <f t="shared" si="7"/>
        <v>164000</v>
      </c>
    </row>
    <row r="65" spans="12:36" x14ac:dyDescent="0.2">
      <c r="L65" s="32">
        <v>1710</v>
      </c>
      <c r="M65" s="27">
        <f>SUM(L$3:L65)</f>
        <v>32540</v>
      </c>
      <c r="N65" s="33">
        <f t="shared" si="11"/>
        <v>33190.800000000003</v>
      </c>
      <c r="O65" s="54" t="str">
        <f t="shared" si="12"/>
        <v>600</v>
      </c>
      <c r="P65" s="55">
        <f t="shared" si="13"/>
        <v>4960</v>
      </c>
      <c r="Q65" s="55">
        <f t="shared" si="3"/>
        <v>0</v>
      </c>
      <c r="R65" s="55">
        <f t="shared" si="14"/>
        <v>215</v>
      </c>
      <c r="S65" s="56" t="s">
        <v>194</v>
      </c>
      <c r="W65" s="27" t="str">
        <f>TRUNC((X65+6)*10/80)&amp;"-"&amp;((X65+6)/8-TRUNC((X65+6)/8))*80</f>
        <v>18-40</v>
      </c>
      <c r="X65" s="12">
        <v>142</v>
      </c>
      <c r="Y65" s="12"/>
      <c r="Z65" s="12">
        <f t="shared" si="6"/>
        <v>7.4999999999999991</v>
      </c>
      <c r="AA65" s="12">
        <v>1000</v>
      </c>
      <c r="AB65" s="12">
        <f t="shared" si="6"/>
        <v>6900</v>
      </c>
      <c r="AC65" s="12"/>
      <c r="AD65" s="12">
        <f t="shared" si="6"/>
        <v>25200</v>
      </c>
      <c r="AE65" s="12"/>
      <c r="AF65" s="12">
        <f t="shared" si="6"/>
        <v>18700</v>
      </c>
      <c r="AG65" s="12"/>
      <c r="AH65" s="12">
        <f t="shared" si="7"/>
        <v>108000</v>
      </c>
      <c r="AI65" s="12"/>
      <c r="AJ65" s="12">
        <f t="shared" si="7"/>
        <v>164000</v>
      </c>
    </row>
    <row r="66" spans="12:36" x14ac:dyDescent="0.2">
      <c r="L66" s="32">
        <v>630</v>
      </c>
      <c r="M66" s="27">
        <f>SUM(L$3:L66)</f>
        <v>33170</v>
      </c>
      <c r="N66" s="33">
        <f t="shared" si="11"/>
        <v>33833.4</v>
      </c>
      <c r="O66" s="54">
        <f t="shared" si="12"/>
        <v>0</v>
      </c>
      <c r="P66" s="55">
        <f t="shared" si="13"/>
        <v>4960</v>
      </c>
      <c r="Q66" s="55">
        <f t="shared" si="3"/>
        <v>0</v>
      </c>
      <c r="R66" s="55">
        <f t="shared" si="14"/>
        <v>215</v>
      </c>
      <c r="S66" s="56" t="s">
        <v>195</v>
      </c>
      <c r="W66" s="27" t="str">
        <f>TRUNC((X66+6)*10/80)&amp;"-"&amp;((X66+6)/8-TRUNC((X66+6)/8))*80</f>
        <v>18-70</v>
      </c>
      <c r="X66" s="12">
        <v>145</v>
      </c>
      <c r="Y66" s="12"/>
      <c r="Z66" s="12">
        <f t="shared" si="6"/>
        <v>7.4999999999999991</v>
      </c>
      <c r="AA66" s="12"/>
      <c r="AB66" s="12">
        <f t="shared" si="6"/>
        <v>6900</v>
      </c>
      <c r="AC66" s="12">
        <v>4200</v>
      </c>
      <c r="AD66" s="12">
        <f t="shared" si="6"/>
        <v>29400</v>
      </c>
      <c r="AE66" s="12"/>
      <c r="AF66" s="12">
        <f t="shared" si="6"/>
        <v>18700</v>
      </c>
      <c r="AG66" s="12"/>
      <c r="AH66" s="12">
        <f t="shared" si="7"/>
        <v>108000</v>
      </c>
      <c r="AI66" s="12"/>
      <c r="AJ66" s="12">
        <f t="shared" si="7"/>
        <v>164000</v>
      </c>
    </row>
    <row r="67" spans="12:36" x14ac:dyDescent="0.2">
      <c r="L67" s="32">
        <v>320</v>
      </c>
      <c r="M67" s="27">
        <f>SUM(L$3:L67)</f>
        <v>33490</v>
      </c>
      <c r="N67" s="33">
        <f t="shared" si="11"/>
        <v>34159.800000000003</v>
      </c>
      <c r="O67" s="54">
        <f t="shared" si="12"/>
        <v>0</v>
      </c>
      <c r="P67" s="55">
        <f t="shared" si="13"/>
        <v>4960</v>
      </c>
      <c r="Q67" s="55" t="str">
        <f t="shared" si="3"/>
        <v>5</v>
      </c>
      <c r="R67" s="55">
        <f t="shared" si="14"/>
        <v>220</v>
      </c>
      <c r="S67" s="56" t="s">
        <v>180</v>
      </c>
      <c r="W67" s="27" t="str">
        <f>TRUNC((X67+6)*10/80)&amp;"-"&amp;((X67+6)/8-TRUNC((X67+6)/8))*80</f>
        <v>19-20</v>
      </c>
      <c r="X67" s="12">
        <v>148</v>
      </c>
      <c r="Y67" s="12"/>
      <c r="Z67" s="12">
        <f t="shared" si="6"/>
        <v>7.4999999999999991</v>
      </c>
      <c r="AA67" s="12"/>
      <c r="AB67" s="12">
        <f t="shared" si="6"/>
        <v>6900</v>
      </c>
      <c r="AC67" s="12"/>
      <c r="AD67" s="12">
        <f t="shared" si="6"/>
        <v>29400</v>
      </c>
      <c r="AE67" s="12">
        <v>3200</v>
      </c>
      <c r="AF67" s="12">
        <f t="shared" si="6"/>
        <v>21900</v>
      </c>
      <c r="AG67" s="12"/>
      <c r="AH67" s="12">
        <f t="shared" si="7"/>
        <v>108000</v>
      </c>
      <c r="AI67" s="12"/>
      <c r="AJ67" s="12">
        <f t="shared" si="7"/>
        <v>164000</v>
      </c>
    </row>
    <row r="68" spans="12:36" x14ac:dyDescent="0.2">
      <c r="L68" s="32">
        <v>1290</v>
      </c>
      <c r="M68" s="27">
        <f>SUM(L$3:L68)</f>
        <v>34780</v>
      </c>
      <c r="N68" s="33">
        <f t="shared" si="11"/>
        <v>35475.599999999999</v>
      </c>
      <c r="O68" s="54" t="str">
        <f t="shared" si="12"/>
        <v>450</v>
      </c>
      <c r="P68" s="55">
        <f t="shared" si="13"/>
        <v>5410</v>
      </c>
      <c r="Q68" s="55">
        <f t="shared" ref="Q68:Q80" si="15">IF(_xlfn.TEXTAFTER($S68," ")="CP",_xlfn.TEXTBEFORE($S68," "),0)</f>
        <v>0</v>
      </c>
      <c r="R68" s="55">
        <f t="shared" si="14"/>
        <v>220</v>
      </c>
      <c r="S68" s="56" t="s">
        <v>196</v>
      </c>
      <c r="W68" s="27" t="str">
        <f>TRUNC((X68+6)*10/80)&amp;"-"&amp;((X68+6)/8-TRUNC((X68+6)/8))*80</f>
        <v>19-50</v>
      </c>
      <c r="X68" s="12">
        <v>151</v>
      </c>
      <c r="Y68" s="12"/>
      <c r="Z68" s="12">
        <f t="shared" si="6"/>
        <v>7.4999999999999991</v>
      </c>
      <c r="AA68" s="12"/>
      <c r="AB68" s="12">
        <f t="shared" si="6"/>
        <v>6900</v>
      </c>
      <c r="AC68" s="12"/>
      <c r="AD68" s="12">
        <f t="shared" si="6"/>
        <v>29400</v>
      </c>
      <c r="AE68" s="12"/>
      <c r="AF68" s="12">
        <f t="shared" si="6"/>
        <v>21900</v>
      </c>
      <c r="AG68" s="12">
        <v>18000</v>
      </c>
      <c r="AH68" s="12">
        <f t="shared" si="7"/>
        <v>126000</v>
      </c>
      <c r="AI68" s="12"/>
      <c r="AJ68" s="12">
        <f t="shared" si="7"/>
        <v>164000</v>
      </c>
    </row>
    <row r="69" spans="12:36" x14ac:dyDescent="0.2">
      <c r="L69" s="32">
        <v>700</v>
      </c>
      <c r="M69" s="27">
        <f>SUM(L$3:L69)</f>
        <v>35480</v>
      </c>
      <c r="N69" s="33">
        <f t="shared" si="11"/>
        <v>36189.599999999999</v>
      </c>
      <c r="O69" s="54">
        <f t="shared" si="12"/>
        <v>0</v>
      </c>
      <c r="P69" s="55">
        <f t="shared" si="13"/>
        <v>5410</v>
      </c>
      <c r="Q69" s="55">
        <f t="shared" si="15"/>
        <v>0</v>
      </c>
      <c r="R69" s="55">
        <f t="shared" si="14"/>
        <v>220</v>
      </c>
      <c r="S69" s="56" t="s">
        <v>185</v>
      </c>
      <c r="W69" s="27" t="str">
        <f>TRUNC((X69+6)*10/80)&amp;"-"&amp;((X69+6)/8-TRUNC((X69+6)/8))*80</f>
        <v>20-0</v>
      </c>
      <c r="X69" s="12">
        <v>154</v>
      </c>
      <c r="Y69" s="12"/>
      <c r="Z69" s="12">
        <f t="shared" si="6"/>
        <v>7.4999999999999991</v>
      </c>
      <c r="AA69" s="12"/>
      <c r="AB69" s="12">
        <f t="shared" si="6"/>
        <v>6900</v>
      </c>
      <c r="AC69" s="12"/>
      <c r="AD69" s="12">
        <f t="shared" si="6"/>
        <v>29400</v>
      </c>
      <c r="AE69" s="12"/>
      <c r="AF69" s="12">
        <f t="shared" ref="AF69" si="16">AE69+AF68</f>
        <v>21900</v>
      </c>
      <c r="AG69" s="12"/>
      <c r="AH69" s="12">
        <f t="shared" si="7"/>
        <v>126000</v>
      </c>
      <c r="AI69" s="12">
        <v>28000</v>
      </c>
      <c r="AJ69" s="12">
        <f t="shared" si="7"/>
        <v>192000</v>
      </c>
    </row>
    <row r="70" spans="12:36" x14ac:dyDescent="0.2">
      <c r="L70" s="32">
        <v>960</v>
      </c>
      <c r="M70" s="27">
        <f>SUM(L$3:L70)</f>
        <v>36440</v>
      </c>
      <c r="N70" s="33">
        <f t="shared" si="11"/>
        <v>37168.800000000003</v>
      </c>
      <c r="O70" s="54">
        <f t="shared" si="12"/>
        <v>0</v>
      </c>
      <c r="P70" s="55">
        <f t="shared" si="13"/>
        <v>5410</v>
      </c>
      <c r="Q70" s="55" t="str">
        <f t="shared" si="15"/>
        <v>15</v>
      </c>
      <c r="R70" s="55">
        <f t="shared" si="14"/>
        <v>235</v>
      </c>
      <c r="S70" s="56" t="s">
        <v>197</v>
      </c>
      <c r="W70" s="27" t="str">
        <f>TRUNC((X70+6)*10/80)&amp;"-"&amp;((X70+6)/8-TRUNC((X70+6)/8))*80</f>
        <v>20-30</v>
      </c>
      <c r="X70" s="12">
        <v>157</v>
      </c>
      <c r="Y70" s="58">
        <v>0.8</v>
      </c>
      <c r="Z70" s="12">
        <f t="shared" ref="Z70:AF85" si="17">Y70+Z69</f>
        <v>8.2999999999999989</v>
      </c>
      <c r="AA70" s="12"/>
      <c r="AB70" s="12">
        <f t="shared" si="17"/>
        <v>6900</v>
      </c>
      <c r="AC70" s="12"/>
      <c r="AD70" s="12">
        <f t="shared" si="17"/>
        <v>29400</v>
      </c>
      <c r="AE70" s="12"/>
      <c r="AF70" s="12">
        <f t="shared" si="17"/>
        <v>21900</v>
      </c>
      <c r="AG70" s="12"/>
      <c r="AH70" s="12">
        <f t="shared" ref="AH70:AH105" si="18">AG70+AH69</f>
        <v>126000</v>
      </c>
      <c r="AI70" s="12"/>
      <c r="AJ70" s="12">
        <f t="shared" ref="AH70:AJ133" si="19">AI70+AJ69</f>
        <v>192000</v>
      </c>
    </row>
    <row r="71" spans="12:36" x14ac:dyDescent="0.2">
      <c r="L71" s="32">
        <v>940</v>
      </c>
      <c r="M71" s="27">
        <f>SUM(L$3:L71)</f>
        <v>37380</v>
      </c>
      <c r="N71" s="33">
        <f t="shared" si="11"/>
        <v>38127.599999999999</v>
      </c>
      <c r="O71" s="54">
        <f t="shared" si="12"/>
        <v>0</v>
      </c>
      <c r="P71" s="55">
        <f t="shared" si="13"/>
        <v>5410</v>
      </c>
      <c r="Q71" s="55">
        <f t="shared" si="15"/>
        <v>0</v>
      </c>
      <c r="R71" s="55">
        <f t="shared" si="14"/>
        <v>235</v>
      </c>
      <c r="S71" s="56" t="s">
        <v>182</v>
      </c>
      <c r="W71" s="27" t="str">
        <f>TRUNC((X71+6)*10/80)&amp;"-"&amp;((X71+6)/8-TRUNC((X71+6)/8))*80</f>
        <v>20-60</v>
      </c>
      <c r="X71" s="12">
        <v>160</v>
      </c>
      <c r="Y71" s="12"/>
      <c r="Z71" s="12">
        <f t="shared" si="17"/>
        <v>8.2999999999999989</v>
      </c>
      <c r="AA71" s="12">
        <v>1000</v>
      </c>
      <c r="AB71" s="12">
        <f t="shared" si="17"/>
        <v>7900</v>
      </c>
      <c r="AC71" s="12"/>
      <c r="AD71" s="12">
        <f t="shared" si="17"/>
        <v>29400</v>
      </c>
      <c r="AE71" s="12"/>
      <c r="AF71" s="12">
        <f t="shared" si="17"/>
        <v>21900</v>
      </c>
      <c r="AG71" s="12"/>
      <c r="AH71" s="12">
        <f t="shared" si="18"/>
        <v>126000</v>
      </c>
      <c r="AI71" s="12"/>
      <c r="AJ71" s="12">
        <f t="shared" si="19"/>
        <v>192000</v>
      </c>
    </row>
    <row r="72" spans="12:36" x14ac:dyDescent="0.2">
      <c r="L72" s="32">
        <v>800</v>
      </c>
      <c r="M72" s="27">
        <f>SUM(L$3:L72)</f>
        <v>38180</v>
      </c>
      <c r="N72" s="33">
        <f t="shared" si="11"/>
        <v>38943.599999999999</v>
      </c>
      <c r="O72" s="54" t="str">
        <f t="shared" si="12"/>
        <v>280</v>
      </c>
      <c r="P72" s="55">
        <f t="shared" si="13"/>
        <v>5690</v>
      </c>
      <c r="Q72" s="55">
        <f t="shared" si="15"/>
        <v>0</v>
      </c>
      <c r="R72" s="55">
        <f t="shared" si="14"/>
        <v>235</v>
      </c>
      <c r="S72" s="56" t="s">
        <v>198</v>
      </c>
      <c r="W72" s="27" t="str">
        <f>TRUNC((X72+6)*10/80)&amp;"-"&amp;((X72+6)/8-TRUNC((X72+6)/8))*80</f>
        <v>21-10</v>
      </c>
      <c r="X72" s="12">
        <v>163</v>
      </c>
      <c r="Y72" s="12"/>
      <c r="Z72" s="12">
        <f t="shared" si="17"/>
        <v>8.2999999999999989</v>
      </c>
      <c r="AA72" s="12"/>
      <c r="AB72" s="12">
        <f t="shared" si="17"/>
        <v>7900</v>
      </c>
      <c r="AC72" s="12">
        <v>4200</v>
      </c>
      <c r="AD72" s="12">
        <f t="shared" si="17"/>
        <v>33600</v>
      </c>
      <c r="AE72" s="12"/>
      <c r="AF72" s="12">
        <f t="shared" si="17"/>
        <v>21900</v>
      </c>
      <c r="AG72" s="12"/>
      <c r="AH72" s="12">
        <f t="shared" si="18"/>
        <v>126000</v>
      </c>
      <c r="AI72" s="12"/>
      <c r="AJ72" s="12">
        <f t="shared" si="19"/>
        <v>192000</v>
      </c>
    </row>
    <row r="73" spans="12:36" x14ac:dyDescent="0.2">
      <c r="L73" s="32"/>
      <c r="M73" s="27">
        <f>SUM(L$3:L73)</f>
        <v>38180</v>
      </c>
      <c r="N73" s="33">
        <f t="shared" si="11"/>
        <v>38943.599999999999</v>
      </c>
      <c r="O73" s="54" t="e">
        <f t="shared" si="12"/>
        <v>#N/A</v>
      </c>
      <c r="P73" s="55" t="e">
        <f t="shared" si="13"/>
        <v>#N/A</v>
      </c>
      <c r="Q73" s="55" t="e">
        <f t="shared" si="15"/>
        <v>#N/A</v>
      </c>
      <c r="R73" s="55" t="e">
        <f t="shared" si="14"/>
        <v>#N/A</v>
      </c>
      <c r="S73" s="56"/>
      <c r="W73" s="27" t="str">
        <f>TRUNC((X73+6)*10/80)&amp;"-"&amp;((X73+6)/8-TRUNC((X73+6)/8))*80</f>
        <v>21-40</v>
      </c>
      <c r="X73" s="12">
        <v>166</v>
      </c>
      <c r="Y73" s="12"/>
      <c r="Z73" s="12">
        <f t="shared" si="17"/>
        <v>8.2999999999999989</v>
      </c>
      <c r="AA73" s="12"/>
      <c r="AB73" s="12">
        <f t="shared" si="17"/>
        <v>7900</v>
      </c>
      <c r="AC73" s="12"/>
      <c r="AD73" s="12">
        <f t="shared" si="17"/>
        <v>33600</v>
      </c>
      <c r="AE73" s="12">
        <v>3200</v>
      </c>
      <c r="AF73" s="12">
        <f t="shared" si="17"/>
        <v>25100</v>
      </c>
      <c r="AG73" s="12"/>
      <c r="AH73" s="12">
        <f t="shared" si="18"/>
        <v>126000</v>
      </c>
      <c r="AI73" s="12"/>
      <c r="AJ73" s="12">
        <f t="shared" si="19"/>
        <v>192000</v>
      </c>
    </row>
    <row r="74" spans="12:36" x14ac:dyDescent="0.2">
      <c r="L74" s="32"/>
      <c r="M74" s="27">
        <f>SUM(L$3:L74)</f>
        <v>38180</v>
      </c>
      <c r="N74" s="33">
        <f t="shared" si="11"/>
        <v>38943.599999999999</v>
      </c>
      <c r="O74" s="54" t="e">
        <f t="shared" si="12"/>
        <v>#N/A</v>
      </c>
      <c r="P74" s="55" t="e">
        <f t="shared" si="13"/>
        <v>#N/A</v>
      </c>
      <c r="Q74" s="55" t="e">
        <f t="shared" si="15"/>
        <v>#N/A</v>
      </c>
      <c r="R74" s="55" t="e">
        <f t="shared" si="14"/>
        <v>#N/A</v>
      </c>
      <c r="S74" s="56"/>
      <c r="W74" s="27" t="str">
        <f>TRUNC((X74+6)*10/80)&amp;"-"&amp;((X74+6)/8-TRUNC((X74+6)/8))*80</f>
        <v>21-70</v>
      </c>
      <c r="X74" s="12">
        <v>169</v>
      </c>
      <c r="Y74" s="12"/>
      <c r="Z74" s="12">
        <f t="shared" si="17"/>
        <v>8.2999999999999989</v>
      </c>
      <c r="AA74" s="12"/>
      <c r="AB74" s="12">
        <f t="shared" si="17"/>
        <v>7900</v>
      </c>
      <c r="AC74" s="12"/>
      <c r="AD74" s="12">
        <f t="shared" si="17"/>
        <v>33600</v>
      </c>
      <c r="AE74" s="12"/>
      <c r="AF74" s="12">
        <f t="shared" si="17"/>
        <v>25100</v>
      </c>
      <c r="AG74" s="12">
        <v>18000</v>
      </c>
      <c r="AH74" s="12">
        <f t="shared" si="18"/>
        <v>144000</v>
      </c>
      <c r="AI74" s="12"/>
      <c r="AJ74" s="12">
        <f t="shared" si="19"/>
        <v>192000</v>
      </c>
    </row>
    <row r="75" spans="12:36" x14ac:dyDescent="0.2">
      <c r="L75" s="32"/>
      <c r="M75" s="27">
        <f>SUM(L$3:L75)</f>
        <v>38180</v>
      </c>
      <c r="N75" s="33">
        <f t="shared" si="11"/>
        <v>38943.599999999999</v>
      </c>
      <c r="O75" s="54" t="e">
        <f t="shared" si="12"/>
        <v>#N/A</v>
      </c>
      <c r="P75" s="55" t="e">
        <f t="shared" si="13"/>
        <v>#N/A</v>
      </c>
      <c r="Q75" s="55" t="e">
        <f t="shared" si="15"/>
        <v>#N/A</v>
      </c>
      <c r="R75" s="55" t="e">
        <f t="shared" si="14"/>
        <v>#N/A</v>
      </c>
      <c r="S75" s="56"/>
      <c r="W75" s="27" t="str">
        <f>TRUNC((X75+6)*10/80)&amp;"-"&amp;((X75+6)/8-TRUNC((X75+6)/8))*80</f>
        <v>22-20</v>
      </c>
      <c r="X75" s="12">
        <v>172</v>
      </c>
      <c r="Y75" s="12"/>
      <c r="Z75" s="12">
        <f t="shared" si="17"/>
        <v>8.2999999999999989</v>
      </c>
      <c r="AA75" s="12"/>
      <c r="AB75" s="12">
        <f t="shared" si="17"/>
        <v>7900</v>
      </c>
      <c r="AC75" s="12"/>
      <c r="AD75" s="12">
        <f t="shared" si="17"/>
        <v>33600</v>
      </c>
      <c r="AE75" s="12"/>
      <c r="AF75" s="12">
        <f t="shared" si="17"/>
        <v>25100</v>
      </c>
      <c r="AG75" s="12"/>
      <c r="AH75" s="12">
        <f t="shared" si="18"/>
        <v>144000</v>
      </c>
      <c r="AI75" s="12">
        <v>28000</v>
      </c>
      <c r="AJ75" s="12">
        <f t="shared" si="19"/>
        <v>220000</v>
      </c>
    </row>
    <row r="76" spans="12:36" x14ac:dyDescent="0.2">
      <c r="L76" s="32"/>
      <c r="M76" s="27">
        <f>SUM(L$3:L76)</f>
        <v>38180</v>
      </c>
      <c r="N76" s="33">
        <f t="shared" si="11"/>
        <v>38943.599999999999</v>
      </c>
      <c r="O76" s="54" t="e">
        <f t="shared" si="12"/>
        <v>#N/A</v>
      </c>
      <c r="P76" s="55" t="e">
        <f t="shared" si="13"/>
        <v>#N/A</v>
      </c>
      <c r="Q76" s="55" t="e">
        <f t="shared" si="15"/>
        <v>#N/A</v>
      </c>
      <c r="R76" s="55" t="e">
        <f t="shared" si="14"/>
        <v>#N/A</v>
      </c>
      <c r="S76" s="56"/>
      <c r="W76" s="27" t="str">
        <f>TRUNC((X76+6)*10/80)&amp;"-"&amp;((X76+6)/8-TRUNC((X76+6)/8))*80</f>
        <v>22-50</v>
      </c>
      <c r="X76" s="12">
        <v>175</v>
      </c>
      <c r="Y76" s="58">
        <v>0.8</v>
      </c>
      <c r="Z76" s="12">
        <f t="shared" si="17"/>
        <v>9.1</v>
      </c>
      <c r="AA76" s="12"/>
      <c r="AB76" s="12">
        <f t="shared" si="17"/>
        <v>7900</v>
      </c>
      <c r="AC76" s="12"/>
      <c r="AD76" s="12">
        <f t="shared" si="17"/>
        <v>33600</v>
      </c>
      <c r="AE76" s="12"/>
      <c r="AF76" s="12">
        <f t="shared" si="17"/>
        <v>25100</v>
      </c>
      <c r="AG76" s="12"/>
      <c r="AH76" s="12">
        <f t="shared" si="18"/>
        <v>144000</v>
      </c>
      <c r="AI76" s="12"/>
      <c r="AJ76" s="12">
        <f t="shared" si="19"/>
        <v>220000</v>
      </c>
    </row>
    <row r="77" spans="12:36" x14ac:dyDescent="0.2">
      <c r="L77" s="32"/>
      <c r="M77" s="27">
        <f>SUM(L$3:L77)</f>
        <v>38180</v>
      </c>
      <c r="N77" s="33">
        <f t="shared" si="11"/>
        <v>38943.599999999999</v>
      </c>
      <c r="O77" s="54" t="e">
        <f t="shared" si="12"/>
        <v>#N/A</v>
      </c>
      <c r="P77" s="55" t="e">
        <f t="shared" si="13"/>
        <v>#N/A</v>
      </c>
      <c r="Q77" s="55" t="e">
        <f t="shared" si="15"/>
        <v>#N/A</v>
      </c>
      <c r="R77" s="55" t="e">
        <f t="shared" si="14"/>
        <v>#N/A</v>
      </c>
      <c r="S77" s="56"/>
      <c r="W77" s="27" t="str">
        <f>TRUNC((X77+6)*10/80)&amp;"-"&amp;((X77+6)/8-TRUNC((X77+6)/8))*80</f>
        <v>23-0</v>
      </c>
      <c r="X77" s="12">
        <v>178</v>
      </c>
      <c r="Y77" s="12"/>
      <c r="Z77" s="12">
        <f t="shared" si="17"/>
        <v>9.1</v>
      </c>
      <c r="AA77" s="12">
        <v>1000</v>
      </c>
      <c r="AB77" s="12">
        <f t="shared" si="17"/>
        <v>8900</v>
      </c>
      <c r="AC77" s="12"/>
      <c r="AD77" s="12">
        <f t="shared" si="17"/>
        <v>33600</v>
      </c>
      <c r="AE77" s="12"/>
      <c r="AF77" s="12">
        <f t="shared" si="17"/>
        <v>25100</v>
      </c>
      <c r="AG77" s="12"/>
      <c r="AH77" s="12">
        <f t="shared" si="18"/>
        <v>144000</v>
      </c>
      <c r="AI77" s="12"/>
      <c r="AJ77" s="12">
        <f t="shared" si="19"/>
        <v>220000</v>
      </c>
    </row>
    <row r="78" spans="12:36" x14ac:dyDescent="0.2">
      <c r="L78" s="32"/>
      <c r="M78" s="27">
        <f>SUM(L$3:L78)</f>
        <v>38180</v>
      </c>
      <c r="N78" s="33">
        <f t="shared" si="11"/>
        <v>38943.599999999999</v>
      </c>
      <c r="O78" s="54" t="e">
        <f t="shared" si="12"/>
        <v>#N/A</v>
      </c>
      <c r="P78" s="55" t="e">
        <f t="shared" si="13"/>
        <v>#N/A</v>
      </c>
      <c r="Q78" s="55" t="e">
        <f t="shared" si="15"/>
        <v>#N/A</v>
      </c>
      <c r="R78" s="55" t="e">
        <f t="shared" si="14"/>
        <v>#N/A</v>
      </c>
      <c r="S78" s="56"/>
      <c r="W78" s="27" t="str">
        <f>TRUNC((X78+6)*10/80)&amp;"-"&amp;((X78+6)/8-TRUNC((X78+6)/8))*80</f>
        <v>23-30</v>
      </c>
      <c r="X78" s="12">
        <v>181</v>
      </c>
      <c r="Y78" s="12"/>
      <c r="Z78" s="12">
        <f t="shared" si="17"/>
        <v>9.1</v>
      </c>
      <c r="AA78" s="12"/>
      <c r="AB78" s="12">
        <f t="shared" si="17"/>
        <v>8900</v>
      </c>
      <c r="AC78" s="12">
        <v>4200</v>
      </c>
      <c r="AD78" s="12">
        <f t="shared" si="17"/>
        <v>37800</v>
      </c>
      <c r="AE78" s="12"/>
      <c r="AF78" s="12">
        <f t="shared" si="17"/>
        <v>25100</v>
      </c>
      <c r="AG78" s="12"/>
      <c r="AH78" s="12">
        <f t="shared" si="18"/>
        <v>144000</v>
      </c>
      <c r="AI78" s="12"/>
      <c r="AJ78" s="12">
        <f t="shared" si="19"/>
        <v>220000</v>
      </c>
    </row>
    <row r="79" spans="12:36" x14ac:dyDescent="0.2">
      <c r="L79" s="32"/>
      <c r="M79" s="27">
        <f>SUM(L$3:L79)</f>
        <v>38180</v>
      </c>
      <c r="N79" s="33">
        <f t="shared" si="11"/>
        <v>38943.599999999999</v>
      </c>
      <c r="O79" s="54" t="e">
        <f t="shared" si="12"/>
        <v>#N/A</v>
      </c>
      <c r="P79" s="55" t="e">
        <f t="shared" si="13"/>
        <v>#N/A</v>
      </c>
      <c r="Q79" s="55" t="e">
        <f t="shared" si="15"/>
        <v>#N/A</v>
      </c>
      <c r="R79" s="55" t="e">
        <f t="shared" si="14"/>
        <v>#N/A</v>
      </c>
      <c r="S79" s="56"/>
      <c r="W79" s="27" t="str">
        <f>TRUNC((X79+6)*10/80)&amp;"-"&amp;((X79+6)/8-TRUNC((X79+6)/8))*80</f>
        <v>23-60</v>
      </c>
      <c r="X79" s="12">
        <v>184</v>
      </c>
      <c r="Y79" s="12"/>
      <c r="Z79" s="12">
        <f t="shared" si="17"/>
        <v>9.1</v>
      </c>
      <c r="AA79" s="12"/>
      <c r="AB79" s="12">
        <f t="shared" si="17"/>
        <v>8900</v>
      </c>
      <c r="AC79" s="12"/>
      <c r="AD79" s="12">
        <f t="shared" si="17"/>
        <v>37800</v>
      </c>
      <c r="AE79" s="12">
        <v>3200</v>
      </c>
      <c r="AF79" s="12">
        <f t="shared" si="17"/>
        <v>28300</v>
      </c>
      <c r="AG79" s="12"/>
      <c r="AH79" s="12">
        <f t="shared" si="18"/>
        <v>144000</v>
      </c>
      <c r="AI79" s="12"/>
      <c r="AJ79" s="12">
        <f t="shared" si="19"/>
        <v>220000</v>
      </c>
    </row>
    <row r="80" spans="12:36" x14ac:dyDescent="0.2">
      <c r="L80" s="32"/>
      <c r="M80" s="27">
        <f>SUM(L$3:L80)</f>
        <v>38180</v>
      </c>
      <c r="N80" s="33">
        <f t="shared" si="11"/>
        <v>38943.599999999999</v>
      </c>
      <c r="O80" s="54" t="e">
        <f t="shared" si="12"/>
        <v>#N/A</v>
      </c>
      <c r="P80" s="55" t="e">
        <f t="shared" si="13"/>
        <v>#N/A</v>
      </c>
      <c r="Q80" s="55" t="e">
        <f t="shared" si="15"/>
        <v>#N/A</v>
      </c>
      <c r="R80" s="55" t="e">
        <f t="shared" si="14"/>
        <v>#N/A</v>
      </c>
      <c r="S80" s="56"/>
      <c r="W80" s="27" t="str">
        <f>TRUNC((X80+6)*10/80)&amp;"-"&amp;((X80+6)/8-TRUNC((X80+6)/8))*80</f>
        <v>24-10</v>
      </c>
      <c r="X80" s="12">
        <v>187</v>
      </c>
      <c r="Y80" s="12"/>
      <c r="Z80" s="12">
        <f t="shared" si="17"/>
        <v>9.1</v>
      </c>
      <c r="AA80" s="12"/>
      <c r="AB80" s="12">
        <f t="shared" si="17"/>
        <v>8900</v>
      </c>
      <c r="AC80" s="12"/>
      <c r="AD80" s="12">
        <f t="shared" si="17"/>
        <v>37800</v>
      </c>
      <c r="AE80" s="12"/>
      <c r="AF80" s="12">
        <f t="shared" si="17"/>
        <v>28300</v>
      </c>
      <c r="AG80" s="12">
        <v>18000</v>
      </c>
      <c r="AH80" s="12">
        <f t="shared" si="18"/>
        <v>162000</v>
      </c>
      <c r="AI80" s="12"/>
      <c r="AJ80" s="12">
        <f t="shared" si="19"/>
        <v>220000</v>
      </c>
    </row>
    <row r="81" spans="23:36" x14ac:dyDescent="0.2">
      <c r="W81" s="27" t="str">
        <f>TRUNC((X81+6)*10/80)&amp;"-"&amp;((X81+6)/8-TRUNC((X81+6)/8))*80</f>
        <v>24-40</v>
      </c>
      <c r="X81" s="12">
        <v>190</v>
      </c>
      <c r="Y81" s="12"/>
      <c r="Z81" s="12">
        <f t="shared" si="17"/>
        <v>9.1</v>
      </c>
      <c r="AA81" s="12"/>
      <c r="AB81" s="12">
        <f t="shared" si="17"/>
        <v>8900</v>
      </c>
      <c r="AC81" s="12"/>
      <c r="AD81" s="12">
        <f t="shared" si="17"/>
        <v>37800</v>
      </c>
      <c r="AE81" s="12"/>
      <c r="AF81" s="12">
        <f t="shared" si="17"/>
        <v>28300</v>
      </c>
      <c r="AG81" s="12"/>
      <c r="AH81" s="12">
        <f t="shared" si="18"/>
        <v>162000</v>
      </c>
      <c r="AI81" s="12">
        <v>28000</v>
      </c>
      <c r="AJ81" s="12">
        <f t="shared" si="19"/>
        <v>248000</v>
      </c>
    </row>
    <row r="82" spans="23:36" x14ac:dyDescent="0.2">
      <c r="W82" s="27" t="str">
        <f>TRUNC((X82+6)*10/80)&amp;"-"&amp;((X82+6)/8-TRUNC((X82+6)/8))*80</f>
        <v>24-70</v>
      </c>
      <c r="X82" s="12">
        <v>193</v>
      </c>
      <c r="Y82" s="58">
        <v>0.8</v>
      </c>
      <c r="Z82" s="12">
        <f t="shared" si="17"/>
        <v>9.9</v>
      </c>
      <c r="AA82" s="12"/>
      <c r="AB82" s="12">
        <f t="shared" si="17"/>
        <v>8900</v>
      </c>
      <c r="AC82" s="12"/>
      <c r="AD82" s="12">
        <f t="shared" si="17"/>
        <v>37800</v>
      </c>
      <c r="AE82" s="12"/>
      <c r="AF82" s="12">
        <f t="shared" si="17"/>
        <v>28300</v>
      </c>
      <c r="AG82" s="12"/>
      <c r="AH82" s="12">
        <f t="shared" si="18"/>
        <v>162000</v>
      </c>
      <c r="AI82" s="12"/>
      <c r="AJ82" s="12">
        <f t="shared" si="19"/>
        <v>248000</v>
      </c>
    </row>
    <row r="83" spans="23:36" x14ac:dyDescent="0.2">
      <c r="W83" s="27" t="str">
        <f>TRUNC((X83+6)*10/80)&amp;"-"&amp;((X83+6)/8-TRUNC((X83+6)/8))*80</f>
        <v>25-20</v>
      </c>
      <c r="X83" s="12">
        <v>196</v>
      </c>
      <c r="Y83" s="12"/>
      <c r="Z83" s="12">
        <f t="shared" si="17"/>
        <v>9.9</v>
      </c>
      <c r="AA83" s="12">
        <v>1000</v>
      </c>
      <c r="AB83" s="12">
        <f t="shared" si="17"/>
        <v>9900</v>
      </c>
      <c r="AC83" s="12"/>
      <c r="AD83" s="12">
        <f t="shared" si="17"/>
        <v>37800</v>
      </c>
      <c r="AE83" s="12"/>
      <c r="AF83" s="12">
        <f t="shared" si="17"/>
        <v>28300</v>
      </c>
      <c r="AG83" s="12"/>
      <c r="AH83" s="12">
        <f t="shared" si="18"/>
        <v>162000</v>
      </c>
      <c r="AI83" s="12"/>
      <c r="AJ83" s="12">
        <f t="shared" si="19"/>
        <v>248000</v>
      </c>
    </row>
    <row r="84" spans="23:36" x14ac:dyDescent="0.2">
      <c r="W84" s="27" t="str">
        <f>TRUNC((X84+6)*10/80)&amp;"-"&amp;((X84+6)/8-TRUNC((X84+6)/8))*80</f>
        <v>25-50</v>
      </c>
      <c r="X84" s="12">
        <v>199</v>
      </c>
      <c r="Y84" s="12"/>
      <c r="Z84" s="12">
        <f t="shared" si="17"/>
        <v>9.9</v>
      </c>
      <c r="AA84" s="12"/>
      <c r="AB84" s="12">
        <f t="shared" si="17"/>
        <v>9900</v>
      </c>
      <c r="AC84" s="12">
        <v>4200</v>
      </c>
      <c r="AD84" s="12">
        <f t="shared" si="17"/>
        <v>42000</v>
      </c>
      <c r="AE84" s="12"/>
      <c r="AF84" s="12">
        <f t="shared" si="17"/>
        <v>28300</v>
      </c>
      <c r="AG84" s="12"/>
      <c r="AH84" s="12">
        <f t="shared" si="18"/>
        <v>162000</v>
      </c>
      <c r="AI84" s="12"/>
      <c r="AJ84" s="12">
        <f t="shared" si="19"/>
        <v>248000</v>
      </c>
    </row>
    <row r="85" spans="23:36" x14ac:dyDescent="0.2">
      <c r="W85" s="27" t="str">
        <f>TRUNC((X85+6)*10/80)&amp;"-"&amp;((X85+6)/8-TRUNC((X85+6)/8))*80</f>
        <v>26-0</v>
      </c>
      <c r="X85" s="12">
        <v>202</v>
      </c>
      <c r="Y85" s="12"/>
      <c r="Z85" s="12">
        <f t="shared" si="17"/>
        <v>9.9</v>
      </c>
      <c r="AA85" s="12"/>
      <c r="AB85" s="12">
        <f t="shared" si="17"/>
        <v>9900</v>
      </c>
      <c r="AC85" s="12"/>
      <c r="AD85" s="12">
        <f t="shared" si="17"/>
        <v>42000</v>
      </c>
      <c r="AE85" s="12">
        <v>3200</v>
      </c>
      <c r="AF85" s="12">
        <f t="shared" si="17"/>
        <v>31500</v>
      </c>
      <c r="AG85" s="12"/>
      <c r="AH85" s="12">
        <f t="shared" si="18"/>
        <v>162000</v>
      </c>
      <c r="AI85" s="12"/>
      <c r="AJ85" s="12">
        <f t="shared" si="19"/>
        <v>248000</v>
      </c>
    </row>
    <row r="86" spans="23:36" x14ac:dyDescent="0.2">
      <c r="W86" s="27" t="str">
        <f>TRUNC((X86+6)*10/80)&amp;"-"&amp;((X86+6)/8-TRUNC((X86+6)/8))*80</f>
        <v>26-30</v>
      </c>
      <c r="X86" s="12">
        <v>205</v>
      </c>
      <c r="Y86" s="12"/>
      <c r="Z86" s="12">
        <f t="shared" ref="Z86:AF101" si="20">Y86+Z85</f>
        <v>9.9</v>
      </c>
      <c r="AA86" s="12"/>
      <c r="AB86" s="12">
        <f t="shared" si="20"/>
        <v>9900</v>
      </c>
      <c r="AC86" s="12"/>
      <c r="AD86" s="12">
        <f t="shared" si="20"/>
        <v>42000</v>
      </c>
      <c r="AE86" s="12"/>
      <c r="AF86" s="12">
        <f t="shared" si="20"/>
        <v>31500</v>
      </c>
      <c r="AG86" s="12">
        <v>18000</v>
      </c>
      <c r="AH86" s="12">
        <f t="shared" si="18"/>
        <v>180000</v>
      </c>
      <c r="AI86" s="12"/>
      <c r="AJ86" s="12">
        <f t="shared" si="19"/>
        <v>248000</v>
      </c>
    </row>
    <row r="87" spans="23:36" x14ac:dyDescent="0.2">
      <c r="W87" s="27" t="str">
        <f>TRUNC((X87+6)*10/80)&amp;"-"&amp;((X87+6)/8-TRUNC((X87+6)/8))*80</f>
        <v>26-60</v>
      </c>
      <c r="X87" s="12">
        <v>208</v>
      </c>
      <c r="Y87" s="12"/>
      <c r="Z87" s="12">
        <f t="shared" si="20"/>
        <v>9.9</v>
      </c>
      <c r="AA87" s="12"/>
      <c r="AB87" s="12">
        <f t="shared" si="20"/>
        <v>9900</v>
      </c>
      <c r="AC87" s="12"/>
      <c r="AD87" s="12">
        <f t="shared" si="20"/>
        <v>42000</v>
      </c>
      <c r="AE87" s="12"/>
      <c r="AF87" s="12">
        <f t="shared" si="20"/>
        <v>31500</v>
      </c>
      <c r="AG87" s="12"/>
      <c r="AH87" s="12">
        <f t="shared" si="18"/>
        <v>180000</v>
      </c>
      <c r="AI87" s="12">
        <v>28000</v>
      </c>
      <c r="AJ87" s="12">
        <f t="shared" si="19"/>
        <v>276000</v>
      </c>
    </row>
    <row r="88" spans="23:36" x14ac:dyDescent="0.2">
      <c r="W88" s="27" t="str">
        <f>TRUNC((X88+6)*10/80)&amp;"-"&amp;((X88+6)/8-TRUNC((X88+6)/8))*80</f>
        <v>27-10</v>
      </c>
      <c r="X88" s="12">
        <v>211</v>
      </c>
      <c r="Y88" s="58">
        <v>0.8</v>
      </c>
      <c r="Z88" s="12">
        <f t="shared" si="20"/>
        <v>10.700000000000001</v>
      </c>
      <c r="AA88" s="12"/>
      <c r="AB88" s="12">
        <f t="shared" si="20"/>
        <v>9900</v>
      </c>
      <c r="AC88" s="12"/>
      <c r="AD88" s="12">
        <f t="shared" si="20"/>
        <v>42000</v>
      </c>
      <c r="AE88" s="12"/>
      <c r="AF88" s="12">
        <f t="shared" si="20"/>
        <v>31500</v>
      </c>
      <c r="AG88" s="12"/>
      <c r="AH88" s="12">
        <f t="shared" si="18"/>
        <v>180000</v>
      </c>
      <c r="AI88" s="12"/>
      <c r="AJ88" s="12">
        <f t="shared" si="19"/>
        <v>276000</v>
      </c>
    </row>
    <row r="89" spans="23:36" x14ac:dyDescent="0.2">
      <c r="W89" s="27" t="str">
        <f>TRUNC((X89+6)*10/80)&amp;"-"&amp;((X89+6)/8-TRUNC((X89+6)/8))*80</f>
        <v>27-40</v>
      </c>
      <c r="X89" s="12">
        <v>214</v>
      </c>
      <c r="Y89" s="12"/>
      <c r="Z89" s="12">
        <f t="shared" si="20"/>
        <v>10.700000000000001</v>
      </c>
      <c r="AA89" s="12">
        <v>1000</v>
      </c>
      <c r="AB89" s="12">
        <f t="shared" si="20"/>
        <v>10900</v>
      </c>
      <c r="AC89" s="12"/>
      <c r="AD89" s="12">
        <f t="shared" si="20"/>
        <v>42000</v>
      </c>
      <c r="AE89" s="12"/>
      <c r="AF89" s="12">
        <f t="shared" si="20"/>
        <v>31500</v>
      </c>
      <c r="AG89" s="12"/>
      <c r="AH89" s="12">
        <f t="shared" si="18"/>
        <v>180000</v>
      </c>
      <c r="AI89" s="12"/>
      <c r="AJ89" s="12">
        <f t="shared" si="19"/>
        <v>276000</v>
      </c>
    </row>
    <row r="90" spans="23:36" x14ac:dyDescent="0.2">
      <c r="W90" s="27" t="str">
        <f>TRUNC((X90+6)*10/80)&amp;"-"&amp;((X90+6)/8-TRUNC((X90+6)/8))*80</f>
        <v>27-70</v>
      </c>
      <c r="X90" s="12">
        <v>217</v>
      </c>
      <c r="Y90" s="12"/>
      <c r="Z90" s="12">
        <f t="shared" si="20"/>
        <v>10.700000000000001</v>
      </c>
      <c r="AA90" s="12"/>
      <c r="AB90" s="12">
        <f t="shared" si="20"/>
        <v>10900</v>
      </c>
      <c r="AC90" s="12">
        <v>4200</v>
      </c>
      <c r="AD90" s="12">
        <f t="shared" si="20"/>
        <v>46200</v>
      </c>
      <c r="AE90" s="12"/>
      <c r="AF90" s="12">
        <f t="shared" si="20"/>
        <v>31500</v>
      </c>
      <c r="AG90" s="12"/>
      <c r="AH90" s="12">
        <f t="shared" si="18"/>
        <v>180000</v>
      </c>
      <c r="AI90" s="12"/>
      <c r="AJ90" s="12">
        <f t="shared" si="19"/>
        <v>276000</v>
      </c>
    </row>
    <row r="91" spans="23:36" x14ac:dyDescent="0.2">
      <c r="W91" s="27" t="str">
        <f>TRUNC((X91+6)*10/80)&amp;"-"&amp;((X91+6)/8-TRUNC((X91+6)/8))*80</f>
        <v>28-20</v>
      </c>
      <c r="X91" s="12">
        <v>220</v>
      </c>
      <c r="Y91" s="12"/>
      <c r="Z91" s="12">
        <f t="shared" si="20"/>
        <v>10.700000000000001</v>
      </c>
      <c r="AA91" s="12"/>
      <c r="AB91" s="12">
        <f t="shared" si="20"/>
        <v>10900</v>
      </c>
      <c r="AC91" s="12"/>
      <c r="AD91" s="12">
        <f t="shared" si="20"/>
        <v>46200</v>
      </c>
      <c r="AE91" s="12">
        <v>3200</v>
      </c>
      <c r="AF91" s="12">
        <f t="shared" si="20"/>
        <v>34700</v>
      </c>
      <c r="AG91" s="12"/>
      <c r="AH91" s="12">
        <f t="shared" si="18"/>
        <v>180000</v>
      </c>
      <c r="AI91" s="12"/>
      <c r="AJ91" s="12">
        <f t="shared" si="19"/>
        <v>276000</v>
      </c>
    </row>
    <row r="92" spans="23:36" x14ac:dyDescent="0.2">
      <c r="W92" s="27" t="str">
        <f>TRUNC((X92+6)*10/80)&amp;"-"&amp;((X92+6)/8-TRUNC((X92+6)/8))*80</f>
        <v>28-50</v>
      </c>
      <c r="X92" s="12">
        <v>223</v>
      </c>
      <c r="Y92" s="12"/>
      <c r="Z92" s="12">
        <f t="shared" si="20"/>
        <v>10.700000000000001</v>
      </c>
      <c r="AA92" s="12"/>
      <c r="AB92" s="12">
        <f t="shared" si="20"/>
        <v>10900</v>
      </c>
      <c r="AC92" s="12"/>
      <c r="AD92" s="12">
        <f t="shared" si="20"/>
        <v>46200</v>
      </c>
      <c r="AE92" s="12"/>
      <c r="AF92" s="12">
        <f t="shared" si="20"/>
        <v>34700</v>
      </c>
      <c r="AG92" s="12">
        <v>18000</v>
      </c>
      <c r="AH92" s="12">
        <f t="shared" si="18"/>
        <v>198000</v>
      </c>
      <c r="AI92" s="12"/>
      <c r="AJ92" s="12">
        <f t="shared" si="19"/>
        <v>276000</v>
      </c>
    </row>
    <row r="93" spans="23:36" x14ac:dyDescent="0.2">
      <c r="W93" s="27" t="str">
        <f>TRUNC((X93+6)*10/80)&amp;"-"&amp;((X93+6)/8-TRUNC((X93+6)/8))*80</f>
        <v>29-0</v>
      </c>
      <c r="X93" s="12">
        <v>226</v>
      </c>
      <c r="Y93" s="12"/>
      <c r="Z93" s="12">
        <f t="shared" si="20"/>
        <v>10.700000000000001</v>
      </c>
      <c r="AA93" s="12"/>
      <c r="AB93" s="12">
        <f t="shared" si="20"/>
        <v>10900</v>
      </c>
      <c r="AC93" s="12"/>
      <c r="AD93" s="12">
        <f t="shared" si="20"/>
        <v>46200</v>
      </c>
      <c r="AE93" s="12"/>
      <c r="AF93" s="12">
        <f t="shared" si="20"/>
        <v>34700</v>
      </c>
      <c r="AG93" s="12"/>
      <c r="AH93" s="12">
        <f t="shared" si="18"/>
        <v>198000</v>
      </c>
      <c r="AI93" s="12">
        <v>28000</v>
      </c>
      <c r="AJ93" s="12">
        <f t="shared" si="19"/>
        <v>304000</v>
      </c>
    </row>
    <row r="94" spans="23:36" x14ac:dyDescent="0.2">
      <c r="W94" s="27" t="str">
        <f>TRUNC((X94+6)*10/80)&amp;"-"&amp;((X94+6)/8-TRUNC((X94+6)/8))*80</f>
        <v>29-30</v>
      </c>
      <c r="X94" s="12">
        <v>229</v>
      </c>
      <c r="Y94" s="58">
        <v>0.8</v>
      </c>
      <c r="Z94" s="12">
        <f t="shared" si="20"/>
        <v>11.500000000000002</v>
      </c>
      <c r="AA94" s="12"/>
      <c r="AB94" s="12">
        <f t="shared" si="20"/>
        <v>10900</v>
      </c>
      <c r="AC94" s="12"/>
      <c r="AD94" s="12">
        <f t="shared" si="20"/>
        <v>46200</v>
      </c>
      <c r="AE94" s="12"/>
      <c r="AF94" s="12">
        <f t="shared" si="20"/>
        <v>34700</v>
      </c>
      <c r="AG94" s="12"/>
      <c r="AH94" s="12">
        <f t="shared" si="18"/>
        <v>198000</v>
      </c>
      <c r="AI94" s="12"/>
      <c r="AJ94" s="12">
        <f t="shared" si="19"/>
        <v>304000</v>
      </c>
    </row>
    <row r="95" spans="23:36" x14ac:dyDescent="0.2">
      <c r="W95" s="27" t="str">
        <f>TRUNC((X95+6)*10/80)&amp;"-"&amp;((X95+6)/8-TRUNC((X95+6)/8))*80</f>
        <v>29-60</v>
      </c>
      <c r="X95" s="12">
        <v>232</v>
      </c>
      <c r="Y95" s="12"/>
      <c r="Z95" s="12">
        <f t="shared" si="20"/>
        <v>11.500000000000002</v>
      </c>
      <c r="AA95" s="12">
        <v>1000</v>
      </c>
      <c r="AB95" s="12">
        <f t="shared" si="20"/>
        <v>11900</v>
      </c>
      <c r="AC95" s="12"/>
      <c r="AD95" s="12">
        <f t="shared" si="20"/>
        <v>46200</v>
      </c>
      <c r="AE95" s="12"/>
      <c r="AF95" s="12">
        <f t="shared" si="20"/>
        <v>34700</v>
      </c>
      <c r="AG95" s="12"/>
      <c r="AH95" s="12">
        <f t="shared" si="18"/>
        <v>198000</v>
      </c>
      <c r="AI95" s="12"/>
      <c r="AJ95" s="12">
        <f t="shared" si="19"/>
        <v>304000</v>
      </c>
    </row>
    <row r="96" spans="23:36" x14ac:dyDescent="0.2">
      <c r="W96" s="27" t="str">
        <f>TRUNC((X96+6)*10/80)&amp;"-"&amp;((X96+6)/8-TRUNC((X96+6)/8))*80</f>
        <v>30-10</v>
      </c>
      <c r="X96" s="12">
        <v>235</v>
      </c>
      <c r="Y96" s="12"/>
      <c r="Z96" s="12">
        <f t="shared" si="20"/>
        <v>11.500000000000002</v>
      </c>
      <c r="AA96" s="12"/>
      <c r="AB96" s="12">
        <f t="shared" si="20"/>
        <v>11900</v>
      </c>
      <c r="AC96" s="12">
        <v>4200</v>
      </c>
      <c r="AD96" s="12">
        <f t="shared" si="20"/>
        <v>50400</v>
      </c>
      <c r="AE96" s="12"/>
      <c r="AF96" s="12">
        <f t="shared" si="20"/>
        <v>34700</v>
      </c>
      <c r="AG96" s="12"/>
      <c r="AH96" s="12">
        <f t="shared" si="18"/>
        <v>198000</v>
      </c>
      <c r="AI96" s="12"/>
      <c r="AJ96" s="12">
        <f t="shared" si="19"/>
        <v>304000</v>
      </c>
    </row>
    <row r="97" spans="23:36" x14ac:dyDescent="0.2">
      <c r="W97" s="27" t="str">
        <f>TRUNC((X97+6)*10/80)&amp;"-"&amp;((X97+6)/8-TRUNC((X97+6)/8))*80</f>
        <v>30-40</v>
      </c>
      <c r="X97" s="12">
        <v>238</v>
      </c>
      <c r="Y97" s="12"/>
      <c r="Z97" s="12">
        <f t="shared" si="20"/>
        <v>11.500000000000002</v>
      </c>
      <c r="AA97" s="12"/>
      <c r="AB97" s="12">
        <f t="shared" si="20"/>
        <v>11900</v>
      </c>
      <c r="AC97" s="12"/>
      <c r="AD97" s="12">
        <f t="shared" si="20"/>
        <v>50400</v>
      </c>
      <c r="AE97" s="12">
        <v>3200</v>
      </c>
      <c r="AF97" s="12">
        <f t="shared" si="20"/>
        <v>37900</v>
      </c>
      <c r="AG97" s="12"/>
      <c r="AH97" s="12">
        <f t="shared" si="18"/>
        <v>198000</v>
      </c>
      <c r="AI97" s="12"/>
      <c r="AJ97" s="12">
        <f t="shared" si="19"/>
        <v>304000</v>
      </c>
    </row>
    <row r="98" spans="23:36" x14ac:dyDescent="0.2">
      <c r="W98" s="27" t="str">
        <f>TRUNC((X98+6)*10/80)&amp;"-"&amp;((X98+6)/8-TRUNC((X98+6)/8))*80</f>
        <v>30-70</v>
      </c>
      <c r="X98" s="12">
        <v>241</v>
      </c>
      <c r="Y98" s="12"/>
      <c r="Z98" s="12">
        <f t="shared" si="20"/>
        <v>11.500000000000002</v>
      </c>
      <c r="AA98" s="12"/>
      <c r="AB98" s="12">
        <f t="shared" si="20"/>
        <v>11900</v>
      </c>
      <c r="AC98" s="12"/>
      <c r="AD98" s="12">
        <f t="shared" si="20"/>
        <v>50400</v>
      </c>
      <c r="AE98" s="12"/>
      <c r="AF98" s="12">
        <f t="shared" si="20"/>
        <v>37900</v>
      </c>
      <c r="AG98" s="12">
        <v>18000</v>
      </c>
      <c r="AH98" s="12">
        <f t="shared" si="18"/>
        <v>216000</v>
      </c>
      <c r="AI98" s="12"/>
      <c r="AJ98" s="12">
        <f t="shared" si="19"/>
        <v>304000</v>
      </c>
    </row>
    <row r="99" spans="23:36" x14ac:dyDescent="0.2">
      <c r="W99" s="27" t="str">
        <f>TRUNC((X99+6)*10/80)&amp;"-"&amp;((X99+6)/8-TRUNC((X99+6)/8))*80</f>
        <v>31-20</v>
      </c>
      <c r="X99" s="12">
        <v>244</v>
      </c>
      <c r="Y99" s="12"/>
      <c r="Z99" s="12">
        <f t="shared" si="20"/>
        <v>11.500000000000002</v>
      </c>
      <c r="AA99" s="12"/>
      <c r="AB99" s="12">
        <f t="shared" si="20"/>
        <v>11900</v>
      </c>
      <c r="AC99" s="12"/>
      <c r="AD99" s="12">
        <f t="shared" si="20"/>
        <v>50400</v>
      </c>
      <c r="AE99" s="12"/>
      <c r="AF99" s="12">
        <f t="shared" si="20"/>
        <v>37900</v>
      </c>
      <c r="AG99" s="12"/>
      <c r="AH99" s="12">
        <f t="shared" si="18"/>
        <v>216000</v>
      </c>
      <c r="AI99" s="12">
        <v>28000</v>
      </c>
      <c r="AJ99" s="12">
        <f t="shared" si="19"/>
        <v>332000</v>
      </c>
    </row>
    <row r="100" spans="23:36" x14ac:dyDescent="0.2">
      <c r="W100" s="27" t="str">
        <f>TRUNC((X100+6)*10/80)&amp;"-"&amp;((X100+6)/8-TRUNC((X100+6)/8))*80</f>
        <v>31-50</v>
      </c>
      <c r="X100" s="12">
        <v>247</v>
      </c>
      <c r="Y100" s="58">
        <v>0.8</v>
      </c>
      <c r="Z100" s="12">
        <f t="shared" si="20"/>
        <v>12.300000000000002</v>
      </c>
      <c r="AA100" s="12"/>
      <c r="AB100" s="12">
        <f t="shared" si="20"/>
        <v>11900</v>
      </c>
      <c r="AC100" s="12"/>
      <c r="AD100" s="12">
        <f t="shared" si="20"/>
        <v>50400</v>
      </c>
      <c r="AE100" s="12"/>
      <c r="AF100" s="12">
        <f t="shared" si="20"/>
        <v>37900</v>
      </c>
      <c r="AG100" s="12"/>
      <c r="AH100" s="12">
        <f t="shared" si="18"/>
        <v>216000</v>
      </c>
      <c r="AI100" s="12"/>
      <c r="AJ100" s="12">
        <f t="shared" si="19"/>
        <v>332000</v>
      </c>
    </row>
    <row r="101" spans="23:36" x14ac:dyDescent="0.2">
      <c r="W101" s="27" t="str">
        <f>TRUNC((X101+6)*10/80)&amp;"-"&amp;((X101+6)/8-TRUNC((X101+6)/8))*80</f>
        <v>32-0</v>
      </c>
      <c r="X101" s="12">
        <v>250</v>
      </c>
      <c r="Y101" s="12"/>
      <c r="Z101" s="12">
        <f t="shared" si="20"/>
        <v>12.300000000000002</v>
      </c>
      <c r="AA101" s="12">
        <v>1000</v>
      </c>
      <c r="AB101" s="12">
        <f t="shared" si="20"/>
        <v>12900</v>
      </c>
      <c r="AC101" s="12"/>
      <c r="AD101" s="12">
        <f t="shared" si="20"/>
        <v>50400</v>
      </c>
      <c r="AE101" s="12"/>
      <c r="AF101" s="12">
        <f t="shared" si="20"/>
        <v>37900</v>
      </c>
      <c r="AG101" s="12"/>
      <c r="AH101" s="12">
        <f t="shared" si="18"/>
        <v>216000</v>
      </c>
      <c r="AI101" s="12"/>
      <c r="AJ101" s="12">
        <f t="shared" si="19"/>
        <v>332000</v>
      </c>
    </row>
    <row r="102" spans="23:36" x14ac:dyDescent="0.2">
      <c r="W102" s="27" t="str">
        <f>TRUNC((X102+6)*10/80)&amp;"-"&amp;((X102+6)/8-TRUNC((X102+6)/8))*80</f>
        <v>32-30</v>
      </c>
      <c r="X102" s="12">
        <v>253</v>
      </c>
      <c r="Y102" s="12"/>
      <c r="Z102" s="12">
        <f t="shared" ref="Z102:AF105" si="21">Y102+Z101</f>
        <v>12.300000000000002</v>
      </c>
      <c r="AA102" s="12"/>
      <c r="AB102" s="12">
        <f t="shared" si="21"/>
        <v>12900</v>
      </c>
      <c r="AC102" s="12">
        <v>4200</v>
      </c>
      <c r="AD102" s="12">
        <f t="shared" si="21"/>
        <v>54600</v>
      </c>
      <c r="AE102" s="12"/>
      <c r="AF102" s="12">
        <f t="shared" si="21"/>
        <v>37900</v>
      </c>
      <c r="AG102" s="12"/>
      <c r="AH102" s="12">
        <f t="shared" si="18"/>
        <v>216000</v>
      </c>
      <c r="AI102" s="12"/>
      <c r="AJ102" s="12">
        <f t="shared" si="19"/>
        <v>332000</v>
      </c>
    </row>
    <row r="103" spans="23:36" x14ac:dyDescent="0.2">
      <c r="W103" s="27" t="str">
        <f>TRUNC((X103+6)*10/80)&amp;"-"&amp;((X103+6)/8-TRUNC((X103+6)/8))*80</f>
        <v>32-60</v>
      </c>
      <c r="X103" s="12">
        <v>256</v>
      </c>
      <c r="Y103" s="12"/>
      <c r="Z103" s="12">
        <f t="shared" si="21"/>
        <v>12.300000000000002</v>
      </c>
      <c r="AA103" s="12"/>
      <c r="AB103" s="12">
        <f t="shared" si="21"/>
        <v>12900</v>
      </c>
      <c r="AC103" s="12"/>
      <c r="AD103" s="12">
        <f t="shared" si="21"/>
        <v>54600</v>
      </c>
      <c r="AE103" s="12">
        <v>3200</v>
      </c>
      <c r="AF103" s="12">
        <f t="shared" si="21"/>
        <v>41100</v>
      </c>
      <c r="AG103" s="12"/>
      <c r="AH103" s="12">
        <f t="shared" si="18"/>
        <v>216000</v>
      </c>
      <c r="AI103" s="12"/>
      <c r="AJ103" s="12">
        <f t="shared" si="19"/>
        <v>332000</v>
      </c>
    </row>
    <row r="104" spans="23:36" x14ac:dyDescent="0.2">
      <c r="W104" s="27" t="str">
        <f>TRUNC((X104+6)*10/80)&amp;"-"&amp;((X104+6)/8-TRUNC((X104+6)/8))*80</f>
        <v>33-10</v>
      </c>
      <c r="X104" s="12">
        <v>259</v>
      </c>
      <c r="Y104" s="12"/>
      <c r="Z104" s="12">
        <f t="shared" si="21"/>
        <v>12.300000000000002</v>
      </c>
      <c r="AA104" s="12"/>
      <c r="AB104" s="12">
        <f t="shared" si="21"/>
        <v>12900</v>
      </c>
      <c r="AC104" s="12"/>
      <c r="AD104" s="12">
        <f t="shared" si="21"/>
        <v>54600</v>
      </c>
      <c r="AE104" s="12"/>
      <c r="AF104" s="12">
        <f t="shared" si="21"/>
        <v>41100</v>
      </c>
      <c r="AG104" s="12">
        <v>18000</v>
      </c>
      <c r="AH104" s="12">
        <f t="shared" si="18"/>
        <v>234000</v>
      </c>
      <c r="AI104" s="12"/>
      <c r="AJ104" s="12">
        <f t="shared" si="19"/>
        <v>332000</v>
      </c>
    </row>
    <row r="105" spans="23:36" x14ac:dyDescent="0.2">
      <c r="W105" s="27" t="str">
        <f>TRUNC((X105+6)*10/80)&amp;"-"&amp;((X105+6)/8-TRUNC((X105+6)/8))*80</f>
        <v>33-40</v>
      </c>
      <c r="X105" s="12">
        <v>262</v>
      </c>
      <c r="Y105" s="12"/>
      <c r="Z105" s="12">
        <f t="shared" si="21"/>
        <v>12.300000000000002</v>
      </c>
      <c r="AA105" s="12"/>
      <c r="AB105" s="12">
        <f t="shared" si="21"/>
        <v>12900</v>
      </c>
      <c r="AC105" s="12"/>
      <c r="AD105" s="12">
        <f t="shared" si="21"/>
        <v>54600</v>
      </c>
      <c r="AE105" s="12"/>
      <c r="AF105" s="12">
        <f t="shared" si="21"/>
        <v>41100</v>
      </c>
      <c r="AG105" s="12"/>
      <c r="AH105" s="12">
        <f t="shared" si="18"/>
        <v>234000</v>
      </c>
      <c r="AI105" s="12">
        <v>28000</v>
      </c>
      <c r="AJ105" s="12">
        <f t="shared" si="19"/>
        <v>360000</v>
      </c>
    </row>
    <row r="106" spans="23:36" x14ac:dyDescent="0.2">
      <c r="W106" s="27" t="str">
        <f>TRUNC((X106+6)*10/80)&amp;"-"&amp;((X106+6)/8-TRUNC((X106+6)/8))*80</f>
        <v>33-70</v>
      </c>
      <c r="X106" s="12">
        <v>265</v>
      </c>
      <c r="Y106" s="58">
        <v>1.2</v>
      </c>
      <c r="Z106" s="12">
        <f t="shared" ref="Z70:AF133" si="22">Y106+Z105</f>
        <v>13.500000000000002</v>
      </c>
      <c r="AA106" s="12"/>
      <c r="AB106" s="12">
        <f t="shared" si="22"/>
        <v>12900</v>
      </c>
      <c r="AC106" s="12"/>
      <c r="AD106" s="12">
        <f t="shared" si="22"/>
        <v>54600</v>
      </c>
      <c r="AE106" s="12"/>
      <c r="AF106" s="12">
        <f t="shared" si="22"/>
        <v>41100</v>
      </c>
      <c r="AG106" s="12"/>
      <c r="AH106" s="12">
        <f t="shared" si="19"/>
        <v>234000</v>
      </c>
      <c r="AI106" s="12"/>
      <c r="AJ106" s="12">
        <f t="shared" si="19"/>
        <v>360000</v>
      </c>
    </row>
    <row r="107" spans="23:36" x14ac:dyDescent="0.2">
      <c r="W107" s="27" t="str">
        <f>TRUNC((X107+6)*10/80)&amp;"-"&amp;((X107+6)/8-TRUNC((X107+6)/8))*80</f>
        <v>34-20</v>
      </c>
      <c r="X107" s="12">
        <v>268</v>
      </c>
      <c r="Y107" s="12"/>
      <c r="Z107" s="12">
        <f t="shared" si="22"/>
        <v>13.500000000000002</v>
      </c>
      <c r="AA107" s="12">
        <v>1500</v>
      </c>
      <c r="AB107" s="12">
        <f t="shared" si="22"/>
        <v>14400</v>
      </c>
      <c r="AC107" s="12"/>
      <c r="AD107" s="12">
        <f t="shared" si="22"/>
        <v>54600</v>
      </c>
      <c r="AE107" s="12"/>
      <c r="AF107" s="12">
        <f t="shared" si="22"/>
        <v>41100</v>
      </c>
      <c r="AG107" s="12"/>
      <c r="AH107" s="12">
        <f t="shared" si="19"/>
        <v>234000</v>
      </c>
      <c r="AI107" s="12"/>
      <c r="AJ107" s="12">
        <f t="shared" si="19"/>
        <v>360000</v>
      </c>
    </row>
    <row r="108" spans="23:36" x14ac:dyDescent="0.2">
      <c r="W108" s="27" t="str">
        <f>TRUNC((X108+6)*10/80)&amp;"-"&amp;((X108+6)/8-TRUNC((X108+6)/8))*80</f>
        <v>34-50</v>
      </c>
      <c r="X108" s="12">
        <v>271</v>
      </c>
      <c r="Y108" s="12"/>
      <c r="Z108" s="12">
        <f t="shared" si="22"/>
        <v>13.500000000000002</v>
      </c>
      <c r="AA108" s="12"/>
      <c r="AB108" s="12">
        <f t="shared" si="22"/>
        <v>14400</v>
      </c>
      <c r="AC108" s="12">
        <v>6300</v>
      </c>
      <c r="AD108" s="12">
        <f t="shared" si="22"/>
        <v>60900</v>
      </c>
      <c r="AE108" s="12"/>
      <c r="AF108" s="12">
        <f t="shared" si="22"/>
        <v>41100</v>
      </c>
      <c r="AG108" s="12"/>
      <c r="AH108" s="12">
        <f t="shared" si="19"/>
        <v>234000</v>
      </c>
      <c r="AI108" s="12"/>
      <c r="AJ108" s="12">
        <f t="shared" si="19"/>
        <v>360000</v>
      </c>
    </row>
    <row r="109" spans="23:36" x14ac:dyDescent="0.2">
      <c r="W109" s="27" t="str">
        <f>TRUNC((X109+6)*10/80)&amp;"-"&amp;((X109+6)/8-TRUNC((X109+6)/8))*80</f>
        <v>35-0</v>
      </c>
      <c r="X109" s="12">
        <v>274</v>
      </c>
      <c r="Y109" s="12"/>
      <c r="Z109" s="12">
        <f t="shared" si="22"/>
        <v>13.500000000000002</v>
      </c>
      <c r="AA109" s="12"/>
      <c r="AB109" s="12">
        <f t="shared" si="22"/>
        <v>14400</v>
      </c>
      <c r="AC109" s="12"/>
      <c r="AD109" s="12">
        <f t="shared" si="22"/>
        <v>60900</v>
      </c>
      <c r="AE109" s="12">
        <v>4800</v>
      </c>
      <c r="AF109" s="12">
        <f t="shared" si="22"/>
        <v>45900</v>
      </c>
      <c r="AG109" s="12"/>
      <c r="AH109" s="12">
        <f t="shared" si="19"/>
        <v>234000</v>
      </c>
      <c r="AI109" s="12"/>
      <c r="AJ109" s="12">
        <f t="shared" si="19"/>
        <v>360000</v>
      </c>
    </row>
    <row r="110" spans="23:36" x14ac:dyDescent="0.2">
      <c r="W110" s="27" t="str">
        <f>TRUNC((X110+6)*10/80)&amp;"-"&amp;((X110+6)/8-TRUNC((X110+6)/8))*80</f>
        <v>35-30</v>
      </c>
      <c r="X110" s="12">
        <v>277</v>
      </c>
      <c r="Y110" s="12"/>
      <c r="Z110" s="12">
        <f t="shared" si="22"/>
        <v>13.500000000000002</v>
      </c>
      <c r="AA110" s="12"/>
      <c r="AB110" s="12">
        <f t="shared" si="22"/>
        <v>14400</v>
      </c>
      <c r="AC110" s="12"/>
      <c r="AD110" s="12">
        <f t="shared" si="22"/>
        <v>60900</v>
      </c>
      <c r="AE110" s="12"/>
      <c r="AF110" s="12">
        <f t="shared" si="22"/>
        <v>45900</v>
      </c>
      <c r="AG110" s="12">
        <v>27000</v>
      </c>
      <c r="AH110" s="12">
        <f t="shared" si="19"/>
        <v>261000</v>
      </c>
      <c r="AI110" s="12"/>
      <c r="AJ110" s="12">
        <f t="shared" si="19"/>
        <v>360000</v>
      </c>
    </row>
    <row r="111" spans="23:36" x14ac:dyDescent="0.2">
      <c r="W111" s="27" t="str">
        <f>TRUNC((X111+6)*10/80)&amp;"-"&amp;((X111+6)/8-TRUNC((X111+6)/8))*80</f>
        <v>35-60</v>
      </c>
      <c r="X111" s="12">
        <v>280</v>
      </c>
      <c r="Y111" s="12"/>
      <c r="Z111" s="12">
        <f t="shared" si="22"/>
        <v>13.500000000000002</v>
      </c>
      <c r="AA111" s="12"/>
      <c r="AB111" s="12">
        <f t="shared" si="22"/>
        <v>14400</v>
      </c>
      <c r="AC111" s="12"/>
      <c r="AD111" s="12">
        <f t="shared" si="22"/>
        <v>60900</v>
      </c>
      <c r="AE111" s="12"/>
      <c r="AF111" s="12">
        <f t="shared" si="22"/>
        <v>45900</v>
      </c>
      <c r="AG111" s="12"/>
      <c r="AH111" s="12">
        <f t="shared" si="19"/>
        <v>261000</v>
      </c>
      <c r="AI111" s="12">
        <v>42000</v>
      </c>
      <c r="AJ111" s="12">
        <f t="shared" si="19"/>
        <v>402000</v>
      </c>
    </row>
    <row r="112" spans="23:36" x14ac:dyDescent="0.2">
      <c r="W112" s="27" t="str">
        <f>TRUNC((X112+6)*10/80)&amp;"-"&amp;((X112+6)/8-TRUNC((X112+6)/8))*80</f>
        <v>36-10</v>
      </c>
      <c r="X112" s="12">
        <v>283</v>
      </c>
      <c r="Y112" s="58">
        <v>1.2</v>
      </c>
      <c r="Z112" s="12">
        <f t="shared" ref="Z112:AF118" si="23">Y112+Z111</f>
        <v>14.700000000000001</v>
      </c>
      <c r="AA112" s="12"/>
      <c r="AB112" s="12">
        <f t="shared" si="23"/>
        <v>14400</v>
      </c>
      <c r="AC112" s="12"/>
      <c r="AD112" s="12">
        <f t="shared" si="23"/>
        <v>60900</v>
      </c>
      <c r="AE112" s="12"/>
      <c r="AF112" s="12">
        <f t="shared" si="23"/>
        <v>45900</v>
      </c>
      <c r="AG112" s="12"/>
      <c r="AH112" s="12">
        <f t="shared" ref="AH112:AH118" si="24">AG112+AH111</f>
        <v>261000</v>
      </c>
      <c r="AI112" s="12"/>
      <c r="AJ112" s="12">
        <f t="shared" ref="AJ112:AJ118" si="25">AI112+AJ111</f>
        <v>402000</v>
      </c>
    </row>
    <row r="113" spans="23:36" x14ac:dyDescent="0.2">
      <c r="W113" s="27" t="str">
        <f>TRUNC((X113+6)*10/80)&amp;"-"&amp;((X113+6)/8-TRUNC((X113+6)/8))*80</f>
        <v>36-40</v>
      </c>
      <c r="X113" s="12">
        <v>286</v>
      </c>
      <c r="Y113" s="12"/>
      <c r="Z113" s="12">
        <f t="shared" si="23"/>
        <v>14.700000000000001</v>
      </c>
      <c r="AA113" s="12">
        <v>1500</v>
      </c>
      <c r="AB113" s="12">
        <f t="shared" si="23"/>
        <v>15900</v>
      </c>
      <c r="AC113" s="12"/>
      <c r="AD113" s="12">
        <f t="shared" si="23"/>
        <v>60900</v>
      </c>
      <c r="AE113" s="12"/>
      <c r="AF113" s="12">
        <f t="shared" si="23"/>
        <v>45900</v>
      </c>
      <c r="AG113" s="12"/>
      <c r="AH113" s="12">
        <f t="shared" si="24"/>
        <v>261000</v>
      </c>
      <c r="AI113" s="12"/>
      <c r="AJ113" s="12">
        <f t="shared" si="25"/>
        <v>402000</v>
      </c>
    </row>
    <row r="114" spans="23:36" x14ac:dyDescent="0.2">
      <c r="W114" s="27" t="str">
        <f>TRUNC((X114+6)*10/80)&amp;"-"&amp;((X114+6)/8-TRUNC((X114+6)/8))*80</f>
        <v>36-70</v>
      </c>
      <c r="X114" s="12">
        <v>289</v>
      </c>
      <c r="Y114" s="12"/>
      <c r="Z114" s="12">
        <f t="shared" si="23"/>
        <v>14.700000000000001</v>
      </c>
      <c r="AA114" s="12"/>
      <c r="AB114" s="12">
        <f t="shared" si="23"/>
        <v>15900</v>
      </c>
      <c r="AC114" s="12">
        <v>6300</v>
      </c>
      <c r="AD114" s="12">
        <f t="shared" si="23"/>
        <v>67200</v>
      </c>
      <c r="AE114" s="12"/>
      <c r="AF114" s="12">
        <f t="shared" si="23"/>
        <v>45900</v>
      </c>
      <c r="AG114" s="12"/>
      <c r="AH114" s="12">
        <f t="shared" si="24"/>
        <v>261000</v>
      </c>
      <c r="AI114" s="12"/>
      <c r="AJ114" s="12">
        <f t="shared" si="25"/>
        <v>402000</v>
      </c>
    </row>
    <row r="115" spans="23:36" x14ac:dyDescent="0.2">
      <c r="W115" s="27" t="str">
        <f>TRUNC((X115+6)*10/80)&amp;"-"&amp;((X115+6)/8-TRUNC((X115+6)/8))*80</f>
        <v>37-20</v>
      </c>
      <c r="X115" s="12">
        <v>292</v>
      </c>
      <c r="Y115" s="12"/>
      <c r="Z115" s="12">
        <f t="shared" si="23"/>
        <v>14.700000000000001</v>
      </c>
      <c r="AA115" s="12"/>
      <c r="AB115" s="12">
        <f t="shared" si="23"/>
        <v>15900</v>
      </c>
      <c r="AC115" s="12"/>
      <c r="AD115" s="12">
        <f t="shared" si="23"/>
        <v>67200</v>
      </c>
      <c r="AE115" s="12">
        <v>4800</v>
      </c>
      <c r="AF115" s="12">
        <f t="shared" si="23"/>
        <v>50700</v>
      </c>
      <c r="AG115" s="12"/>
      <c r="AH115" s="12">
        <f t="shared" si="24"/>
        <v>261000</v>
      </c>
      <c r="AI115" s="12"/>
      <c r="AJ115" s="12">
        <f t="shared" si="25"/>
        <v>402000</v>
      </c>
    </row>
    <row r="116" spans="23:36" x14ac:dyDescent="0.2">
      <c r="W116" s="27" t="str">
        <f>TRUNC((X116+6)*10/80)&amp;"-"&amp;((X116+6)/8-TRUNC((X116+6)/8))*80</f>
        <v>37-50</v>
      </c>
      <c r="X116" s="12">
        <v>295</v>
      </c>
      <c r="Y116" s="12"/>
      <c r="Z116" s="12">
        <f t="shared" si="23"/>
        <v>14.700000000000001</v>
      </c>
      <c r="AA116" s="12"/>
      <c r="AB116" s="12">
        <f t="shared" si="23"/>
        <v>15900</v>
      </c>
      <c r="AC116" s="12"/>
      <c r="AD116" s="12">
        <f t="shared" si="23"/>
        <v>67200</v>
      </c>
      <c r="AE116" s="12"/>
      <c r="AF116" s="12">
        <f t="shared" si="23"/>
        <v>50700</v>
      </c>
      <c r="AG116" s="12">
        <v>27000</v>
      </c>
      <c r="AH116" s="12">
        <f t="shared" si="24"/>
        <v>288000</v>
      </c>
      <c r="AI116" s="12"/>
      <c r="AJ116" s="12">
        <f t="shared" si="25"/>
        <v>402000</v>
      </c>
    </row>
    <row r="117" spans="23:36" x14ac:dyDescent="0.2">
      <c r="W117" s="27" t="str">
        <f>TRUNC((X117+6)*10/80)&amp;"-"&amp;((X117+6)/8-TRUNC((X117+6)/8))*80</f>
        <v>38-0</v>
      </c>
      <c r="X117" s="12">
        <v>298</v>
      </c>
      <c r="Y117" s="12"/>
      <c r="Z117" s="12">
        <f t="shared" si="23"/>
        <v>14.700000000000001</v>
      </c>
      <c r="AA117" s="12"/>
      <c r="AB117" s="12">
        <f t="shared" si="23"/>
        <v>15900</v>
      </c>
      <c r="AC117" s="12"/>
      <c r="AD117" s="12">
        <f t="shared" si="23"/>
        <v>67200</v>
      </c>
      <c r="AE117" s="12"/>
      <c r="AF117" s="12">
        <f t="shared" si="23"/>
        <v>50700</v>
      </c>
      <c r="AG117" s="12"/>
      <c r="AH117" s="12">
        <f t="shared" si="24"/>
        <v>288000</v>
      </c>
      <c r="AI117" s="12">
        <v>42000</v>
      </c>
      <c r="AJ117" s="12">
        <f t="shared" si="25"/>
        <v>444000</v>
      </c>
    </row>
    <row r="118" spans="23:36" x14ac:dyDescent="0.2">
      <c r="W118" s="27" t="str">
        <f>TRUNC((X118+6)*10/80)&amp;"-"&amp;((X118+6)/8-TRUNC((X118+6)/8))*80</f>
        <v>38-30</v>
      </c>
      <c r="X118" s="12">
        <v>301</v>
      </c>
      <c r="Y118" s="58">
        <v>1.2</v>
      </c>
      <c r="Z118" s="12">
        <f t="shared" ref="Z118:Z129" si="26">Y118+Z117</f>
        <v>15.9</v>
      </c>
      <c r="AA118" s="12"/>
      <c r="AB118" s="12">
        <f t="shared" ref="AB118:AB129" si="27">AA118+AB117</f>
        <v>15900</v>
      </c>
      <c r="AC118" s="12"/>
      <c r="AD118" s="12">
        <f t="shared" ref="AD118:AD129" si="28">AC118+AD117</f>
        <v>67200</v>
      </c>
      <c r="AE118" s="12"/>
      <c r="AF118" s="12">
        <f t="shared" ref="AF118:AF129" si="29">AE118+AF117</f>
        <v>50700</v>
      </c>
      <c r="AG118" s="12"/>
      <c r="AH118" s="12">
        <f t="shared" ref="AH118:AH129" si="30">AG118+AH117</f>
        <v>288000</v>
      </c>
      <c r="AI118" s="12"/>
      <c r="AJ118" s="12">
        <f t="shared" ref="AJ118:AJ129" si="31">AI118+AJ117</f>
        <v>444000</v>
      </c>
    </row>
    <row r="119" spans="23:36" x14ac:dyDescent="0.2">
      <c r="W119" s="27" t="str">
        <f>TRUNC((X119+6)*10/80)&amp;"-"&amp;((X119+6)/8-TRUNC((X119+6)/8))*80</f>
        <v>38-60</v>
      </c>
      <c r="X119" s="12">
        <v>304</v>
      </c>
      <c r="Y119" s="12"/>
      <c r="Z119" s="12">
        <f t="shared" si="26"/>
        <v>15.9</v>
      </c>
      <c r="AA119" s="12">
        <v>1500</v>
      </c>
      <c r="AB119" s="12">
        <f t="shared" si="27"/>
        <v>17400</v>
      </c>
      <c r="AC119" s="12"/>
      <c r="AD119" s="12">
        <f t="shared" si="28"/>
        <v>67200</v>
      </c>
      <c r="AE119" s="12"/>
      <c r="AF119" s="12">
        <f t="shared" si="29"/>
        <v>50700</v>
      </c>
      <c r="AG119" s="12"/>
      <c r="AH119" s="12">
        <f t="shared" si="30"/>
        <v>288000</v>
      </c>
      <c r="AI119" s="12"/>
      <c r="AJ119" s="12">
        <f t="shared" si="31"/>
        <v>444000</v>
      </c>
    </row>
    <row r="120" spans="23:36" x14ac:dyDescent="0.2">
      <c r="W120" s="27" t="str">
        <f>TRUNC((X120+6)*10/80)&amp;"-"&amp;((X120+6)/8-TRUNC((X120+6)/8))*80</f>
        <v>39-10</v>
      </c>
      <c r="X120" s="12">
        <v>307</v>
      </c>
      <c r="Y120" s="12"/>
      <c r="Z120" s="12">
        <f t="shared" si="26"/>
        <v>15.9</v>
      </c>
      <c r="AA120" s="12"/>
      <c r="AB120" s="12">
        <f t="shared" si="27"/>
        <v>17400</v>
      </c>
      <c r="AC120" s="12">
        <v>6300</v>
      </c>
      <c r="AD120" s="12">
        <f t="shared" si="28"/>
        <v>73500</v>
      </c>
      <c r="AE120" s="12"/>
      <c r="AF120" s="12">
        <f t="shared" si="29"/>
        <v>50700</v>
      </c>
      <c r="AG120" s="12"/>
      <c r="AH120" s="12">
        <f t="shared" si="30"/>
        <v>288000</v>
      </c>
      <c r="AI120" s="12"/>
      <c r="AJ120" s="12">
        <f t="shared" si="31"/>
        <v>444000</v>
      </c>
    </row>
    <row r="121" spans="23:36" x14ac:dyDescent="0.2">
      <c r="W121" s="27" t="str">
        <f>TRUNC((X121+6)*10/80)&amp;"-"&amp;((X121+6)/8-TRUNC((X121+6)/8))*80</f>
        <v>39-40</v>
      </c>
      <c r="X121" s="12">
        <v>310</v>
      </c>
      <c r="Y121" s="12"/>
      <c r="Z121" s="12">
        <f t="shared" si="26"/>
        <v>15.9</v>
      </c>
      <c r="AA121" s="12"/>
      <c r="AB121" s="12">
        <f t="shared" si="27"/>
        <v>17400</v>
      </c>
      <c r="AC121" s="12"/>
      <c r="AD121" s="12">
        <f t="shared" si="28"/>
        <v>73500</v>
      </c>
      <c r="AE121" s="12">
        <v>4800</v>
      </c>
      <c r="AF121" s="12">
        <f t="shared" si="29"/>
        <v>55500</v>
      </c>
      <c r="AG121" s="12"/>
      <c r="AH121" s="12">
        <f t="shared" si="30"/>
        <v>288000</v>
      </c>
      <c r="AI121" s="12"/>
      <c r="AJ121" s="12">
        <f t="shared" si="31"/>
        <v>444000</v>
      </c>
    </row>
    <row r="122" spans="23:36" x14ac:dyDescent="0.2">
      <c r="W122" s="27" t="str">
        <f>TRUNC((X122+6)*10/80)&amp;"-"&amp;((X122+6)/8-TRUNC((X122+6)/8))*80</f>
        <v>39-70</v>
      </c>
      <c r="X122" s="12">
        <v>313</v>
      </c>
      <c r="Y122" s="12"/>
      <c r="Z122" s="12">
        <f t="shared" si="26"/>
        <v>15.9</v>
      </c>
      <c r="AA122" s="12"/>
      <c r="AB122" s="12">
        <f t="shared" si="27"/>
        <v>17400</v>
      </c>
      <c r="AC122" s="12"/>
      <c r="AD122" s="12">
        <f t="shared" si="28"/>
        <v>73500</v>
      </c>
      <c r="AE122" s="12"/>
      <c r="AF122" s="12">
        <f t="shared" si="29"/>
        <v>55500</v>
      </c>
      <c r="AG122" s="12">
        <v>27000</v>
      </c>
      <c r="AH122" s="12">
        <f t="shared" si="30"/>
        <v>315000</v>
      </c>
      <c r="AI122" s="12"/>
      <c r="AJ122" s="12">
        <f t="shared" si="31"/>
        <v>444000</v>
      </c>
    </row>
    <row r="123" spans="23:36" x14ac:dyDescent="0.2">
      <c r="W123" s="27" t="str">
        <f>TRUNC((X123+6)*10/80)&amp;"-"&amp;((X123+6)/8-TRUNC((X123+6)/8))*80</f>
        <v>40-20</v>
      </c>
      <c r="X123" s="12">
        <v>316</v>
      </c>
      <c r="Y123" s="12"/>
      <c r="Z123" s="12">
        <f t="shared" si="26"/>
        <v>15.9</v>
      </c>
      <c r="AA123" s="12"/>
      <c r="AB123" s="12">
        <f t="shared" si="27"/>
        <v>17400</v>
      </c>
      <c r="AC123" s="12"/>
      <c r="AD123" s="12">
        <f t="shared" si="28"/>
        <v>73500</v>
      </c>
      <c r="AE123" s="12"/>
      <c r="AF123" s="12">
        <f t="shared" si="29"/>
        <v>55500</v>
      </c>
      <c r="AG123" s="12"/>
      <c r="AH123" s="12">
        <f t="shared" si="30"/>
        <v>315000</v>
      </c>
      <c r="AI123" s="12">
        <v>42000</v>
      </c>
      <c r="AJ123" s="12">
        <f t="shared" si="31"/>
        <v>486000</v>
      </c>
    </row>
    <row r="124" spans="23:36" x14ac:dyDescent="0.2">
      <c r="W124" s="27" t="str">
        <f>TRUNC((X124+6)*10/80)&amp;"-"&amp;((X124+6)/8-TRUNC((X124+6)/8))*80</f>
        <v>40-50</v>
      </c>
      <c r="X124" s="12">
        <v>319</v>
      </c>
      <c r="Y124" s="58">
        <v>1.2</v>
      </c>
      <c r="Z124" s="12">
        <f t="shared" si="26"/>
        <v>17.100000000000001</v>
      </c>
      <c r="AA124" s="12"/>
      <c r="AB124" s="12">
        <f t="shared" si="27"/>
        <v>17400</v>
      </c>
      <c r="AC124" s="12"/>
      <c r="AD124" s="12">
        <f t="shared" si="28"/>
        <v>73500</v>
      </c>
      <c r="AE124" s="12"/>
      <c r="AF124" s="12">
        <f t="shared" si="29"/>
        <v>55500</v>
      </c>
      <c r="AG124" s="12"/>
      <c r="AH124" s="12">
        <f t="shared" si="30"/>
        <v>315000</v>
      </c>
      <c r="AI124" s="12"/>
      <c r="AJ124" s="12">
        <f t="shared" si="31"/>
        <v>486000</v>
      </c>
    </row>
    <row r="125" spans="23:36" x14ac:dyDescent="0.2">
      <c r="W125" s="27" t="str">
        <f>TRUNC((X125+6)*10/80)&amp;"-"&amp;((X125+6)/8-TRUNC((X125+6)/8))*80</f>
        <v>41-0</v>
      </c>
      <c r="X125" s="12">
        <v>322</v>
      </c>
      <c r="Y125" s="12"/>
      <c r="Z125" s="12">
        <f t="shared" si="26"/>
        <v>17.100000000000001</v>
      </c>
      <c r="AA125" s="12">
        <v>1500</v>
      </c>
      <c r="AB125" s="12">
        <f t="shared" si="27"/>
        <v>18900</v>
      </c>
      <c r="AC125" s="12"/>
      <c r="AD125" s="12">
        <f t="shared" si="28"/>
        <v>73500</v>
      </c>
      <c r="AE125" s="12"/>
      <c r="AF125" s="12">
        <f t="shared" si="29"/>
        <v>55500</v>
      </c>
      <c r="AG125" s="12"/>
      <c r="AH125" s="12">
        <f t="shared" si="30"/>
        <v>315000</v>
      </c>
      <c r="AI125" s="12"/>
      <c r="AJ125" s="12">
        <f t="shared" si="31"/>
        <v>486000</v>
      </c>
    </row>
    <row r="126" spans="23:36" x14ac:dyDescent="0.2">
      <c r="W126" s="27" t="str">
        <f>TRUNC((X126+6)*10/80)&amp;"-"&amp;((X126+6)/8-TRUNC((X126+6)/8))*80</f>
        <v>41-30</v>
      </c>
      <c r="X126" s="12">
        <v>325</v>
      </c>
      <c r="Y126" s="12"/>
      <c r="Z126" s="12">
        <f t="shared" si="26"/>
        <v>17.100000000000001</v>
      </c>
      <c r="AA126" s="12"/>
      <c r="AB126" s="12">
        <f t="shared" si="27"/>
        <v>18900</v>
      </c>
      <c r="AC126" s="12">
        <v>6300</v>
      </c>
      <c r="AD126" s="12">
        <f t="shared" si="28"/>
        <v>79800</v>
      </c>
      <c r="AE126" s="12"/>
      <c r="AF126" s="12">
        <f t="shared" si="29"/>
        <v>55500</v>
      </c>
      <c r="AG126" s="12"/>
      <c r="AH126" s="12">
        <f t="shared" si="30"/>
        <v>315000</v>
      </c>
      <c r="AI126" s="12"/>
      <c r="AJ126" s="12">
        <f t="shared" si="31"/>
        <v>486000</v>
      </c>
    </row>
    <row r="127" spans="23:36" x14ac:dyDescent="0.2">
      <c r="W127" s="27" t="str">
        <f>TRUNC((X127+6)*10/80)&amp;"-"&amp;((X127+6)/8-TRUNC((X127+6)/8))*80</f>
        <v>41-60</v>
      </c>
      <c r="X127" s="12">
        <v>328</v>
      </c>
      <c r="Y127" s="12"/>
      <c r="Z127" s="12">
        <f t="shared" si="26"/>
        <v>17.100000000000001</v>
      </c>
      <c r="AA127" s="12"/>
      <c r="AB127" s="12">
        <f t="shared" si="27"/>
        <v>18900</v>
      </c>
      <c r="AC127" s="12"/>
      <c r="AD127" s="12">
        <f t="shared" si="28"/>
        <v>79800</v>
      </c>
      <c r="AE127" s="12">
        <v>4800</v>
      </c>
      <c r="AF127" s="12">
        <f t="shared" si="29"/>
        <v>60300</v>
      </c>
      <c r="AG127" s="12"/>
      <c r="AH127" s="12">
        <f t="shared" si="30"/>
        <v>315000</v>
      </c>
      <c r="AI127" s="12"/>
      <c r="AJ127" s="12">
        <f t="shared" si="31"/>
        <v>486000</v>
      </c>
    </row>
    <row r="128" spans="23:36" x14ac:dyDescent="0.2">
      <c r="W128" s="27" t="str">
        <f>TRUNC((X128+6)*10/80)&amp;"-"&amp;((X128+6)/8-TRUNC((X128+6)/8))*80</f>
        <v>42-10</v>
      </c>
      <c r="X128" s="12">
        <v>331</v>
      </c>
      <c r="Y128" s="12"/>
      <c r="Z128" s="12">
        <f t="shared" si="26"/>
        <v>17.100000000000001</v>
      </c>
      <c r="AA128" s="12"/>
      <c r="AB128" s="12">
        <f t="shared" si="27"/>
        <v>18900</v>
      </c>
      <c r="AC128" s="12"/>
      <c r="AD128" s="12">
        <f t="shared" si="28"/>
        <v>79800</v>
      </c>
      <c r="AE128" s="12"/>
      <c r="AF128" s="12">
        <f t="shared" si="29"/>
        <v>60300</v>
      </c>
      <c r="AG128" s="12">
        <v>27000</v>
      </c>
      <c r="AH128" s="12">
        <f t="shared" si="30"/>
        <v>342000</v>
      </c>
      <c r="AI128" s="12"/>
      <c r="AJ128" s="12">
        <f t="shared" si="31"/>
        <v>486000</v>
      </c>
    </row>
    <row r="129" spans="23:36" x14ac:dyDescent="0.2">
      <c r="W129" s="27" t="str">
        <f>TRUNC((X129+6)*10/80)&amp;"-"&amp;((X129+6)/8-TRUNC((X129+6)/8))*80</f>
        <v>42-40</v>
      </c>
      <c r="X129" s="12">
        <v>334</v>
      </c>
      <c r="Y129" s="12"/>
      <c r="Z129" s="12">
        <f t="shared" si="26"/>
        <v>17.100000000000001</v>
      </c>
      <c r="AA129" s="12"/>
      <c r="AB129" s="12">
        <f t="shared" si="27"/>
        <v>18900</v>
      </c>
      <c r="AC129" s="12"/>
      <c r="AD129" s="12">
        <f t="shared" si="28"/>
        <v>79800</v>
      </c>
      <c r="AE129" s="12"/>
      <c r="AF129" s="12">
        <f t="shared" si="29"/>
        <v>60300</v>
      </c>
      <c r="AG129" s="12"/>
      <c r="AH129" s="12">
        <f t="shared" si="30"/>
        <v>342000</v>
      </c>
      <c r="AI129" s="12">
        <v>42000</v>
      </c>
      <c r="AJ129" s="12">
        <f t="shared" si="31"/>
        <v>528000</v>
      </c>
    </row>
    <row r="130" spans="23:36" x14ac:dyDescent="0.2">
      <c r="W130" s="27" t="str">
        <f>TRUNC((X130+6)*10/80)&amp;"-"&amp;((X130+6)/8-TRUNC((X130+6)/8))*80</f>
        <v>42-70</v>
      </c>
      <c r="X130" s="12">
        <v>337</v>
      </c>
      <c r="Y130" s="58">
        <v>1.6</v>
      </c>
      <c r="Z130" s="12">
        <f t="shared" si="22"/>
        <v>18.700000000000003</v>
      </c>
      <c r="AA130" s="12"/>
      <c r="AB130" s="12">
        <f t="shared" si="22"/>
        <v>18900</v>
      </c>
      <c r="AC130" s="12"/>
      <c r="AD130" s="12">
        <f t="shared" si="22"/>
        <v>79800</v>
      </c>
      <c r="AE130" s="12"/>
      <c r="AF130" s="12">
        <f t="shared" si="22"/>
        <v>60300</v>
      </c>
      <c r="AG130" s="12"/>
      <c r="AH130" s="12">
        <f t="shared" si="19"/>
        <v>342000</v>
      </c>
      <c r="AI130" s="12"/>
      <c r="AJ130" s="12">
        <f t="shared" si="19"/>
        <v>528000</v>
      </c>
    </row>
    <row r="131" spans="23:36" x14ac:dyDescent="0.2">
      <c r="W131" s="27" t="str">
        <f>TRUNC((X131+6)*10/80)&amp;"-"&amp;((X131+6)/8-TRUNC((X131+6)/8))*80</f>
        <v>43-20</v>
      </c>
      <c r="X131" s="12">
        <v>340</v>
      </c>
      <c r="Y131" s="12"/>
      <c r="Z131" s="12">
        <f t="shared" si="22"/>
        <v>18.700000000000003</v>
      </c>
      <c r="AA131" s="12">
        <v>2000</v>
      </c>
      <c r="AB131" s="12">
        <f t="shared" si="22"/>
        <v>20900</v>
      </c>
      <c r="AC131" s="12"/>
      <c r="AD131" s="12">
        <f t="shared" si="22"/>
        <v>79800</v>
      </c>
      <c r="AE131" s="12"/>
      <c r="AF131" s="12">
        <f t="shared" si="22"/>
        <v>60300</v>
      </c>
      <c r="AG131" s="12"/>
      <c r="AH131" s="12">
        <f t="shared" si="19"/>
        <v>342000</v>
      </c>
      <c r="AI131" s="12"/>
      <c r="AJ131" s="12">
        <f t="shared" si="19"/>
        <v>528000</v>
      </c>
    </row>
    <row r="132" spans="23:36" x14ac:dyDescent="0.2">
      <c r="W132" s="27" t="str">
        <f>TRUNC((X132+6)*10/80)&amp;"-"&amp;((X132+6)/8-TRUNC((X132+6)/8))*80</f>
        <v>43-50</v>
      </c>
      <c r="X132" s="12">
        <v>343</v>
      </c>
      <c r="Y132" s="12"/>
      <c r="Z132" s="12">
        <f t="shared" si="22"/>
        <v>18.700000000000003</v>
      </c>
      <c r="AA132" s="12"/>
      <c r="AB132" s="12">
        <f t="shared" si="22"/>
        <v>20900</v>
      </c>
      <c r="AC132" s="12">
        <v>8400</v>
      </c>
      <c r="AD132" s="12">
        <f t="shared" si="22"/>
        <v>88200</v>
      </c>
      <c r="AE132" s="12"/>
      <c r="AF132" s="12">
        <f t="shared" si="22"/>
        <v>60300</v>
      </c>
      <c r="AG132" s="12"/>
      <c r="AH132" s="12">
        <f t="shared" si="19"/>
        <v>342000</v>
      </c>
      <c r="AI132" s="12"/>
      <c r="AJ132" s="12">
        <f t="shared" si="19"/>
        <v>528000</v>
      </c>
    </row>
    <row r="133" spans="23:36" x14ac:dyDescent="0.2">
      <c r="W133" s="27" t="str">
        <f>TRUNC((X133+6)*10/80)&amp;"-"&amp;((X133+6)/8-TRUNC((X133+6)/8))*80</f>
        <v>44-0</v>
      </c>
      <c r="X133" s="12">
        <v>346</v>
      </c>
      <c r="Y133" s="12"/>
      <c r="Z133" s="12">
        <f t="shared" si="22"/>
        <v>18.700000000000003</v>
      </c>
      <c r="AA133" s="12"/>
      <c r="AB133" s="12">
        <f t="shared" si="22"/>
        <v>20900</v>
      </c>
      <c r="AC133" s="12"/>
      <c r="AD133" s="12">
        <f t="shared" si="22"/>
        <v>88200</v>
      </c>
      <c r="AE133" s="12">
        <v>6400</v>
      </c>
      <c r="AF133" s="12">
        <f t="shared" ref="AF133" si="32">AE133+AF132</f>
        <v>66700</v>
      </c>
      <c r="AG133" s="12"/>
      <c r="AH133" s="12">
        <f t="shared" si="19"/>
        <v>342000</v>
      </c>
      <c r="AI133" s="12"/>
      <c r="AJ133" s="12">
        <f t="shared" si="19"/>
        <v>528000</v>
      </c>
    </row>
    <row r="134" spans="23:36" x14ac:dyDescent="0.2">
      <c r="W134" s="27" t="str">
        <f>TRUNC((X134+6)*10/80)&amp;"-"&amp;((X134+6)/8-TRUNC((X134+6)/8))*80</f>
        <v>44-30</v>
      </c>
      <c r="X134" s="12">
        <v>349</v>
      </c>
      <c r="Y134" s="12"/>
      <c r="Z134" s="12">
        <f t="shared" ref="Z134:AF197" si="33">Y134+Z133</f>
        <v>18.700000000000003</v>
      </c>
      <c r="AA134" s="12"/>
      <c r="AB134" s="12">
        <f t="shared" si="33"/>
        <v>20900</v>
      </c>
      <c r="AC134" s="12"/>
      <c r="AD134" s="12">
        <f t="shared" si="33"/>
        <v>88200</v>
      </c>
      <c r="AE134" s="12"/>
      <c r="AF134" s="12">
        <f t="shared" si="33"/>
        <v>66700</v>
      </c>
      <c r="AG134" s="12">
        <v>36000</v>
      </c>
      <c r="AH134" s="12">
        <f t="shared" ref="AH134:AJ197" si="34">AG134+AH133</f>
        <v>378000</v>
      </c>
      <c r="AI134" s="12"/>
      <c r="AJ134" s="12">
        <f t="shared" si="34"/>
        <v>528000</v>
      </c>
    </row>
    <row r="135" spans="23:36" x14ac:dyDescent="0.2">
      <c r="W135" s="27" t="str">
        <f>TRUNC((X135+6)*10/80)&amp;"-"&amp;((X135+6)/8-TRUNC((X135+6)/8))*80</f>
        <v>44-60</v>
      </c>
      <c r="X135" s="12">
        <v>352</v>
      </c>
      <c r="Y135" s="12"/>
      <c r="Z135" s="12">
        <f t="shared" si="33"/>
        <v>18.700000000000003</v>
      </c>
      <c r="AA135" s="12"/>
      <c r="AB135" s="12">
        <f t="shared" si="33"/>
        <v>20900</v>
      </c>
      <c r="AC135" s="12"/>
      <c r="AD135" s="12">
        <f t="shared" si="33"/>
        <v>88200</v>
      </c>
      <c r="AE135" s="12"/>
      <c r="AF135" s="12">
        <f t="shared" si="33"/>
        <v>66700</v>
      </c>
      <c r="AG135" s="12"/>
      <c r="AH135" s="12">
        <f t="shared" si="34"/>
        <v>378000</v>
      </c>
      <c r="AI135" s="12">
        <v>56000</v>
      </c>
      <c r="AJ135" s="12">
        <f t="shared" si="34"/>
        <v>584000</v>
      </c>
    </row>
    <row r="136" spans="23:36" x14ac:dyDescent="0.2">
      <c r="W136" s="27" t="str">
        <f>TRUNC((X136+6)*10/80)&amp;"-"&amp;((X136+6)/8-TRUNC((X136+6)/8))*80</f>
        <v>45-10</v>
      </c>
      <c r="X136" s="12">
        <v>355</v>
      </c>
      <c r="Y136" s="58">
        <v>1.6</v>
      </c>
      <c r="Z136" s="12">
        <f t="shared" ref="Z136:AF147" si="35">Y136+Z135</f>
        <v>20.300000000000004</v>
      </c>
      <c r="AA136" s="12"/>
      <c r="AB136" s="12">
        <f t="shared" si="35"/>
        <v>20900</v>
      </c>
      <c r="AC136" s="12"/>
      <c r="AD136" s="12">
        <f t="shared" si="35"/>
        <v>88200</v>
      </c>
      <c r="AE136" s="12"/>
      <c r="AF136" s="12">
        <f t="shared" si="35"/>
        <v>66700</v>
      </c>
      <c r="AG136" s="12"/>
      <c r="AH136" s="12">
        <f t="shared" si="34"/>
        <v>378000</v>
      </c>
      <c r="AI136" s="12"/>
      <c r="AJ136" s="12">
        <f t="shared" si="34"/>
        <v>584000</v>
      </c>
    </row>
    <row r="137" spans="23:36" x14ac:dyDescent="0.2">
      <c r="W137" s="27" t="str">
        <f>TRUNC((X137+6)*10/80)&amp;"-"&amp;((X137+6)/8-TRUNC((X137+6)/8))*80</f>
        <v>45-40</v>
      </c>
      <c r="X137" s="12">
        <v>358</v>
      </c>
      <c r="Y137" s="12"/>
      <c r="Z137" s="12">
        <f t="shared" si="35"/>
        <v>20.300000000000004</v>
      </c>
      <c r="AA137" s="12">
        <v>2000</v>
      </c>
      <c r="AB137" s="12">
        <f t="shared" si="35"/>
        <v>22900</v>
      </c>
      <c r="AC137" s="12"/>
      <c r="AD137" s="12">
        <f t="shared" si="35"/>
        <v>88200</v>
      </c>
      <c r="AE137" s="12"/>
      <c r="AF137" s="12">
        <f t="shared" si="35"/>
        <v>66700</v>
      </c>
      <c r="AG137" s="12"/>
      <c r="AH137" s="12">
        <f t="shared" si="34"/>
        <v>378000</v>
      </c>
      <c r="AI137" s="12"/>
      <c r="AJ137" s="12">
        <f t="shared" si="34"/>
        <v>584000</v>
      </c>
    </row>
    <row r="138" spans="23:36" x14ac:dyDescent="0.2">
      <c r="W138" s="27" t="str">
        <f>TRUNC((X138+6)*10/80)&amp;"-"&amp;((X138+6)/8-TRUNC((X138+6)/8))*80</f>
        <v>45-70</v>
      </c>
      <c r="X138" s="12">
        <v>361</v>
      </c>
      <c r="Y138" s="12"/>
      <c r="Z138" s="12">
        <f t="shared" si="35"/>
        <v>20.300000000000004</v>
      </c>
      <c r="AA138" s="12"/>
      <c r="AB138" s="12">
        <f t="shared" si="35"/>
        <v>22900</v>
      </c>
      <c r="AC138" s="12">
        <v>8400</v>
      </c>
      <c r="AD138" s="12">
        <f t="shared" si="35"/>
        <v>96600</v>
      </c>
      <c r="AE138" s="12"/>
      <c r="AF138" s="12">
        <f t="shared" si="35"/>
        <v>66700</v>
      </c>
      <c r="AG138" s="12"/>
      <c r="AH138" s="12">
        <f t="shared" si="34"/>
        <v>378000</v>
      </c>
      <c r="AI138" s="12"/>
      <c r="AJ138" s="12">
        <f t="shared" si="34"/>
        <v>584000</v>
      </c>
    </row>
    <row r="139" spans="23:36" x14ac:dyDescent="0.2">
      <c r="W139" s="27" t="str">
        <f>TRUNC((X139+6)*10/80)&amp;"-"&amp;((X139+6)/8-TRUNC((X139+6)/8))*80</f>
        <v>46-20</v>
      </c>
      <c r="X139" s="12">
        <v>364</v>
      </c>
      <c r="Y139" s="12"/>
      <c r="Z139" s="12">
        <f t="shared" si="35"/>
        <v>20.300000000000004</v>
      </c>
      <c r="AA139" s="12"/>
      <c r="AB139" s="12">
        <f t="shared" si="35"/>
        <v>22900</v>
      </c>
      <c r="AC139" s="12"/>
      <c r="AD139" s="12">
        <f t="shared" si="35"/>
        <v>96600</v>
      </c>
      <c r="AE139" s="12">
        <v>6400</v>
      </c>
      <c r="AF139" s="12">
        <f t="shared" si="35"/>
        <v>73100</v>
      </c>
      <c r="AG139" s="12"/>
      <c r="AH139" s="12">
        <f t="shared" si="34"/>
        <v>378000</v>
      </c>
      <c r="AI139" s="12"/>
      <c r="AJ139" s="12">
        <f t="shared" si="34"/>
        <v>584000</v>
      </c>
    </row>
    <row r="140" spans="23:36" x14ac:dyDescent="0.2">
      <c r="W140" s="27" t="str">
        <f>TRUNC((X140+6)*10/80)&amp;"-"&amp;((X140+6)/8-TRUNC((X140+6)/8))*80</f>
        <v>46-50</v>
      </c>
      <c r="X140" s="12">
        <v>367</v>
      </c>
      <c r="Y140" s="12"/>
      <c r="Z140" s="12">
        <f t="shared" si="35"/>
        <v>20.300000000000004</v>
      </c>
      <c r="AA140" s="12"/>
      <c r="AB140" s="12">
        <f t="shared" si="35"/>
        <v>22900</v>
      </c>
      <c r="AC140" s="12"/>
      <c r="AD140" s="12">
        <f t="shared" si="35"/>
        <v>96600</v>
      </c>
      <c r="AE140" s="12"/>
      <c r="AF140" s="12">
        <f t="shared" si="35"/>
        <v>73100</v>
      </c>
      <c r="AG140" s="12">
        <v>36000</v>
      </c>
      <c r="AH140" s="12">
        <f t="shared" ref="AH140:AH147" si="36">AG140+AH139</f>
        <v>414000</v>
      </c>
      <c r="AI140" s="12"/>
      <c r="AJ140" s="12">
        <f t="shared" ref="AJ140:AJ147" si="37">AI140+AJ139</f>
        <v>584000</v>
      </c>
    </row>
    <row r="141" spans="23:36" x14ac:dyDescent="0.2">
      <c r="W141" s="27" t="str">
        <f>TRUNC((X141+6)*10/80)&amp;"-"&amp;((X141+6)/8-TRUNC((X141+6)/8))*80</f>
        <v>47-0</v>
      </c>
      <c r="X141" s="12">
        <v>370</v>
      </c>
      <c r="Y141" s="12"/>
      <c r="Z141" s="12">
        <f t="shared" si="35"/>
        <v>20.300000000000004</v>
      </c>
      <c r="AA141" s="12"/>
      <c r="AB141" s="12">
        <f t="shared" si="35"/>
        <v>22900</v>
      </c>
      <c r="AC141" s="12"/>
      <c r="AD141" s="12">
        <f t="shared" si="35"/>
        <v>96600</v>
      </c>
      <c r="AE141" s="12"/>
      <c r="AF141" s="12">
        <f t="shared" si="35"/>
        <v>73100</v>
      </c>
      <c r="AG141" s="12"/>
      <c r="AH141" s="12">
        <f t="shared" si="36"/>
        <v>414000</v>
      </c>
      <c r="AI141" s="12">
        <v>56000</v>
      </c>
      <c r="AJ141" s="12">
        <f t="shared" si="37"/>
        <v>640000</v>
      </c>
    </row>
    <row r="142" spans="23:36" x14ac:dyDescent="0.2">
      <c r="W142" s="27" t="str">
        <f>TRUNC((X142+6)*10/80)&amp;"-"&amp;((X142+6)/8-TRUNC((X142+6)/8))*80</f>
        <v>47-30</v>
      </c>
      <c r="X142" s="12">
        <v>373</v>
      </c>
      <c r="Y142" s="58">
        <v>1.6</v>
      </c>
      <c r="Z142" s="12">
        <f t="shared" si="35"/>
        <v>21.900000000000006</v>
      </c>
      <c r="AA142" s="12"/>
      <c r="AB142" s="12">
        <f t="shared" si="35"/>
        <v>22900</v>
      </c>
      <c r="AC142" s="12"/>
      <c r="AD142" s="12">
        <f t="shared" si="35"/>
        <v>96600</v>
      </c>
      <c r="AE142" s="12"/>
      <c r="AF142" s="12">
        <f t="shared" si="35"/>
        <v>73100</v>
      </c>
      <c r="AG142" s="12"/>
      <c r="AH142" s="12">
        <f t="shared" si="36"/>
        <v>414000</v>
      </c>
      <c r="AI142" s="12"/>
      <c r="AJ142" s="12">
        <f t="shared" si="37"/>
        <v>640000</v>
      </c>
    </row>
    <row r="143" spans="23:36" x14ac:dyDescent="0.2">
      <c r="W143" s="27" t="str">
        <f>TRUNC((X143+6)*10/80)&amp;"-"&amp;((X143+6)/8-TRUNC((X143+6)/8))*80</f>
        <v>47-60</v>
      </c>
      <c r="X143" s="12">
        <v>376</v>
      </c>
      <c r="Y143" s="12"/>
      <c r="Z143" s="12">
        <f t="shared" si="35"/>
        <v>21.900000000000006</v>
      </c>
      <c r="AA143" s="12">
        <v>2000</v>
      </c>
      <c r="AB143" s="12">
        <f t="shared" si="35"/>
        <v>24900</v>
      </c>
      <c r="AC143" s="12"/>
      <c r="AD143" s="12">
        <f t="shared" si="35"/>
        <v>96600</v>
      </c>
      <c r="AE143" s="12"/>
      <c r="AF143" s="12">
        <f t="shared" si="35"/>
        <v>73100</v>
      </c>
      <c r="AG143" s="12"/>
      <c r="AH143" s="12">
        <f t="shared" si="36"/>
        <v>414000</v>
      </c>
      <c r="AI143" s="12"/>
      <c r="AJ143" s="12">
        <f t="shared" si="37"/>
        <v>640000</v>
      </c>
    </row>
    <row r="144" spans="23:36" x14ac:dyDescent="0.2">
      <c r="W144" s="27" t="str">
        <f>TRUNC((X144+6)*10/80)&amp;"-"&amp;((X144+6)/8-TRUNC((X144+6)/8))*80</f>
        <v>48-10</v>
      </c>
      <c r="X144" s="12">
        <v>379</v>
      </c>
      <c r="Y144" s="12"/>
      <c r="Z144" s="12">
        <f t="shared" si="35"/>
        <v>21.900000000000006</v>
      </c>
      <c r="AA144" s="12"/>
      <c r="AB144" s="12">
        <f t="shared" si="35"/>
        <v>24900</v>
      </c>
      <c r="AC144" s="12">
        <v>8400</v>
      </c>
      <c r="AD144" s="12">
        <f t="shared" si="35"/>
        <v>105000</v>
      </c>
      <c r="AE144" s="12"/>
      <c r="AF144" s="12">
        <f t="shared" si="35"/>
        <v>73100</v>
      </c>
      <c r="AG144" s="12"/>
      <c r="AH144" s="12">
        <f t="shared" si="36"/>
        <v>414000</v>
      </c>
      <c r="AI144" s="12"/>
      <c r="AJ144" s="12">
        <f t="shared" si="37"/>
        <v>640000</v>
      </c>
    </row>
    <row r="145" spans="23:36" x14ac:dyDescent="0.2">
      <c r="W145" s="27" t="str">
        <f>TRUNC((X145+6)*10/80)&amp;"-"&amp;((X145+6)/8-TRUNC((X145+6)/8))*80</f>
        <v>48-40</v>
      </c>
      <c r="X145" s="12">
        <v>382</v>
      </c>
      <c r="Y145" s="12"/>
      <c r="Z145" s="12">
        <f t="shared" si="35"/>
        <v>21.900000000000006</v>
      </c>
      <c r="AA145" s="12"/>
      <c r="AB145" s="12">
        <f t="shared" si="35"/>
        <v>24900</v>
      </c>
      <c r="AC145" s="12"/>
      <c r="AD145" s="12">
        <f t="shared" si="35"/>
        <v>105000</v>
      </c>
      <c r="AE145" s="12">
        <v>6400</v>
      </c>
      <c r="AF145" s="12">
        <f t="shared" si="35"/>
        <v>79500</v>
      </c>
      <c r="AG145" s="12"/>
      <c r="AH145" s="12">
        <f t="shared" si="36"/>
        <v>414000</v>
      </c>
      <c r="AI145" s="12"/>
      <c r="AJ145" s="12">
        <f t="shared" si="37"/>
        <v>640000</v>
      </c>
    </row>
    <row r="146" spans="23:36" x14ac:dyDescent="0.2">
      <c r="W146" s="27" t="str">
        <f>TRUNC((X146+6)*10/80)&amp;"-"&amp;((X146+6)/8-TRUNC((X146+6)/8))*80</f>
        <v>48-70</v>
      </c>
      <c r="X146" s="12">
        <v>385</v>
      </c>
      <c r="Y146" s="12"/>
      <c r="Z146" s="12">
        <f t="shared" si="35"/>
        <v>21.900000000000006</v>
      </c>
      <c r="AA146" s="12"/>
      <c r="AB146" s="12">
        <f t="shared" si="35"/>
        <v>24900</v>
      </c>
      <c r="AC146" s="12"/>
      <c r="AD146" s="12">
        <f t="shared" si="35"/>
        <v>105000</v>
      </c>
      <c r="AE146" s="12"/>
      <c r="AF146" s="12">
        <f t="shared" si="35"/>
        <v>79500</v>
      </c>
      <c r="AG146" s="12">
        <v>36000</v>
      </c>
      <c r="AH146" s="12">
        <f t="shared" si="36"/>
        <v>450000</v>
      </c>
      <c r="AI146" s="12"/>
      <c r="AJ146" s="12">
        <f t="shared" si="37"/>
        <v>640000</v>
      </c>
    </row>
    <row r="147" spans="23:36" x14ac:dyDescent="0.2">
      <c r="W147" s="27" t="str">
        <f>TRUNC((X147+6)*10/80)&amp;"-"&amp;((X147+6)/8-TRUNC((X147+6)/8))*80</f>
        <v>49-20</v>
      </c>
      <c r="X147" s="12">
        <v>388</v>
      </c>
      <c r="Y147" s="12"/>
      <c r="Z147" s="12">
        <f t="shared" si="35"/>
        <v>21.900000000000006</v>
      </c>
      <c r="AA147" s="12"/>
      <c r="AB147" s="12">
        <f t="shared" si="35"/>
        <v>24900</v>
      </c>
      <c r="AC147" s="12"/>
      <c r="AD147" s="12">
        <f t="shared" si="35"/>
        <v>105000</v>
      </c>
      <c r="AE147" s="12"/>
      <c r="AF147" s="12">
        <f t="shared" si="35"/>
        <v>79500</v>
      </c>
      <c r="AG147" s="12"/>
      <c r="AH147" s="12">
        <f t="shared" si="36"/>
        <v>450000</v>
      </c>
      <c r="AI147" s="12">
        <v>56000</v>
      </c>
      <c r="AJ147" s="12">
        <f t="shared" si="37"/>
        <v>696000</v>
      </c>
    </row>
    <row r="148" spans="23:36" x14ac:dyDescent="0.2">
      <c r="W148" s="27" t="str">
        <f>TRUNC((X148+6)*10/80)&amp;"-"&amp;((X148+6)/8-TRUNC((X148+6)/8))*80</f>
        <v>49-50</v>
      </c>
      <c r="X148" s="12">
        <v>391</v>
      </c>
      <c r="Y148" s="58">
        <v>2</v>
      </c>
      <c r="Z148" s="12">
        <f t="shared" si="33"/>
        <v>23.900000000000006</v>
      </c>
      <c r="AA148" s="12"/>
      <c r="AB148" s="12">
        <f t="shared" si="33"/>
        <v>24900</v>
      </c>
      <c r="AC148" s="12"/>
      <c r="AD148" s="12">
        <f t="shared" si="33"/>
        <v>105000</v>
      </c>
      <c r="AE148" s="12"/>
      <c r="AF148" s="12">
        <f t="shared" si="33"/>
        <v>79500</v>
      </c>
      <c r="AG148" s="12"/>
      <c r="AH148" s="12">
        <f t="shared" si="34"/>
        <v>450000</v>
      </c>
      <c r="AI148" s="12"/>
      <c r="AJ148" s="12">
        <f t="shared" si="34"/>
        <v>696000</v>
      </c>
    </row>
    <row r="149" spans="23:36" x14ac:dyDescent="0.2">
      <c r="W149" s="27" t="str">
        <f>TRUNC((X149+6)*10/80)&amp;"-"&amp;((X149+6)/8-TRUNC((X149+6)/8))*80</f>
        <v>50-0</v>
      </c>
      <c r="X149" s="12">
        <v>394</v>
      </c>
      <c r="Y149" s="12"/>
      <c r="Z149" s="12">
        <f t="shared" si="33"/>
        <v>23.900000000000006</v>
      </c>
      <c r="AA149" s="12">
        <v>2500</v>
      </c>
      <c r="AB149" s="12">
        <f t="shared" si="33"/>
        <v>27400</v>
      </c>
      <c r="AC149" s="12"/>
      <c r="AD149" s="12">
        <f t="shared" si="33"/>
        <v>105000</v>
      </c>
      <c r="AE149" s="12"/>
      <c r="AF149" s="12">
        <f t="shared" si="33"/>
        <v>79500</v>
      </c>
      <c r="AG149" s="12"/>
      <c r="AH149" s="12">
        <f t="shared" si="34"/>
        <v>450000</v>
      </c>
      <c r="AI149" s="12"/>
      <c r="AJ149" s="12">
        <f t="shared" si="34"/>
        <v>696000</v>
      </c>
    </row>
    <row r="150" spans="23:36" x14ac:dyDescent="0.2">
      <c r="W150" s="27" t="str">
        <f>TRUNC((X150+6)*10/80)&amp;"-"&amp;((X150+6)/8-TRUNC((X150+6)/8))*80</f>
        <v>50-30</v>
      </c>
      <c r="X150" s="12">
        <v>397</v>
      </c>
      <c r="Y150" s="12"/>
      <c r="Z150" s="12">
        <f t="shared" si="33"/>
        <v>23.900000000000006</v>
      </c>
      <c r="AA150" s="12"/>
      <c r="AB150" s="12">
        <f t="shared" si="33"/>
        <v>27400</v>
      </c>
      <c r="AC150" s="12">
        <v>10500</v>
      </c>
      <c r="AD150" s="12">
        <f t="shared" si="33"/>
        <v>115500</v>
      </c>
      <c r="AE150" s="12"/>
      <c r="AF150" s="12">
        <f t="shared" si="33"/>
        <v>79500</v>
      </c>
      <c r="AG150" s="12"/>
      <c r="AH150" s="12">
        <f t="shared" si="34"/>
        <v>450000</v>
      </c>
      <c r="AI150" s="12"/>
      <c r="AJ150" s="12">
        <f t="shared" si="34"/>
        <v>696000</v>
      </c>
    </row>
    <row r="151" spans="23:36" x14ac:dyDescent="0.2">
      <c r="W151" s="27" t="str">
        <f>TRUNC((X151+6)*10/80)&amp;"-"&amp;((X151+6)/8-TRUNC((X151+6)/8))*80</f>
        <v>50-60</v>
      </c>
      <c r="X151" s="12">
        <v>400</v>
      </c>
      <c r="Y151" s="12"/>
      <c r="Z151" s="12">
        <f t="shared" si="33"/>
        <v>23.900000000000006</v>
      </c>
      <c r="AA151" s="12"/>
      <c r="AB151" s="12">
        <f t="shared" si="33"/>
        <v>27400</v>
      </c>
      <c r="AC151" s="12"/>
      <c r="AD151" s="12">
        <f t="shared" si="33"/>
        <v>115500</v>
      </c>
      <c r="AE151" s="12">
        <v>8000</v>
      </c>
      <c r="AF151" s="12">
        <f t="shared" si="33"/>
        <v>87500</v>
      </c>
      <c r="AG151" s="12"/>
      <c r="AH151" s="12">
        <f t="shared" si="34"/>
        <v>450000</v>
      </c>
      <c r="AI151" s="12"/>
      <c r="AJ151" s="12">
        <f t="shared" si="34"/>
        <v>696000</v>
      </c>
    </row>
    <row r="152" spans="23:36" x14ac:dyDescent="0.2">
      <c r="W152" s="27" t="str">
        <f>TRUNC((X152+6)*10/80)&amp;"-"&amp;((X152+6)/8-TRUNC((X152+6)/8))*80</f>
        <v>51-10</v>
      </c>
      <c r="X152" s="12">
        <v>403</v>
      </c>
      <c r="Y152" s="12"/>
      <c r="Z152" s="12">
        <f t="shared" si="33"/>
        <v>23.900000000000006</v>
      </c>
      <c r="AA152" s="12"/>
      <c r="AB152" s="12">
        <f t="shared" si="33"/>
        <v>27400</v>
      </c>
      <c r="AC152" s="12"/>
      <c r="AD152" s="12">
        <f t="shared" si="33"/>
        <v>115500</v>
      </c>
      <c r="AE152" s="12"/>
      <c r="AF152" s="12">
        <f t="shared" si="33"/>
        <v>87500</v>
      </c>
      <c r="AG152" s="12">
        <v>45000</v>
      </c>
      <c r="AH152" s="12">
        <f t="shared" si="34"/>
        <v>495000</v>
      </c>
      <c r="AI152" s="12"/>
      <c r="AJ152" s="12">
        <f t="shared" si="34"/>
        <v>696000</v>
      </c>
    </row>
    <row r="153" spans="23:36" x14ac:dyDescent="0.2">
      <c r="W153" s="27" t="str">
        <f>TRUNC((X153+6)*10/80)&amp;"-"&amp;((X153+6)/8-TRUNC((X153+6)/8))*80</f>
        <v>51-40</v>
      </c>
      <c r="X153" s="12">
        <v>406</v>
      </c>
      <c r="Y153" s="12"/>
      <c r="Z153" s="12">
        <f t="shared" si="33"/>
        <v>23.900000000000006</v>
      </c>
      <c r="AA153" s="12"/>
      <c r="AB153" s="12">
        <f t="shared" si="33"/>
        <v>27400</v>
      </c>
      <c r="AC153" s="12"/>
      <c r="AD153" s="12">
        <f t="shared" si="33"/>
        <v>115500</v>
      </c>
      <c r="AE153" s="12"/>
      <c r="AF153" s="12">
        <f t="shared" si="33"/>
        <v>87500</v>
      </c>
      <c r="AG153" s="12"/>
      <c r="AH153" s="12">
        <f t="shared" si="34"/>
        <v>495000</v>
      </c>
      <c r="AI153" s="12">
        <v>70000</v>
      </c>
      <c r="AJ153" s="12">
        <f t="shared" si="34"/>
        <v>766000</v>
      </c>
    </row>
    <row r="154" spans="23:36" x14ac:dyDescent="0.2">
      <c r="W154" s="27" t="str">
        <f>TRUNC((X154+6)*10/80)&amp;"-"&amp;((X154+6)/8-TRUNC((X154+6)/8))*80</f>
        <v>51-70</v>
      </c>
      <c r="X154" s="12">
        <v>409</v>
      </c>
      <c r="Y154" s="58">
        <v>2</v>
      </c>
      <c r="Z154" s="12">
        <f t="shared" ref="Z154:AF165" si="38">Y154+Z153</f>
        <v>25.900000000000006</v>
      </c>
      <c r="AA154" s="12"/>
      <c r="AB154" s="12">
        <f t="shared" si="38"/>
        <v>27400</v>
      </c>
      <c r="AC154" s="12"/>
      <c r="AD154" s="12">
        <f t="shared" si="38"/>
        <v>115500</v>
      </c>
      <c r="AE154" s="12"/>
      <c r="AF154" s="12">
        <f t="shared" si="38"/>
        <v>87500</v>
      </c>
      <c r="AG154" s="12"/>
      <c r="AH154" s="12">
        <f t="shared" ref="AH154:AH165" si="39">AG154+AH153</f>
        <v>495000</v>
      </c>
      <c r="AI154" s="12"/>
      <c r="AJ154" s="12">
        <f t="shared" si="34"/>
        <v>766000</v>
      </c>
    </row>
    <row r="155" spans="23:36" x14ac:dyDescent="0.2">
      <c r="W155" s="27" t="str">
        <f>TRUNC((X155+6)*10/80)&amp;"-"&amp;((X155+6)/8-TRUNC((X155+6)/8))*80</f>
        <v>52-20</v>
      </c>
      <c r="X155" s="12">
        <v>412</v>
      </c>
      <c r="Y155" s="12"/>
      <c r="Z155" s="12">
        <f t="shared" si="38"/>
        <v>25.900000000000006</v>
      </c>
      <c r="AA155" s="12">
        <v>2500</v>
      </c>
      <c r="AB155" s="12">
        <f t="shared" si="38"/>
        <v>29900</v>
      </c>
      <c r="AC155" s="12"/>
      <c r="AD155" s="12">
        <f t="shared" si="38"/>
        <v>115500</v>
      </c>
      <c r="AE155" s="12"/>
      <c r="AF155" s="12">
        <f t="shared" si="38"/>
        <v>87500</v>
      </c>
      <c r="AG155" s="12"/>
      <c r="AH155" s="12">
        <f t="shared" si="39"/>
        <v>495000</v>
      </c>
      <c r="AI155" s="12"/>
      <c r="AJ155" s="12">
        <f t="shared" si="34"/>
        <v>766000</v>
      </c>
    </row>
    <row r="156" spans="23:36" x14ac:dyDescent="0.2">
      <c r="W156" s="27" t="str">
        <f>TRUNC((X156+6)*10/80)&amp;"-"&amp;((X156+6)/8-TRUNC((X156+6)/8))*80</f>
        <v>52-50</v>
      </c>
      <c r="X156" s="12">
        <v>415</v>
      </c>
      <c r="Y156" s="12"/>
      <c r="Z156" s="12">
        <f t="shared" si="38"/>
        <v>25.900000000000006</v>
      </c>
      <c r="AA156" s="12"/>
      <c r="AB156" s="12">
        <f t="shared" si="38"/>
        <v>29900</v>
      </c>
      <c r="AC156" s="12">
        <v>10500</v>
      </c>
      <c r="AD156" s="12">
        <f t="shared" si="38"/>
        <v>126000</v>
      </c>
      <c r="AE156" s="12"/>
      <c r="AF156" s="12">
        <f t="shared" si="38"/>
        <v>87500</v>
      </c>
      <c r="AG156" s="12"/>
      <c r="AH156" s="12">
        <f t="shared" si="39"/>
        <v>495000</v>
      </c>
      <c r="AI156" s="12"/>
      <c r="AJ156" s="12">
        <f t="shared" si="34"/>
        <v>766000</v>
      </c>
    </row>
    <row r="157" spans="23:36" x14ac:dyDescent="0.2">
      <c r="W157" s="27" t="str">
        <f>TRUNC((X157+6)*10/80)&amp;"-"&amp;((X157+6)/8-TRUNC((X157+6)/8))*80</f>
        <v>53-0</v>
      </c>
      <c r="X157" s="12">
        <v>418</v>
      </c>
      <c r="Y157" s="12"/>
      <c r="Z157" s="12">
        <f t="shared" si="38"/>
        <v>25.900000000000006</v>
      </c>
      <c r="AA157" s="12"/>
      <c r="AB157" s="12">
        <f t="shared" si="38"/>
        <v>29900</v>
      </c>
      <c r="AC157" s="12"/>
      <c r="AD157" s="12">
        <f t="shared" si="38"/>
        <v>126000</v>
      </c>
      <c r="AE157" s="12">
        <v>8000</v>
      </c>
      <c r="AF157" s="12">
        <f t="shared" si="38"/>
        <v>95500</v>
      </c>
      <c r="AG157" s="12"/>
      <c r="AH157" s="12">
        <f t="shared" si="39"/>
        <v>495000</v>
      </c>
      <c r="AI157" s="12"/>
      <c r="AJ157" s="12">
        <f t="shared" si="34"/>
        <v>766000</v>
      </c>
    </row>
    <row r="158" spans="23:36" x14ac:dyDescent="0.2">
      <c r="W158" s="27" t="str">
        <f>TRUNC((X158+6)*10/80)&amp;"-"&amp;((X158+6)/8-TRUNC((X158+6)/8))*80</f>
        <v>53-30</v>
      </c>
      <c r="X158" s="12">
        <v>421</v>
      </c>
      <c r="Y158" s="12"/>
      <c r="Z158" s="12">
        <f t="shared" si="38"/>
        <v>25.900000000000006</v>
      </c>
      <c r="AA158" s="12"/>
      <c r="AB158" s="12">
        <f t="shared" si="38"/>
        <v>29900</v>
      </c>
      <c r="AC158" s="12"/>
      <c r="AD158" s="12">
        <f t="shared" si="38"/>
        <v>126000</v>
      </c>
      <c r="AE158" s="12"/>
      <c r="AF158" s="12">
        <f t="shared" si="38"/>
        <v>95500</v>
      </c>
      <c r="AG158" s="12">
        <v>45000</v>
      </c>
      <c r="AH158" s="12">
        <f t="shared" si="39"/>
        <v>540000</v>
      </c>
      <c r="AI158" s="12"/>
      <c r="AJ158" s="12">
        <f t="shared" si="34"/>
        <v>766000</v>
      </c>
    </row>
    <row r="159" spans="23:36" x14ac:dyDescent="0.2">
      <c r="W159" s="27" t="str">
        <f>TRUNC((X159+6)*10/80)&amp;"-"&amp;((X159+6)/8-TRUNC((X159+6)/8))*80</f>
        <v>53-60</v>
      </c>
      <c r="X159" s="12">
        <v>424</v>
      </c>
      <c r="Y159" s="12"/>
      <c r="Z159" s="12">
        <f t="shared" si="38"/>
        <v>25.900000000000006</v>
      </c>
      <c r="AA159" s="12"/>
      <c r="AB159" s="12">
        <f t="shared" si="38"/>
        <v>29900</v>
      </c>
      <c r="AC159" s="12"/>
      <c r="AD159" s="12">
        <f t="shared" si="38"/>
        <v>126000</v>
      </c>
      <c r="AE159" s="12"/>
      <c r="AF159" s="12">
        <f t="shared" si="38"/>
        <v>95500</v>
      </c>
      <c r="AG159" s="12"/>
      <c r="AH159" s="12">
        <f t="shared" si="39"/>
        <v>540000</v>
      </c>
      <c r="AI159" s="12">
        <v>70000</v>
      </c>
      <c r="AJ159" s="12">
        <f t="shared" si="34"/>
        <v>836000</v>
      </c>
    </row>
    <row r="160" spans="23:36" x14ac:dyDescent="0.2">
      <c r="W160" s="27" t="str">
        <f>TRUNC((X160+6)*10/80)&amp;"-"&amp;((X160+6)/8-TRUNC((X160+6)/8))*80</f>
        <v>54-10</v>
      </c>
      <c r="X160" s="12">
        <v>427</v>
      </c>
      <c r="Y160" s="58">
        <v>2.4</v>
      </c>
      <c r="Z160" s="12">
        <f t="shared" si="33"/>
        <v>28.300000000000004</v>
      </c>
      <c r="AA160" s="12"/>
      <c r="AB160" s="12">
        <f t="shared" si="33"/>
        <v>29900</v>
      </c>
      <c r="AC160" s="12"/>
      <c r="AD160" s="12">
        <f t="shared" si="33"/>
        <v>126000</v>
      </c>
      <c r="AE160" s="12"/>
      <c r="AF160" s="12">
        <f t="shared" si="33"/>
        <v>95500</v>
      </c>
      <c r="AG160" s="12"/>
      <c r="AH160" s="12">
        <f t="shared" si="34"/>
        <v>540000</v>
      </c>
      <c r="AI160" s="12"/>
      <c r="AJ160" s="12">
        <f t="shared" si="34"/>
        <v>836000</v>
      </c>
    </row>
    <row r="161" spans="23:36" x14ac:dyDescent="0.2">
      <c r="W161" s="27" t="str">
        <f>TRUNC((X161+6)*10/80)&amp;"-"&amp;((X161+6)/8-TRUNC((X161+6)/8))*80</f>
        <v>54-40</v>
      </c>
      <c r="X161" s="12">
        <v>430</v>
      </c>
      <c r="Y161" s="12"/>
      <c r="Z161" s="12">
        <f t="shared" si="33"/>
        <v>28.300000000000004</v>
      </c>
      <c r="AA161" s="12">
        <v>3000</v>
      </c>
      <c r="AB161" s="12">
        <f t="shared" si="33"/>
        <v>32900</v>
      </c>
      <c r="AC161" s="12"/>
      <c r="AD161" s="12">
        <f t="shared" si="33"/>
        <v>126000</v>
      </c>
      <c r="AE161" s="12"/>
      <c r="AF161" s="12">
        <f t="shared" si="33"/>
        <v>95500</v>
      </c>
      <c r="AG161" s="12"/>
      <c r="AH161" s="12">
        <f t="shared" si="34"/>
        <v>540000</v>
      </c>
      <c r="AI161" s="12"/>
      <c r="AJ161" s="12">
        <f t="shared" si="34"/>
        <v>836000</v>
      </c>
    </row>
    <row r="162" spans="23:36" x14ac:dyDescent="0.2">
      <c r="W162" s="27" t="str">
        <f>TRUNC((X162+6)*10/80)&amp;"-"&amp;((X162+6)/8-TRUNC((X162+6)/8))*80</f>
        <v>54-70</v>
      </c>
      <c r="X162" s="12">
        <v>433</v>
      </c>
      <c r="Y162" s="12"/>
      <c r="Z162" s="12">
        <f t="shared" si="33"/>
        <v>28.300000000000004</v>
      </c>
      <c r="AA162" s="12"/>
      <c r="AB162" s="12">
        <f t="shared" si="33"/>
        <v>32900</v>
      </c>
      <c r="AC162" s="12">
        <v>12600</v>
      </c>
      <c r="AD162" s="12">
        <f t="shared" si="33"/>
        <v>138600</v>
      </c>
      <c r="AE162" s="12"/>
      <c r="AF162" s="12">
        <f t="shared" si="33"/>
        <v>95500</v>
      </c>
      <c r="AG162" s="12"/>
      <c r="AH162" s="12">
        <f t="shared" si="34"/>
        <v>540000</v>
      </c>
      <c r="AI162" s="12"/>
      <c r="AJ162" s="12">
        <f t="shared" si="34"/>
        <v>836000</v>
      </c>
    </row>
    <row r="163" spans="23:36" x14ac:dyDescent="0.2">
      <c r="W163" s="27" t="str">
        <f>TRUNC((X163+6)*10/80)&amp;"-"&amp;((X163+6)/8-TRUNC((X163+6)/8))*80</f>
        <v>55-20</v>
      </c>
      <c r="X163" s="12">
        <v>436</v>
      </c>
      <c r="Y163" s="12"/>
      <c r="Z163" s="12">
        <f t="shared" si="33"/>
        <v>28.300000000000004</v>
      </c>
      <c r="AA163" s="12"/>
      <c r="AB163" s="12">
        <f t="shared" si="33"/>
        <v>32900</v>
      </c>
      <c r="AC163" s="12"/>
      <c r="AD163" s="12">
        <f t="shared" si="33"/>
        <v>138600</v>
      </c>
      <c r="AE163" s="12">
        <v>9600</v>
      </c>
      <c r="AF163" s="12">
        <f t="shared" si="33"/>
        <v>105100</v>
      </c>
      <c r="AG163" s="12"/>
      <c r="AH163" s="12">
        <f t="shared" si="34"/>
        <v>540000</v>
      </c>
      <c r="AI163" s="12"/>
      <c r="AJ163" s="12">
        <f t="shared" si="34"/>
        <v>836000</v>
      </c>
    </row>
    <row r="164" spans="23:36" x14ac:dyDescent="0.2">
      <c r="W164" s="27" t="str">
        <f>TRUNC((X164+6)*10/80)&amp;"-"&amp;((X164+6)/8-TRUNC((X164+6)/8))*80</f>
        <v>55-50</v>
      </c>
      <c r="X164" s="12">
        <v>439</v>
      </c>
      <c r="Y164" s="12"/>
      <c r="Z164" s="12">
        <f t="shared" si="33"/>
        <v>28.300000000000004</v>
      </c>
      <c r="AA164" s="12"/>
      <c r="AB164" s="12">
        <f t="shared" si="33"/>
        <v>32900</v>
      </c>
      <c r="AC164" s="12"/>
      <c r="AD164" s="12">
        <f t="shared" si="33"/>
        <v>138600</v>
      </c>
      <c r="AE164" s="12"/>
      <c r="AF164" s="12">
        <f t="shared" si="33"/>
        <v>105100</v>
      </c>
      <c r="AG164" s="12">
        <v>54000</v>
      </c>
      <c r="AH164" s="12">
        <f t="shared" si="34"/>
        <v>594000</v>
      </c>
      <c r="AI164" s="12"/>
      <c r="AJ164" s="12">
        <f t="shared" si="34"/>
        <v>836000</v>
      </c>
    </row>
    <row r="165" spans="23:36" x14ac:dyDescent="0.2">
      <c r="W165" s="27" t="str">
        <f>TRUNC((X165+6)*10/80)&amp;"-"&amp;((X165+6)/8-TRUNC((X165+6)/8))*80</f>
        <v>56-0</v>
      </c>
      <c r="X165" s="12">
        <v>442</v>
      </c>
      <c r="Y165" s="12"/>
      <c r="Z165" s="12">
        <f t="shared" si="33"/>
        <v>28.300000000000004</v>
      </c>
      <c r="AA165" s="12"/>
      <c r="AB165" s="12">
        <f t="shared" si="33"/>
        <v>32900</v>
      </c>
      <c r="AC165" s="12"/>
      <c r="AD165" s="12">
        <f t="shared" si="33"/>
        <v>138600</v>
      </c>
      <c r="AE165" s="12"/>
      <c r="AF165" s="12">
        <f t="shared" si="33"/>
        <v>105100</v>
      </c>
      <c r="AG165" s="12"/>
      <c r="AH165" s="12">
        <f t="shared" si="34"/>
        <v>594000</v>
      </c>
      <c r="AI165" s="12">
        <v>84000</v>
      </c>
      <c r="AJ165" s="12">
        <f t="shared" si="34"/>
        <v>920000</v>
      </c>
    </row>
    <row r="166" spans="23:36" x14ac:dyDescent="0.2">
      <c r="W166" s="27" t="str">
        <f>TRUNC((X166+6)*10/80)&amp;"-"&amp;((X166+6)/8-TRUNC((X166+6)/8))*80</f>
        <v>56-30</v>
      </c>
      <c r="X166" s="12">
        <v>445</v>
      </c>
      <c r="Y166" s="58">
        <v>2.4</v>
      </c>
      <c r="Z166" s="12">
        <f t="shared" ref="Z166:AF171" si="40">Y166+Z165</f>
        <v>30.700000000000003</v>
      </c>
      <c r="AA166" s="12"/>
      <c r="AB166" s="12">
        <f t="shared" si="40"/>
        <v>32900</v>
      </c>
      <c r="AC166" s="12"/>
      <c r="AD166" s="12">
        <f t="shared" si="40"/>
        <v>138600</v>
      </c>
      <c r="AE166" s="12"/>
      <c r="AF166" s="12">
        <f t="shared" si="40"/>
        <v>105100</v>
      </c>
      <c r="AG166" s="12"/>
      <c r="AH166" s="12">
        <f t="shared" ref="AH166:AH171" si="41">AG166+AH165</f>
        <v>594000</v>
      </c>
      <c r="AI166" s="12"/>
      <c r="AJ166" s="12">
        <f t="shared" si="34"/>
        <v>920000</v>
      </c>
    </row>
    <row r="167" spans="23:36" x14ac:dyDescent="0.2">
      <c r="W167" s="27" t="str">
        <f>TRUNC((X167+6)*10/80)&amp;"-"&amp;((X167+6)/8-TRUNC((X167+6)/8))*80</f>
        <v>56-60</v>
      </c>
      <c r="X167" s="12">
        <v>448</v>
      </c>
      <c r="Y167" s="12"/>
      <c r="Z167" s="12">
        <f t="shared" si="40"/>
        <v>30.700000000000003</v>
      </c>
      <c r="AA167" s="12">
        <v>3000</v>
      </c>
      <c r="AB167" s="12">
        <f t="shared" si="40"/>
        <v>35900</v>
      </c>
      <c r="AC167" s="12"/>
      <c r="AD167" s="12">
        <f t="shared" si="40"/>
        <v>138600</v>
      </c>
      <c r="AE167" s="12"/>
      <c r="AF167" s="12">
        <f t="shared" si="40"/>
        <v>105100</v>
      </c>
      <c r="AG167" s="12"/>
      <c r="AH167" s="12">
        <f t="shared" si="41"/>
        <v>594000</v>
      </c>
      <c r="AI167" s="12"/>
      <c r="AJ167" s="12">
        <f t="shared" si="34"/>
        <v>920000</v>
      </c>
    </row>
    <row r="168" spans="23:36" x14ac:dyDescent="0.2">
      <c r="W168" s="27" t="str">
        <f>TRUNC((X168+6)*10/80)&amp;"-"&amp;((X168+6)/8-TRUNC((X168+6)/8))*80</f>
        <v>57-10</v>
      </c>
      <c r="X168" s="12">
        <v>451</v>
      </c>
      <c r="Y168" s="12"/>
      <c r="Z168" s="12">
        <f t="shared" si="40"/>
        <v>30.700000000000003</v>
      </c>
      <c r="AA168" s="12"/>
      <c r="AB168" s="12">
        <f t="shared" si="40"/>
        <v>35900</v>
      </c>
      <c r="AC168" s="12">
        <v>12600</v>
      </c>
      <c r="AD168" s="12">
        <f t="shared" si="40"/>
        <v>151200</v>
      </c>
      <c r="AE168" s="12"/>
      <c r="AF168" s="12">
        <f t="shared" si="40"/>
        <v>105100</v>
      </c>
      <c r="AG168" s="12"/>
      <c r="AH168" s="12">
        <f t="shared" si="41"/>
        <v>594000</v>
      </c>
      <c r="AI168" s="12"/>
      <c r="AJ168" s="12">
        <f t="shared" si="34"/>
        <v>920000</v>
      </c>
    </row>
    <row r="169" spans="23:36" x14ac:dyDescent="0.2">
      <c r="W169" s="27" t="str">
        <f>TRUNC((X169+6)*10/80)&amp;"-"&amp;((X169+6)/8-TRUNC((X169+6)/8))*80</f>
        <v>57-40</v>
      </c>
      <c r="X169" s="12">
        <v>454</v>
      </c>
      <c r="Y169" s="12"/>
      <c r="Z169" s="12">
        <f t="shared" si="40"/>
        <v>30.700000000000003</v>
      </c>
      <c r="AA169" s="12"/>
      <c r="AB169" s="12">
        <f t="shared" si="40"/>
        <v>35900</v>
      </c>
      <c r="AC169" s="12"/>
      <c r="AD169" s="12">
        <f t="shared" si="40"/>
        <v>151200</v>
      </c>
      <c r="AE169" s="12">
        <v>9600</v>
      </c>
      <c r="AF169" s="12">
        <f t="shared" si="40"/>
        <v>114700</v>
      </c>
      <c r="AG169" s="12"/>
      <c r="AH169" s="12">
        <f t="shared" si="41"/>
        <v>594000</v>
      </c>
      <c r="AI169" s="12"/>
      <c r="AJ169" s="12">
        <f t="shared" si="34"/>
        <v>920000</v>
      </c>
    </row>
    <row r="170" spans="23:36" x14ac:dyDescent="0.2">
      <c r="W170" s="27" t="str">
        <f>TRUNC((X170+6)*10/80)&amp;"-"&amp;((X170+6)/8-TRUNC((X170+6)/8))*80</f>
        <v>57-70</v>
      </c>
      <c r="X170" s="12">
        <v>457</v>
      </c>
      <c r="Y170" s="12"/>
      <c r="Z170" s="12">
        <f t="shared" si="40"/>
        <v>30.700000000000003</v>
      </c>
      <c r="AA170" s="12"/>
      <c r="AB170" s="12">
        <f t="shared" si="40"/>
        <v>35900</v>
      </c>
      <c r="AC170" s="12"/>
      <c r="AD170" s="12">
        <f t="shared" si="40"/>
        <v>151200</v>
      </c>
      <c r="AE170" s="12"/>
      <c r="AF170" s="12">
        <f t="shared" si="40"/>
        <v>114700</v>
      </c>
      <c r="AG170" s="12">
        <v>54000</v>
      </c>
      <c r="AH170" s="12">
        <f t="shared" si="41"/>
        <v>648000</v>
      </c>
      <c r="AI170" s="12"/>
      <c r="AJ170" s="12">
        <f t="shared" si="34"/>
        <v>920000</v>
      </c>
    </row>
    <row r="171" spans="23:36" x14ac:dyDescent="0.2">
      <c r="W171" s="27" t="str">
        <f>TRUNC((X171+6)*10/80)&amp;"-"&amp;((X171+6)/8-TRUNC((X171+6)/8))*80</f>
        <v>58-20</v>
      </c>
      <c r="X171" s="12">
        <v>460</v>
      </c>
      <c r="Y171" s="12"/>
      <c r="Z171" s="12">
        <f t="shared" si="40"/>
        <v>30.700000000000003</v>
      </c>
      <c r="AA171" s="12"/>
      <c r="AB171" s="12">
        <f t="shared" si="40"/>
        <v>35900</v>
      </c>
      <c r="AC171" s="12"/>
      <c r="AD171" s="12">
        <f t="shared" si="40"/>
        <v>151200</v>
      </c>
      <c r="AE171" s="12"/>
      <c r="AF171" s="12">
        <f t="shared" si="40"/>
        <v>114700</v>
      </c>
      <c r="AG171" s="12"/>
      <c r="AH171" s="12">
        <f t="shared" si="41"/>
        <v>648000</v>
      </c>
      <c r="AI171" s="12">
        <v>84000</v>
      </c>
      <c r="AJ171" s="12">
        <f t="shared" si="34"/>
        <v>1004000</v>
      </c>
    </row>
    <row r="172" spans="23:36" x14ac:dyDescent="0.2">
      <c r="W172" s="27" t="str">
        <f>TRUNC((X172+6)*10/80)&amp;"-"&amp;((X172+6)/8-TRUNC((X172+6)/8))*80</f>
        <v>58-50</v>
      </c>
      <c r="X172" s="12">
        <v>463</v>
      </c>
      <c r="Y172" s="58">
        <v>3</v>
      </c>
      <c r="Z172" s="12">
        <f t="shared" si="33"/>
        <v>33.700000000000003</v>
      </c>
      <c r="AA172" s="12"/>
      <c r="AB172" s="12">
        <f t="shared" si="33"/>
        <v>35900</v>
      </c>
      <c r="AC172" s="12"/>
      <c r="AD172" s="12">
        <f t="shared" si="33"/>
        <v>151200</v>
      </c>
      <c r="AE172" s="12"/>
      <c r="AF172" s="12">
        <f t="shared" si="33"/>
        <v>114700</v>
      </c>
      <c r="AG172" s="12"/>
      <c r="AH172" s="12">
        <f t="shared" si="34"/>
        <v>648000</v>
      </c>
      <c r="AI172" s="12"/>
      <c r="AJ172" s="12">
        <f t="shared" si="34"/>
        <v>1004000</v>
      </c>
    </row>
    <row r="173" spans="23:36" x14ac:dyDescent="0.2">
      <c r="W173" s="27" t="str">
        <f>TRUNC((X173+6)*10/80)&amp;"-"&amp;((X173+6)/8-TRUNC((X173+6)/8))*80</f>
        <v>59-0</v>
      </c>
      <c r="X173" s="12">
        <v>466</v>
      </c>
      <c r="Y173" s="12"/>
      <c r="Z173" s="12">
        <f t="shared" si="33"/>
        <v>33.700000000000003</v>
      </c>
      <c r="AA173" s="12">
        <v>4000</v>
      </c>
      <c r="AB173" s="12">
        <f t="shared" si="33"/>
        <v>39900</v>
      </c>
      <c r="AC173" s="12"/>
      <c r="AD173" s="12">
        <f t="shared" si="33"/>
        <v>151200</v>
      </c>
      <c r="AE173" s="12"/>
      <c r="AF173" s="12">
        <f t="shared" si="33"/>
        <v>114700</v>
      </c>
      <c r="AG173" s="12"/>
      <c r="AH173" s="12">
        <f t="shared" si="34"/>
        <v>648000</v>
      </c>
      <c r="AI173" s="12"/>
      <c r="AJ173" s="12">
        <f t="shared" si="34"/>
        <v>1004000</v>
      </c>
    </row>
    <row r="174" spans="23:36" x14ac:dyDescent="0.2">
      <c r="W174" s="27" t="str">
        <f>TRUNC((X174+6)*10/80)&amp;"-"&amp;((X174+6)/8-TRUNC((X174+6)/8))*80</f>
        <v>59-30</v>
      </c>
      <c r="X174" s="12">
        <v>469</v>
      </c>
      <c r="Y174" s="12"/>
      <c r="Z174" s="12">
        <f t="shared" si="33"/>
        <v>33.700000000000003</v>
      </c>
      <c r="AA174" s="12"/>
      <c r="AB174" s="12">
        <f t="shared" si="33"/>
        <v>39900</v>
      </c>
      <c r="AC174" s="12">
        <v>17000</v>
      </c>
      <c r="AD174" s="12">
        <f t="shared" si="33"/>
        <v>168200</v>
      </c>
      <c r="AE174" s="12"/>
      <c r="AF174" s="12">
        <f t="shared" si="33"/>
        <v>114700</v>
      </c>
      <c r="AG174" s="12"/>
      <c r="AH174" s="12">
        <f t="shared" si="34"/>
        <v>648000</v>
      </c>
      <c r="AI174" s="12"/>
      <c r="AJ174" s="12">
        <f t="shared" si="34"/>
        <v>1004000</v>
      </c>
    </row>
    <row r="175" spans="23:36" x14ac:dyDescent="0.2">
      <c r="W175" s="27" t="str">
        <f>TRUNC((X175+6)*10/80)&amp;"-"&amp;((X175+6)/8-TRUNC((X175+6)/8))*80</f>
        <v>59-60</v>
      </c>
      <c r="X175" s="12">
        <v>472</v>
      </c>
      <c r="Y175" s="12"/>
      <c r="Z175" s="12">
        <f t="shared" si="33"/>
        <v>33.700000000000003</v>
      </c>
      <c r="AA175" s="12"/>
      <c r="AB175" s="12">
        <f t="shared" si="33"/>
        <v>39900</v>
      </c>
      <c r="AC175" s="12"/>
      <c r="AD175" s="12">
        <f t="shared" si="33"/>
        <v>168200</v>
      </c>
      <c r="AE175" s="12">
        <v>12800</v>
      </c>
      <c r="AF175" s="12">
        <f t="shared" si="33"/>
        <v>127500</v>
      </c>
      <c r="AG175" s="12"/>
      <c r="AH175" s="12">
        <f t="shared" si="34"/>
        <v>648000</v>
      </c>
      <c r="AI175" s="12"/>
      <c r="AJ175" s="12">
        <f t="shared" si="34"/>
        <v>1004000</v>
      </c>
    </row>
    <row r="176" spans="23:36" x14ac:dyDescent="0.2">
      <c r="W176" s="27" t="str">
        <f>TRUNC((X176+6)*10/80)&amp;"-"&amp;((X176+6)/8-TRUNC((X176+6)/8))*80</f>
        <v>60-10</v>
      </c>
      <c r="X176" s="12">
        <v>475</v>
      </c>
      <c r="Y176" s="12"/>
      <c r="Z176" s="12">
        <f t="shared" si="33"/>
        <v>33.700000000000003</v>
      </c>
      <c r="AA176" s="12"/>
      <c r="AB176" s="12">
        <f t="shared" si="33"/>
        <v>39900</v>
      </c>
      <c r="AC176" s="12"/>
      <c r="AD176" s="12">
        <f t="shared" si="33"/>
        <v>168200</v>
      </c>
      <c r="AE176" s="12"/>
      <c r="AF176" s="12">
        <f t="shared" si="33"/>
        <v>127500</v>
      </c>
      <c r="AG176" s="12">
        <v>72000</v>
      </c>
      <c r="AH176" s="12">
        <f t="shared" si="34"/>
        <v>720000</v>
      </c>
      <c r="AI176" s="12"/>
      <c r="AJ176" s="12">
        <f t="shared" si="34"/>
        <v>1004000</v>
      </c>
    </row>
    <row r="177" spans="23:36" x14ac:dyDescent="0.2">
      <c r="W177" s="27" t="str">
        <f>TRUNC((X177+6)*10/80)&amp;"-"&amp;((X177+6)/8-TRUNC((X177+6)/8))*80</f>
        <v>60-40</v>
      </c>
      <c r="X177" s="12">
        <v>478</v>
      </c>
      <c r="Y177" s="12"/>
      <c r="Z177" s="12">
        <f t="shared" si="33"/>
        <v>33.700000000000003</v>
      </c>
      <c r="AA177" s="12"/>
      <c r="AB177" s="12">
        <f t="shared" si="33"/>
        <v>39900</v>
      </c>
      <c r="AC177" s="12"/>
      <c r="AD177" s="12">
        <f t="shared" si="33"/>
        <v>168200</v>
      </c>
      <c r="AE177" s="12"/>
      <c r="AF177" s="12">
        <f t="shared" si="33"/>
        <v>127500</v>
      </c>
      <c r="AG177" s="12"/>
      <c r="AH177" s="12">
        <f t="shared" si="34"/>
        <v>720000</v>
      </c>
      <c r="AI177" s="12">
        <v>115000</v>
      </c>
      <c r="AJ177" s="12">
        <f t="shared" si="34"/>
        <v>1119000</v>
      </c>
    </row>
    <row r="178" spans="23:36" x14ac:dyDescent="0.2">
      <c r="W178" s="27" t="str">
        <f>TRUNC((X178+6)*10/80)&amp;"-"&amp;((X178+6)/8-TRUNC((X178+6)/8))*80</f>
        <v>60-70</v>
      </c>
      <c r="X178" s="12">
        <v>481</v>
      </c>
      <c r="Y178" s="58">
        <v>3</v>
      </c>
      <c r="Z178" s="12">
        <f t="shared" ref="Z178:AF183" si="42">Y178+Z177</f>
        <v>36.700000000000003</v>
      </c>
      <c r="AA178" s="12"/>
      <c r="AB178" s="12">
        <f t="shared" si="42"/>
        <v>39900</v>
      </c>
      <c r="AC178" s="12"/>
      <c r="AD178" s="12">
        <f t="shared" si="42"/>
        <v>168200</v>
      </c>
      <c r="AE178" s="12"/>
      <c r="AF178" s="12">
        <f t="shared" si="42"/>
        <v>127500</v>
      </c>
      <c r="AG178" s="12"/>
      <c r="AH178" s="12">
        <f t="shared" ref="AH178:AH183" si="43">AG178+AH177</f>
        <v>720000</v>
      </c>
      <c r="AI178" s="12"/>
      <c r="AJ178" s="12">
        <f t="shared" si="34"/>
        <v>1119000</v>
      </c>
    </row>
    <row r="179" spans="23:36" x14ac:dyDescent="0.2">
      <c r="W179" s="27" t="str">
        <f>TRUNC((X179+6)*10/80)&amp;"-"&amp;((X179+6)/8-TRUNC((X179+6)/8))*80</f>
        <v>61-20</v>
      </c>
      <c r="X179" s="12">
        <v>484</v>
      </c>
      <c r="Y179" s="12"/>
      <c r="Z179" s="12">
        <f t="shared" si="42"/>
        <v>36.700000000000003</v>
      </c>
      <c r="AA179" s="12">
        <v>4000</v>
      </c>
      <c r="AB179" s="12">
        <f t="shared" si="42"/>
        <v>43900</v>
      </c>
      <c r="AC179" s="12"/>
      <c r="AD179" s="12">
        <f t="shared" si="42"/>
        <v>168200</v>
      </c>
      <c r="AE179" s="12"/>
      <c r="AF179" s="12">
        <f t="shared" si="42"/>
        <v>127500</v>
      </c>
      <c r="AG179" s="12"/>
      <c r="AH179" s="12">
        <f t="shared" si="43"/>
        <v>720000</v>
      </c>
      <c r="AI179" s="12"/>
      <c r="AJ179" s="12">
        <f t="shared" si="34"/>
        <v>1119000</v>
      </c>
    </row>
    <row r="180" spans="23:36" x14ac:dyDescent="0.2">
      <c r="W180" s="27" t="str">
        <f>TRUNC((X180+6)*10/80)&amp;"-"&amp;((X180+6)/8-TRUNC((X180+6)/8))*80</f>
        <v>61-50</v>
      </c>
      <c r="X180" s="12">
        <v>487</v>
      </c>
      <c r="Y180" s="12"/>
      <c r="Z180" s="12">
        <f t="shared" si="42"/>
        <v>36.700000000000003</v>
      </c>
      <c r="AA180" s="12"/>
      <c r="AB180" s="12">
        <f t="shared" si="42"/>
        <v>43900</v>
      </c>
      <c r="AC180" s="12">
        <v>17000</v>
      </c>
      <c r="AD180" s="12">
        <f t="shared" si="42"/>
        <v>185200</v>
      </c>
      <c r="AE180" s="12"/>
      <c r="AF180" s="12">
        <f t="shared" si="42"/>
        <v>127500</v>
      </c>
      <c r="AG180" s="12"/>
      <c r="AH180" s="12">
        <f t="shared" si="43"/>
        <v>720000</v>
      </c>
      <c r="AI180" s="12"/>
      <c r="AJ180" s="12">
        <f t="shared" si="34"/>
        <v>1119000</v>
      </c>
    </row>
    <row r="181" spans="23:36" x14ac:dyDescent="0.2">
      <c r="W181" s="27" t="str">
        <f>TRUNC((X181+6)*10/80)&amp;"-"&amp;((X181+6)/8-TRUNC((X181+6)/8))*80</f>
        <v>62-0</v>
      </c>
      <c r="X181" s="12">
        <v>490</v>
      </c>
      <c r="Y181" s="12"/>
      <c r="Z181" s="12">
        <f t="shared" si="42"/>
        <v>36.700000000000003</v>
      </c>
      <c r="AA181" s="12"/>
      <c r="AB181" s="12">
        <f t="shared" si="42"/>
        <v>43900</v>
      </c>
      <c r="AC181" s="12"/>
      <c r="AD181" s="12">
        <f t="shared" si="42"/>
        <v>185200</v>
      </c>
      <c r="AE181" s="12">
        <v>12800</v>
      </c>
      <c r="AF181" s="12">
        <f t="shared" si="42"/>
        <v>140300</v>
      </c>
      <c r="AG181" s="12"/>
      <c r="AH181" s="12">
        <f t="shared" si="43"/>
        <v>720000</v>
      </c>
      <c r="AI181" s="12"/>
      <c r="AJ181" s="12">
        <f t="shared" si="34"/>
        <v>1119000</v>
      </c>
    </row>
    <row r="182" spans="23:36" x14ac:dyDescent="0.2">
      <c r="W182" s="27" t="str">
        <f>TRUNC((X182+6)*10/80)&amp;"-"&amp;((X182+6)/8-TRUNC((X182+6)/8))*80</f>
        <v>62-30</v>
      </c>
      <c r="X182" s="12">
        <v>493</v>
      </c>
      <c r="Y182" s="12"/>
      <c r="Z182" s="12">
        <f t="shared" si="42"/>
        <v>36.700000000000003</v>
      </c>
      <c r="AA182" s="12"/>
      <c r="AB182" s="12">
        <f t="shared" si="42"/>
        <v>43900</v>
      </c>
      <c r="AC182" s="12"/>
      <c r="AD182" s="12">
        <f t="shared" si="42"/>
        <v>185200</v>
      </c>
      <c r="AE182" s="12"/>
      <c r="AF182" s="12">
        <f t="shared" si="42"/>
        <v>140300</v>
      </c>
      <c r="AG182" s="12">
        <v>72000</v>
      </c>
      <c r="AH182" s="12">
        <f t="shared" si="43"/>
        <v>792000</v>
      </c>
      <c r="AI182" s="12"/>
      <c r="AJ182" s="12">
        <f t="shared" si="34"/>
        <v>1119000</v>
      </c>
    </row>
    <row r="183" spans="23:36" x14ac:dyDescent="0.2">
      <c r="W183" s="27" t="str">
        <f>TRUNC((X183+6)*10/80)&amp;"-"&amp;((X183+6)/8-TRUNC((X183+6)/8))*80</f>
        <v>62-60</v>
      </c>
      <c r="X183" s="12">
        <v>496</v>
      </c>
      <c r="Y183" s="12"/>
      <c r="Z183" s="12">
        <f t="shared" si="42"/>
        <v>36.700000000000003</v>
      </c>
      <c r="AA183" s="12"/>
      <c r="AB183" s="12">
        <f t="shared" si="42"/>
        <v>43900</v>
      </c>
      <c r="AC183" s="12"/>
      <c r="AD183" s="12">
        <f t="shared" si="42"/>
        <v>185200</v>
      </c>
      <c r="AE183" s="12"/>
      <c r="AF183" s="12">
        <f t="shared" si="42"/>
        <v>140300</v>
      </c>
      <c r="AG183" s="12"/>
      <c r="AH183" s="12">
        <f t="shared" si="43"/>
        <v>792000</v>
      </c>
      <c r="AI183" s="12">
        <v>115000</v>
      </c>
      <c r="AJ183" s="12">
        <f t="shared" si="34"/>
        <v>1234000</v>
      </c>
    </row>
    <row r="184" spans="23:36" x14ac:dyDescent="0.2">
      <c r="W184" s="27" t="str">
        <f>TRUNC((X184+6)*10/80)&amp;"-"&amp;((X184+6)/8-TRUNC((X184+6)/8))*80</f>
        <v>63-10</v>
      </c>
      <c r="X184" s="12">
        <v>499</v>
      </c>
      <c r="Y184" s="58">
        <v>1.5</v>
      </c>
      <c r="Z184" s="12">
        <f t="shared" si="33"/>
        <v>38.200000000000003</v>
      </c>
      <c r="AA184" s="12"/>
      <c r="AB184" s="12">
        <f t="shared" si="33"/>
        <v>43900</v>
      </c>
      <c r="AC184" s="12"/>
      <c r="AD184" s="12">
        <f t="shared" si="33"/>
        <v>185200</v>
      </c>
      <c r="AE184" s="12"/>
      <c r="AF184" s="12">
        <f t="shared" si="33"/>
        <v>140300</v>
      </c>
      <c r="AG184" s="12"/>
      <c r="AH184" s="12">
        <f t="shared" si="34"/>
        <v>792000</v>
      </c>
      <c r="AI184" s="12"/>
      <c r="AJ184" s="12">
        <f t="shared" si="34"/>
        <v>1234000</v>
      </c>
    </row>
    <row r="185" spans="23:36" x14ac:dyDescent="0.2">
      <c r="W185" s="27" t="str">
        <f>TRUNC((X185+6)*10/80)&amp;"-"&amp;((X185+6)/8-TRUNC((X185+6)/8))*80</f>
        <v>63-40</v>
      </c>
      <c r="X185" s="12">
        <v>502</v>
      </c>
      <c r="Y185" s="12"/>
      <c r="Z185" s="12">
        <f t="shared" si="33"/>
        <v>38.200000000000003</v>
      </c>
      <c r="AA185" s="12">
        <v>4000</v>
      </c>
      <c r="AB185" s="12">
        <f t="shared" ref="AB185:AB190" si="44">AA185+AB184</f>
        <v>47900</v>
      </c>
      <c r="AC185" s="12"/>
      <c r="AD185" s="12">
        <f t="shared" ref="AD185:AD190" si="45">AC185+AD184</f>
        <v>185200</v>
      </c>
      <c r="AE185" s="12"/>
      <c r="AF185" s="12">
        <f t="shared" ref="AF185:AF190" si="46">AE185+AF184</f>
        <v>140300</v>
      </c>
      <c r="AG185" s="12"/>
      <c r="AH185" s="12">
        <f t="shared" si="34"/>
        <v>792000</v>
      </c>
      <c r="AI185" s="12"/>
      <c r="AJ185" s="12">
        <f t="shared" si="34"/>
        <v>1234000</v>
      </c>
    </row>
    <row r="186" spans="23:36" x14ac:dyDescent="0.2">
      <c r="W186" s="27" t="str">
        <f>TRUNC((X186+6)*10/80)&amp;"-"&amp;((X186+6)/8-TRUNC((X186+6)/8))*80</f>
        <v>63-70</v>
      </c>
      <c r="X186" s="12">
        <v>505</v>
      </c>
      <c r="Y186" s="12"/>
      <c r="Z186" s="12">
        <f t="shared" si="33"/>
        <v>38.200000000000003</v>
      </c>
      <c r="AA186" s="12"/>
      <c r="AB186" s="12">
        <f t="shared" si="44"/>
        <v>47900</v>
      </c>
      <c r="AC186" s="12">
        <v>17000</v>
      </c>
      <c r="AD186" s="12">
        <f t="shared" si="45"/>
        <v>202200</v>
      </c>
      <c r="AE186" s="12"/>
      <c r="AF186" s="12">
        <f t="shared" si="46"/>
        <v>140300</v>
      </c>
      <c r="AG186" s="12"/>
      <c r="AH186" s="12">
        <f t="shared" si="34"/>
        <v>792000</v>
      </c>
      <c r="AI186" s="12"/>
      <c r="AJ186" s="12">
        <f t="shared" si="34"/>
        <v>1234000</v>
      </c>
    </row>
    <row r="187" spans="23:36" x14ac:dyDescent="0.2">
      <c r="W187" s="27" t="str">
        <f>TRUNC((X187+6)*10/80)&amp;"-"&amp;((X187+6)/8-TRUNC((X187+6)/8))*80</f>
        <v>64-20</v>
      </c>
      <c r="X187" s="12">
        <v>508</v>
      </c>
      <c r="Y187" s="12"/>
      <c r="Z187" s="12">
        <f t="shared" si="33"/>
        <v>38.200000000000003</v>
      </c>
      <c r="AA187" s="12"/>
      <c r="AB187" s="12">
        <f t="shared" si="44"/>
        <v>47900</v>
      </c>
      <c r="AC187" s="12"/>
      <c r="AD187" s="12">
        <f t="shared" si="45"/>
        <v>202200</v>
      </c>
      <c r="AE187" s="12">
        <v>12800</v>
      </c>
      <c r="AF187" s="12">
        <f t="shared" si="46"/>
        <v>153100</v>
      </c>
      <c r="AG187" s="12"/>
      <c r="AH187" s="12">
        <f t="shared" si="34"/>
        <v>792000</v>
      </c>
      <c r="AI187" s="12"/>
      <c r="AJ187" s="12">
        <f t="shared" si="34"/>
        <v>1234000</v>
      </c>
    </row>
    <row r="188" spans="23:36" x14ac:dyDescent="0.2">
      <c r="W188" s="27" t="str">
        <f>TRUNC((X188+6)*10/80)&amp;"-"&amp;((X188+6)/8-TRUNC((X188+6)/8))*80</f>
        <v>64-50</v>
      </c>
      <c r="X188" s="12">
        <v>511</v>
      </c>
      <c r="Y188" s="12"/>
      <c r="Z188" s="12">
        <f t="shared" si="33"/>
        <v>38.200000000000003</v>
      </c>
      <c r="AA188" s="12"/>
      <c r="AB188" s="12">
        <f t="shared" si="44"/>
        <v>47900</v>
      </c>
      <c r="AC188" s="12"/>
      <c r="AD188" s="12">
        <f t="shared" si="45"/>
        <v>202200</v>
      </c>
      <c r="AE188" s="12"/>
      <c r="AF188" s="12">
        <f t="shared" si="46"/>
        <v>153100</v>
      </c>
      <c r="AG188" s="12">
        <v>72000</v>
      </c>
      <c r="AH188" s="12">
        <f t="shared" si="34"/>
        <v>864000</v>
      </c>
      <c r="AI188" s="12"/>
      <c r="AJ188" s="12">
        <f t="shared" si="34"/>
        <v>1234000</v>
      </c>
    </row>
    <row r="189" spans="23:36" x14ac:dyDescent="0.2">
      <c r="W189" s="27" t="str">
        <f>TRUNC((X189+6)*10/80)&amp;"-"&amp;((X189+6)/8-TRUNC((X189+6)/8))*80</f>
        <v>65-0</v>
      </c>
      <c r="X189" s="12">
        <v>514</v>
      </c>
      <c r="Y189" s="12"/>
      <c r="Z189" s="12">
        <f t="shared" si="33"/>
        <v>38.200000000000003</v>
      </c>
      <c r="AA189" s="12"/>
      <c r="AB189" s="12">
        <f t="shared" si="44"/>
        <v>47900</v>
      </c>
      <c r="AC189" s="12"/>
      <c r="AD189" s="12">
        <f t="shared" si="45"/>
        <v>202200</v>
      </c>
      <c r="AE189" s="12"/>
      <c r="AF189" s="12">
        <f t="shared" si="46"/>
        <v>153100</v>
      </c>
      <c r="AG189" s="12"/>
      <c r="AH189" s="12">
        <f t="shared" si="34"/>
        <v>864000</v>
      </c>
      <c r="AI189" s="12">
        <v>115000</v>
      </c>
      <c r="AJ189" s="12">
        <f t="shared" si="34"/>
        <v>1349000</v>
      </c>
    </row>
    <row r="190" spans="23:36" x14ac:dyDescent="0.2">
      <c r="W190" s="27" t="str">
        <f>TRUNC((X190+6)*10/80)&amp;"-"&amp;((X190+6)/8-TRUNC((X190+6)/8))*80</f>
        <v>65-30</v>
      </c>
      <c r="X190" s="12">
        <v>517</v>
      </c>
      <c r="Y190" s="58">
        <v>1.5</v>
      </c>
      <c r="Z190" s="12">
        <f t="shared" ref="Z190:Z213" si="47">Y190+Z189</f>
        <v>39.700000000000003</v>
      </c>
      <c r="AA190" s="12"/>
      <c r="AB190" s="12">
        <f t="shared" si="44"/>
        <v>47900</v>
      </c>
      <c r="AC190" s="12"/>
      <c r="AD190" s="12">
        <f t="shared" si="45"/>
        <v>202200</v>
      </c>
      <c r="AE190" s="12"/>
      <c r="AF190" s="12">
        <f t="shared" si="46"/>
        <v>153100</v>
      </c>
      <c r="AG190" s="12"/>
      <c r="AH190" s="12">
        <f t="shared" ref="AH190:AH213" si="48">AG190+AH189</f>
        <v>864000</v>
      </c>
      <c r="AI190" s="12"/>
      <c r="AJ190" s="12">
        <f t="shared" si="34"/>
        <v>1349000</v>
      </c>
    </row>
    <row r="191" spans="23:36" x14ac:dyDescent="0.2">
      <c r="W191" s="27" t="str">
        <f>TRUNC((X191+6)*10/80)&amp;"-"&amp;((X191+6)/8-TRUNC((X191+6)/8))*80</f>
        <v>65-60</v>
      </c>
      <c r="X191" s="12">
        <v>520</v>
      </c>
      <c r="Y191" s="12"/>
      <c r="Z191" s="12">
        <f t="shared" si="47"/>
        <v>39.700000000000003</v>
      </c>
      <c r="AA191" s="12">
        <v>4000</v>
      </c>
      <c r="AB191" s="12">
        <f t="shared" ref="AB191:AB213" si="49">AA191+AB190</f>
        <v>51900</v>
      </c>
      <c r="AC191" s="12"/>
      <c r="AD191" s="12">
        <f t="shared" ref="AD191:AD213" si="50">AC191+AD190</f>
        <v>202200</v>
      </c>
      <c r="AE191" s="12"/>
      <c r="AF191" s="12">
        <f t="shared" ref="AF191:AF213" si="51">AE191+AF190</f>
        <v>153100</v>
      </c>
      <c r="AG191" s="12"/>
      <c r="AH191" s="12">
        <f t="shared" si="48"/>
        <v>864000</v>
      </c>
      <c r="AI191" s="12"/>
      <c r="AJ191" s="12">
        <f t="shared" si="34"/>
        <v>1349000</v>
      </c>
    </row>
    <row r="192" spans="23:36" x14ac:dyDescent="0.2">
      <c r="W192" s="27" t="str">
        <f>TRUNC((X192+6)*10/80)&amp;"-"&amp;((X192+6)/8-TRUNC((X192+6)/8))*80</f>
        <v>66-10</v>
      </c>
      <c r="X192" s="12">
        <v>523</v>
      </c>
      <c r="Y192" s="12"/>
      <c r="Z192" s="12">
        <f t="shared" si="47"/>
        <v>39.700000000000003</v>
      </c>
      <c r="AA192" s="12"/>
      <c r="AB192" s="12">
        <f t="shared" si="49"/>
        <v>51900</v>
      </c>
      <c r="AC192" s="12">
        <v>17000</v>
      </c>
      <c r="AD192" s="12">
        <f t="shared" si="50"/>
        <v>219200</v>
      </c>
      <c r="AE192" s="12"/>
      <c r="AF192" s="12">
        <f t="shared" si="51"/>
        <v>153100</v>
      </c>
      <c r="AG192" s="12"/>
      <c r="AH192" s="12">
        <f t="shared" si="48"/>
        <v>864000</v>
      </c>
      <c r="AI192" s="12"/>
      <c r="AJ192" s="12">
        <f t="shared" si="34"/>
        <v>1349000</v>
      </c>
    </row>
    <row r="193" spans="23:36" x14ac:dyDescent="0.2">
      <c r="W193" s="27" t="str">
        <f>TRUNC((X193+6)*10/80)&amp;"-"&amp;((X193+6)/8-TRUNC((X193+6)/8))*80</f>
        <v>66-40</v>
      </c>
      <c r="X193" s="12">
        <v>526</v>
      </c>
      <c r="Y193" s="12"/>
      <c r="Z193" s="12">
        <f t="shared" si="47"/>
        <v>39.700000000000003</v>
      </c>
      <c r="AA193" s="12"/>
      <c r="AB193" s="12">
        <f t="shared" si="49"/>
        <v>51900</v>
      </c>
      <c r="AC193" s="12"/>
      <c r="AD193" s="12">
        <f t="shared" si="50"/>
        <v>219200</v>
      </c>
      <c r="AE193" s="12">
        <v>12800</v>
      </c>
      <c r="AF193" s="12">
        <f t="shared" si="51"/>
        <v>165900</v>
      </c>
      <c r="AG193" s="12"/>
      <c r="AH193" s="12">
        <f t="shared" si="48"/>
        <v>864000</v>
      </c>
      <c r="AI193" s="12"/>
      <c r="AJ193" s="12">
        <f t="shared" si="34"/>
        <v>1349000</v>
      </c>
    </row>
    <row r="194" spans="23:36" x14ac:dyDescent="0.2">
      <c r="W194" s="27" t="str">
        <f>TRUNC((X194+6)*10/80)&amp;"-"&amp;((X194+6)/8-TRUNC((X194+6)/8))*80</f>
        <v>66-70</v>
      </c>
      <c r="X194" s="12">
        <v>529</v>
      </c>
      <c r="Y194" s="12"/>
      <c r="Z194" s="12">
        <f t="shared" si="47"/>
        <v>39.700000000000003</v>
      </c>
      <c r="AA194" s="12"/>
      <c r="AB194" s="12">
        <f t="shared" si="49"/>
        <v>51900</v>
      </c>
      <c r="AC194" s="12"/>
      <c r="AD194" s="12">
        <f t="shared" si="50"/>
        <v>219200</v>
      </c>
      <c r="AE194" s="12"/>
      <c r="AF194" s="12">
        <f t="shared" si="51"/>
        <v>165900</v>
      </c>
      <c r="AG194" s="12">
        <v>72000</v>
      </c>
      <c r="AH194" s="12">
        <f t="shared" si="48"/>
        <v>936000</v>
      </c>
      <c r="AI194" s="12"/>
      <c r="AJ194" s="12">
        <f t="shared" si="34"/>
        <v>1349000</v>
      </c>
    </row>
    <row r="195" spans="23:36" x14ac:dyDescent="0.2">
      <c r="W195" s="27" t="str">
        <f>TRUNC((X195+6)*10/80)&amp;"-"&amp;((X195+6)/8-TRUNC((X195+6)/8))*80</f>
        <v>67-20</v>
      </c>
      <c r="X195" s="12">
        <v>532</v>
      </c>
      <c r="Y195" s="12"/>
      <c r="Z195" s="12">
        <f t="shared" si="47"/>
        <v>39.700000000000003</v>
      </c>
      <c r="AA195" s="12"/>
      <c r="AB195" s="12">
        <f t="shared" si="49"/>
        <v>51900</v>
      </c>
      <c r="AC195" s="12"/>
      <c r="AD195" s="12">
        <f t="shared" si="50"/>
        <v>219200</v>
      </c>
      <c r="AE195" s="12"/>
      <c r="AF195" s="12">
        <f t="shared" si="51"/>
        <v>165900</v>
      </c>
      <c r="AG195" s="12"/>
      <c r="AH195" s="12">
        <f t="shared" si="48"/>
        <v>936000</v>
      </c>
      <c r="AI195" s="12">
        <v>115000</v>
      </c>
      <c r="AJ195" s="12">
        <f t="shared" si="34"/>
        <v>1464000</v>
      </c>
    </row>
    <row r="196" spans="23:36" x14ac:dyDescent="0.2">
      <c r="W196" s="27" t="str">
        <f>TRUNC((X196+6)*10/80)&amp;"-"&amp;((X196+6)/8-TRUNC((X196+6)/8))*80</f>
        <v>67-50</v>
      </c>
      <c r="X196" s="12">
        <v>535</v>
      </c>
      <c r="Y196" s="58">
        <v>1.5</v>
      </c>
      <c r="Z196" s="12">
        <f t="shared" si="47"/>
        <v>41.2</v>
      </c>
      <c r="AA196" s="12"/>
      <c r="AB196" s="12">
        <f t="shared" si="49"/>
        <v>51900</v>
      </c>
      <c r="AC196" s="12"/>
      <c r="AD196" s="12">
        <f t="shared" si="50"/>
        <v>219200</v>
      </c>
      <c r="AE196" s="12"/>
      <c r="AF196" s="12">
        <f t="shared" si="51"/>
        <v>165900</v>
      </c>
      <c r="AG196" s="12"/>
      <c r="AH196" s="12">
        <f t="shared" si="48"/>
        <v>936000</v>
      </c>
      <c r="AI196" s="12"/>
      <c r="AJ196" s="12">
        <f t="shared" si="34"/>
        <v>1464000</v>
      </c>
    </row>
    <row r="197" spans="23:36" x14ac:dyDescent="0.2">
      <c r="W197" s="27" t="str">
        <f>TRUNC((X197+6)*10/80)&amp;"-"&amp;((X197+6)/8-TRUNC((X197+6)/8))*80</f>
        <v>68-0</v>
      </c>
      <c r="X197" s="12">
        <v>538</v>
      </c>
      <c r="Y197" s="12"/>
      <c r="Z197" s="12">
        <f t="shared" si="47"/>
        <v>41.2</v>
      </c>
      <c r="AA197" s="12">
        <v>4000</v>
      </c>
      <c r="AB197" s="12">
        <f t="shared" si="49"/>
        <v>55900</v>
      </c>
      <c r="AC197" s="12"/>
      <c r="AD197" s="12">
        <f t="shared" si="50"/>
        <v>219200</v>
      </c>
      <c r="AE197" s="12"/>
      <c r="AF197" s="12">
        <f t="shared" si="51"/>
        <v>165900</v>
      </c>
      <c r="AG197" s="12"/>
      <c r="AH197" s="12">
        <f t="shared" si="48"/>
        <v>936000</v>
      </c>
      <c r="AI197" s="12"/>
      <c r="AJ197" s="12">
        <f t="shared" si="34"/>
        <v>1464000</v>
      </c>
    </row>
    <row r="198" spans="23:36" x14ac:dyDescent="0.2">
      <c r="W198" s="27" t="str">
        <f>TRUNC((X198+6)*10/80)&amp;"-"&amp;((X198+6)/8-TRUNC((X198+6)/8))*80</f>
        <v>68-30</v>
      </c>
      <c r="X198" s="12">
        <v>541</v>
      </c>
      <c r="Y198" s="12"/>
      <c r="Z198" s="12">
        <f t="shared" si="47"/>
        <v>41.2</v>
      </c>
      <c r="AA198" s="12"/>
      <c r="AB198" s="12">
        <f t="shared" si="49"/>
        <v>55900</v>
      </c>
      <c r="AC198" s="12">
        <v>17000</v>
      </c>
      <c r="AD198" s="12">
        <f t="shared" si="50"/>
        <v>236200</v>
      </c>
      <c r="AE198" s="12"/>
      <c r="AF198" s="12">
        <f t="shared" si="51"/>
        <v>165900</v>
      </c>
      <c r="AG198" s="12"/>
      <c r="AH198" s="12">
        <f t="shared" si="48"/>
        <v>936000</v>
      </c>
      <c r="AI198" s="12"/>
      <c r="AJ198" s="12">
        <f t="shared" ref="Z198:AJ218" si="52">AI198+AJ197</f>
        <v>1464000</v>
      </c>
    </row>
    <row r="199" spans="23:36" x14ac:dyDescent="0.2">
      <c r="W199" s="27" t="str">
        <f>TRUNC((X199+6)*10/80)&amp;"-"&amp;((X199+6)/8-TRUNC((X199+6)/8))*80</f>
        <v>68-60</v>
      </c>
      <c r="X199" s="12">
        <v>544</v>
      </c>
      <c r="Y199" s="12"/>
      <c r="Z199" s="12">
        <f t="shared" si="47"/>
        <v>41.2</v>
      </c>
      <c r="AA199" s="12"/>
      <c r="AB199" s="12">
        <f t="shared" si="49"/>
        <v>55900</v>
      </c>
      <c r="AC199" s="12"/>
      <c r="AD199" s="12">
        <f t="shared" si="50"/>
        <v>236200</v>
      </c>
      <c r="AE199" s="12">
        <v>12800</v>
      </c>
      <c r="AF199" s="12">
        <f t="shared" si="51"/>
        <v>178700</v>
      </c>
      <c r="AG199" s="12"/>
      <c r="AH199" s="12">
        <f t="shared" si="48"/>
        <v>936000</v>
      </c>
      <c r="AI199" s="12"/>
      <c r="AJ199" s="12">
        <f t="shared" si="52"/>
        <v>1464000</v>
      </c>
    </row>
    <row r="200" spans="23:36" x14ac:dyDescent="0.2">
      <c r="W200" s="27" t="str">
        <f>TRUNC((X200+6)*10/80)&amp;"-"&amp;((X200+6)/8-TRUNC((X200+6)/8))*80</f>
        <v>69-10</v>
      </c>
      <c r="X200" s="12">
        <v>547</v>
      </c>
      <c r="Y200" s="12"/>
      <c r="Z200" s="12">
        <f t="shared" si="47"/>
        <v>41.2</v>
      </c>
      <c r="AA200" s="12"/>
      <c r="AB200" s="12">
        <f t="shared" si="49"/>
        <v>55900</v>
      </c>
      <c r="AC200" s="12"/>
      <c r="AD200" s="12">
        <f t="shared" si="50"/>
        <v>236200</v>
      </c>
      <c r="AE200" s="12"/>
      <c r="AF200" s="12">
        <f t="shared" si="51"/>
        <v>178700</v>
      </c>
      <c r="AG200" s="12">
        <v>72000</v>
      </c>
      <c r="AH200" s="12">
        <f t="shared" si="48"/>
        <v>1008000</v>
      </c>
      <c r="AI200" s="12"/>
      <c r="AJ200" s="12">
        <f t="shared" si="52"/>
        <v>1464000</v>
      </c>
    </row>
    <row r="201" spans="23:36" x14ac:dyDescent="0.2">
      <c r="W201" s="27" t="str">
        <f>TRUNC((X201+6)*10/80)&amp;"-"&amp;((X201+6)/8-TRUNC((X201+6)/8))*80</f>
        <v>69-40</v>
      </c>
      <c r="X201" s="12">
        <v>550</v>
      </c>
      <c r="Y201" s="12"/>
      <c r="Z201" s="12">
        <f t="shared" si="47"/>
        <v>41.2</v>
      </c>
      <c r="AA201" s="12"/>
      <c r="AB201" s="12">
        <f t="shared" si="49"/>
        <v>55900</v>
      </c>
      <c r="AC201" s="12"/>
      <c r="AD201" s="12">
        <f t="shared" si="50"/>
        <v>236200</v>
      </c>
      <c r="AE201" s="12"/>
      <c r="AF201" s="12">
        <f t="shared" si="51"/>
        <v>178700</v>
      </c>
      <c r="AG201" s="12"/>
      <c r="AH201" s="12">
        <f t="shared" si="48"/>
        <v>1008000</v>
      </c>
      <c r="AI201" s="12">
        <v>115000</v>
      </c>
      <c r="AJ201" s="12">
        <f t="shared" si="52"/>
        <v>1579000</v>
      </c>
    </row>
    <row r="202" spans="23:36" x14ac:dyDescent="0.2">
      <c r="W202" s="27" t="str">
        <f>TRUNC((X202+6)*10/80)&amp;"-"&amp;((X202+6)/8-TRUNC((X202+6)/8))*80</f>
        <v>69-70</v>
      </c>
      <c r="X202" s="12">
        <v>553</v>
      </c>
      <c r="Y202" s="58">
        <v>1.5</v>
      </c>
      <c r="Z202" s="12">
        <f t="shared" si="47"/>
        <v>42.7</v>
      </c>
      <c r="AA202" s="12"/>
      <c r="AB202" s="12">
        <f t="shared" si="49"/>
        <v>55900</v>
      </c>
      <c r="AC202" s="12"/>
      <c r="AD202" s="12">
        <f t="shared" si="50"/>
        <v>236200</v>
      </c>
      <c r="AE202" s="12"/>
      <c r="AF202" s="12">
        <f t="shared" si="51"/>
        <v>178700</v>
      </c>
      <c r="AG202" s="12"/>
      <c r="AH202" s="12">
        <f t="shared" si="48"/>
        <v>1008000</v>
      </c>
      <c r="AI202" s="12"/>
      <c r="AJ202" s="12">
        <f t="shared" si="52"/>
        <v>1579000</v>
      </c>
    </row>
    <row r="203" spans="23:36" x14ac:dyDescent="0.2">
      <c r="W203" s="27" t="str">
        <f>TRUNC((X203+6)*10/80)&amp;"-"&amp;((X203+6)/8-TRUNC((X203+6)/8))*80</f>
        <v>70-20</v>
      </c>
      <c r="X203" s="12">
        <v>556</v>
      </c>
      <c r="Y203" s="12"/>
      <c r="Z203" s="12">
        <f t="shared" si="47"/>
        <v>42.7</v>
      </c>
      <c r="AA203" s="12">
        <v>4000</v>
      </c>
      <c r="AB203" s="12">
        <f t="shared" si="49"/>
        <v>59900</v>
      </c>
      <c r="AC203" s="12"/>
      <c r="AD203" s="12">
        <f t="shared" si="50"/>
        <v>236200</v>
      </c>
      <c r="AE203" s="12"/>
      <c r="AF203" s="12">
        <f t="shared" si="51"/>
        <v>178700</v>
      </c>
      <c r="AG203" s="12"/>
      <c r="AH203" s="12">
        <f t="shared" si="48"/>
        <v>1008000</v>
      </c>
      <c r="AI203" s="12"/>
      <c r="AJ203" s="12">
        <f t="shared" si="52"/>
        <v>1579000</v>
      </c>
    </row>
    <row r="204" spans="23:36" x14ac:dyDescent="0.2">
      <c r="W204" s="27" t="str">
        <f>TRUNC((X204+6)*10/80)&amp;"-"&amp;((X204+6)/8-TRUNC((X204+6)/8))*80</f>
        <v>70-50</v>
      </c>
      <c r="X204" s="12">
        <v>559</v>
      </c>
      <c r="Y204" s="12"/>
      <c r="Z204" s="12">
        <f t="shared" si="47"/>
        <v>42.7</v>
      </c>
      <c r="AA204" s="12"/>
      <c r="AB204" s="12">
        <f t="shared" si="49"/>
        <v>59900</v>
      </c>
      <c r="AC204" s="12">
        <v>17000</v>
      </c>
      <c r="AD204" s="12">
        <f t="shared" si="50"/>
        <v>253200</v>
      </c>
      <c r="AE204" s="12"/>
      <c r="AF204" s="12">
        <f t="shared" si="51"/>
        <v>178700</v>
      </c>
      <c r="AG204" s="12"/>
      <c r="AH204" s="12">
        <f t="shared" si="48"/>
        <v>1008000</v>
      </c>
      <c r="AI204" s="12"/>
      <c r="AJ204" s="12">
        <f t="shared" si="52"/>
        <v>1579000</v>
      </c>
    </row>
    <row r="205" spans="23:36" x14ac:dyDescent="0.2">
      <c r="W205" s="27" t="str">
        <f>TRUNC((X205+6)*10/80)&amp;"-"&amp;((X205+6)/8-TRUNC((X205+6)/8))*80</f>
        <v>71-0</v>
      </c>
      <c r="X205" s="12">
        <v>562</v>
      </c>
      <c r="Y205" s="12"/>
      <c r="Z205" s="12">
        <f t="shared" si="47"/>
        <v>42.7</v>
      </c>
      <c r="AA205" s="12"/>
      <c r="AB205" s="12">
        <f t="shared" si="49"/>
        <v>59900</v>
      </c>
      <c r="AC205" s="12"/>
      <c r="AD205" s="12">
        <f t="shared" si="50"/>
        <v>253200</v>
      </c>
      <c r="AE205" s="12">
        <v>12800</v>
      </c>
      <c r="AF205" s="12">
        <f t="shared" si="51"/>
        <v>191500</v>
      </c>
      <c r="AG205" s="12"/>
      <c r="AH205" s="12">
        <f t="shared" si="48"/>
        <v>1008000</v>
      </c>
      <c r="AI205" s="12"/>
      <c r="AJ205" s="12">
        <f t="shared" si="52"/>
        <v>1579000</v>
      </c>
    </row>
    <row r="206" spans="23:36" x14ac:dyDescent="0.2">
      <c r="W206" s="27" t="str">
        <f>TRUNC((X206+6)*10/80)&amp;"-"&amp;((X206+6)/8-TRUNC((X206+6)/8))*80</f>
        <v>71-30</v>
      </c>
      <c r="X206" s="12">
        <v>565</v>
      </c>
      <c r="Y206" s="12"/>
      <c r="Z206" s="12">
        <f t="shared" si="47"/>
        <v>42.7</v>
      </c>
      <c r="AA206" s="12"/>
      <c r="AB206" s="12">
        <f t="shared" si="49"/>
        <v>59900</v>
      </c>
      <c r="AC206" s="12"/>
      <c r="AD206" s="12">
        <f t="shared" si="50"/>
        <v>253200</v>
      </c>
      <c r="AE206" s="12"/>
      <c r="AF206" s="12">
        <f t="shared" si="51"/>
        <v>191500</v>
      </c>
      <c r="AG206" s="12">
        <v>72000</v>
      </c>
      <c r="AH206" s="12">
        <f t="shared" si="48"/>
        <v>1080000</v>
      </c>
      <c r="AI206" s="12"/>
      <c r="AJ206" s="12">
        <f t="shared" si="52"/>
        <v>1579000</v>
      </c>
    </row>
    <row r="207" spans="23:36" x14ac:dyDescent="0.2">
      <c r="W207" s="27" t="str">
        <f>TRUNC((X207+6)*10/80)&amp;"-"&amp;((X207+6)/8-TRUNC((X207+6)/8))*80</f>
        <v>71-60</v>
      </c>
      <c r="X207" s="12">
        <v>568</v>
      </c>
      <c r="Y207" s="12"/>
      <c r="Z207" s="12">
        <f t="shared" si="47"/>
        <v>42.7</v>
      </c>
      <c r="AA207" s="12"/>
      <c r="AB207" s="12">
        <f t="shared" si="49"/>
        <v>59900</v>
      </c>
      <c r="AC207" s="12"/>
      <c r="AD207" s="12">
        <f t="shared" si="50"/>
        <v>253200</v>
      </c>
      <c r="AE207" s="12"/>
      <c r="AF207" s="12">
        <f t="shared" si="51"/>
        <v>191500</v>
      </c>
      <c r="AG207" s="12"/>
      <c r="AH207" s="12">
        <f t="shared" si="48"/>
        <v>1080000</v>
      </c>
      <c r="AI207" s="12">
        <v>115000</v>
      </c>
      <c r="AJ207" s="12">
        <f t="shared" si="52"/>
        <v>1694000</v>
      </c>
    </row>
    <row r="208" spans="23:36" x14ac:dyDescent="0.2">
      <c r="W208" s="27" t="str">
        <f>TRUNC((X208+6)*10/80)&amp;"-"&amp;((X208+6)/8-TRUNC((X208+6)/8))*80</f>
        <v>72-10</v>
      </c>
      <c r="X208" s="12">
        <v>571</v>
      </c>
      <c r="Y208" s="58">
        <v>2</v>
      </c>
      <c r="Z208" s="12">
        <f t="shared" si="47"/>
        <v>44.7</v>
      </c>
      <c r="AA208" s="12"/>
      <c r="AB208" s="12">
        <f t="shared" si="49"/>
        <v>59900</v>
      </c>
      <c r="AC208" s="12"/>
      <c r="AD208" s="12">
        <f t="shared" si="50"/>
        <v>253200</v>
      </c>
      <c r="AE208" s="12"/>
      <c r="AF208" s="12">
        <f t="shared" si="51"/>
        <v>191500</v>
      </c>
      <c r="AG208" s="12"/>
      <c r="AH208" s="12">
        <f t="shared" si="48"/>
        <v>1080000</v>
      </c>
      <c r="AI208" s="12"/>
      <c r="AJ208" s="12">
        <f t="shared" si="52"/>
        <v>1694000</v>
      </c>
    </row>
    <row r="209" spans="23:36" x14ac:dyDescent="0.2">
      <c r="W209" s="27" t="str">
        <f>TRUNC((X209+6)*10/80)&amp;"-"&amp;((X209+6)/8-TRUNC((X209+6)/8))*80</f>
        <v>72-40</v>
      </c>
      <c r="X209" s="12">
        <v>574</v>
      </c>
      <c r="Y209" s="12"/>
      <c r="Z209" s="12">
        <f t="shared" si="47"/>
        <v>44.7</v>
      </c>
      <c r="AA209" s="12">
        <v>4000</v>
      </c>
      <c r="AB209" s="12">
        <f t="shared" si="49"/>
        <v>63900</v>
      </c>
      <c r="AC209" s="12"/>
      <c r="AD209" s="12">
        <f t="shared" si="50"/>
        <v>253200</v>
      </c>
      <c r="AE209" s="12"/>
      <c r="AF209" s="12">
        <f t="shared" si="51"/>
        <v>191500</v>
      </c>
      <c r="AG209" s="12"/>
      <c r="AH209" s="12">
        <f t="shared" si="48"/>
        <v>1080000</v>
      </c>
      <c r="AI209" s="12"/>
      <c r="AJ209" s="12">
        <f t="shared" si="52"/>
        <v>1694000</v>
      </c>
    </row>
    <row r="210" spans="23:36" x14ac:dyDescent="0.2">
      <c r="W210" s="27" t="str">
        <f>TRUNC((X210+6)*10/80)&amp;"-"&amp;((X210+6)/8-TRUNC((X210+6)/8))*80</f>
        <v>72-70</v>
      </c>
      <c r="X210" s="12">
        <v>577</v>
      </c>
      <c r="Y210" s="12"/>
      <c r="Z210" s="12">
        <f t="shared" si="47"/>
        <v>44.7</v>
      </c>
      <c r="AA210" s="12"/>
      <c r="AB210" s="12">
        <f t="shared" si="49"/>
        <v>63900</v>
      </c>
      <c r="AC210" s="12">
        <v>17000</v>
      </c>
      <c r="AD210" s="12">
        <f t="shared" si="50"/>
        <v>270200</v>
      </c>
      <c r="AE210" s="12"/>
      <c r="AF210" s="12">
        <f t="shared" si="51"/>
        <v>191500</v>
      </c>
      <c r="AG210" s="12"/>
      <c r="AH210" s="12">
        <f t="shared" si="48"/>
        <v>1080000</v>
      </c>
      <c r="AI210" s="12"/>
      <c r="AJ210" s="12">
        <f t="shared" si="52"/>
        <v>1694000</v>
      </c>
    </row>
    <row r="211" spans="23:36" x14ac:dyDescent="0.2">
      <c r="W211" s="27" t="str">
        <f>TRUNC((X211+6)*10/80)&amp;"-"&amp;((X211+6)/8-TRUNC((X211+6)/8))*80</f>
        <v>73-20</v>
      </c>
      <c r="X211" s="12">
        <v>580</v>
      </c>
      <c r="Y211" s="12"/>
      <c r="Z211" s="12">
        <f t="shared" si="47"/>
        <v>44.7</v>
      </c>
      <c r="AA211" s="12"/>
      <c r="AB211" s="12">
        <f t="shared" si="49"/>
        <v>63900</v>
      </c>
      <c r="AC211" s="12"/>
      <c r="AD211" s="12">
        <f t="shared" si="50"/>
        <v>270200</v>
      </c>
      <c r="AE211" s="12">
        <v>12800</v>
      </c>
      <c r="AF211" s="12">
        <f t="shared" si="51"/>
        <v>204300</v>
      </c>
      <c r="AG211" s="12"/>
      <c r="AH211" s="12">
        <f t="shared" si="48"/>
        <v>1080000</v>
      </c>
      <c r="AI211" s="12"/>
      <c r="AJ211" s="12">
        <f t="shared" si="52"/>
        <v>1694000</v>
      </c>
    </row>
    <row r="212" spans="23:36" x14ac:dyDescent="0.2">
      <c r="W212" s="27" t="str">
        <f>TRUNC((X212+6)*10/80)&amp;"-"&amp;((X212+6)/8-TRUNC((X212+6)/8))*80</f>
        <v>73-50</v>
      </c>
      <c r="X212" s="12">
        <v>583</v>
      </c>
      <c r="Y212" s="12"/>
      <c r="Z212" s="12">
        <f t="shared" si="47"/>
        <v>44.7</v>
      </c>
      <c r="AA212" s="12"/>
      <c r="AB212" s="12">
        <f t="shared" si="49"/>
        <v>63900</v>
      </c>
      <c r="AC212" s="12"/>
      <c r="AD212" s="12">
        <f t="shared" si="50"/>
        <v>270200</v>
      </c>
      <c r="AE212" s="12"/>
      <c r="AF212" s="12">
        <f t="shared" si="51"/>
        <v>204300</v>
      </c>
      <c r="AG212" s="12">
        <v>72000</v>
      </c>
      <c r="AH212" s="12">
        <f t="shared" si="48"/>
        <v>1152000</v>
      </c>
      <c r="AI212" s="12"/>
      <c r="AJ212" s="12">
        <f t="shared" si="52"/>
        <v>1694000</v>
      </c>
    </row>
    <row r="213" spans="23:36" x14ac:dyDescent="0.2">
      <c r="W213" s="27" t="str">
        <f>TRUNC((X213+6)*10/80)&amp;"-"&amp;((X213+6)/8-TRUNC((X213+6)/8))*80</f>
        <v>74-0</v>
      </c>
      <c r="X213" s="12">
        <v>586</v>
      </c>
      <c r="Y213" s="12"/>
      <c r="Z213" s="12">
        <f t="shared" si="47"/>
        <v>44.7</v>
      </c>
      <c r="AA213" s="12"/>
      <c r="AB213" s="12">
        <f t="shared" si="49"/>
        <v>63900</v>
      </c>
      <c r="AC213" s="12"/>
      <c r="AD213" s="12">
        <f t="shared" si="50"/>
        <v>270200</v>
      </c>
      <c r="AE213" s="12"/>
      <c r="AF213" s="12">
        <f t="shared" si="51"/>
        <v>204300</v>
      </c>
      <c r="AG213" s="12"/>
      <c r="AH213" s="12">
        <f t="shared" si="48"/>
        <v>1152000</v>
      </c>
      <c r="AI213" s="12">
        <v>115000</v>
      </c>
      <c r="AJ213" s="12">
        <f t="shared" si="52"/>
        <v>1809000</v>
      </c>
    </row>
    <row r="214" spans="23:36" x14ac:dyDescent="0.2">
      <c r="W214" s="27" t="str">
        <f>TRUNC((X214+6)*10/80)&amp;"-"&amp;((X214+6)/8-TRUNC((X214+6)/8))*80</f>
        <v>74-30</v>
      </c>
      <c r="X214" s="12">
        <v>589</v>
      </c>
      <c r="Y214" s="58">
        <v>2</v>
      </c>
      <c r="Z214" s="12">
        <f t="shared" ref="Z214:Z219" si="53">Y214+Z213</f>
        <v>46.7</v>
      </c>
      <c r="AA214" s="12"/>
      <c r="AB214" s="12">
        <f t="shared" ref="AB214:AB219" si="54">AA214+AB213</f>
        <v>63900</v>
      </c>
      <c r="AC214" s="12"/>
      <c r="AD214" s="12">
        <f t="shared" ref="AD214:AD219" si="55">AC214+AD213</f>
        <v>270200</v>
      </c>
      <c r="AE214" s="12"/>
      <c r="AF214" s="12">
        <f t="shared" ref="AF214:AF219" si="56">AE214+AF213</f>
        <v>204300</v>
      </c>
      <c r="AG214" s="12"/>
      <c r="AH214" s="12">
        <f t="shared" ref="AH214:AH219" si="57">AG214+AH213</f>
        <v>1152000</v>
      </c>
      <c r="AI214" s="12"/>
      <c r="AJ214" s="12">
        <f t="shared" si="52"/>
        <v>1809000</v>
      </c>
    </row>
    <row r="215" spans="23:36" x14ac:dyDescent="0.2">
      <c r="W215" s="27" t="str">
        <f>TRUNC((X215+6)*10/80)&amp;"-"&amp;((X215+6)/8-TRUNC((X215+6)/8))*80</f>
        <v>74-60</v>
      </c>
      <c r="X215" s="12">
        <v>592</v>
      </c>
      <c r="Y215" s="12"/>
      <c r="Z215" s="12">
        <f t="shared" si="53"/>
        <v>46.7</v>
      </c>
      <c r="AA215" s="12">
        <v>4000</v>
      </c>
      <c r="AB215" s="12">
        <f t="shared" si="54"/>
        <v>67900</v>
      </c>
      <c r="AC215" s="12"/>
      <c r="AD215" s="12">
        <f t="shared" si="55"/>
        <v>270200</v>
      </c>
      <c r="AE215" s="12"/>
      <c r="AF215" s="12">
        <f t="shared" si="56"/>
        <v>204300</v>
      </c>
      <c r="AG215" s="12"/>
      <c r="AH215" s="12">
        <f t="shared" si="57"/>
        <v>1152000</v>
      </c>
      <c r="AI215" s="12"/>
      <c r="AJ215" s="12">
        <f t="shared" si="52"/>
        <v>1809000</v>
      </c>
    </row>
    <row r="216" spans="23:36" x14ac:dyDescent="0.2">
      <c r="W216" s="27" t="str">
        <f>TRUNC((X216+6)*10/80)&amp;"-"&amp;((X216+6)/8-TRUNC((X216+6)/8))*80</f>
        <v>75-10</v>
      </c>
      <c r="X216" s="12">
        <v>595</v>
      </c>
      <c r="Y216" s="12"/>
      <c r="Z216" s="12">
        <f t="shared" si="53"/>
        <v>46.7</v>
      </c>
      <c r="AA216" s="12"/>
      <c r="AB216" s="12">
        <f t="shared" si="54"/>
        <v>67900</v>
      </c>
      <c r="AC216" s="12">
        <v>17000</v>
      </c>
      <c r="AD216" s="12">
        <f t="shared" si="55"/>
        <v>287200</v>
      </c>
      <c r="AE216" s="12"/>
      <c r="AF216" s="12">
        <f t="shared" si="56"/>
        <v>204300</v>
      </c>
      <c r="AG216" s="12"/>
      <c r="AH216" s="12">
        <f t="shared" si="57"/>
        <v>1152000</v>
      </c>
      <c r="AI216" s="12"/>
      <c r="AJ216" s="12">
        <f t="shared" si="52"/>
        <v>1809000</v>
      </c>
    </row>
    <row r="217" spans="23:36" x14ac:dyDescent="0.2">
      <c r="W217" s="27" t="str">
        <f>TRUNC((X217+6)*10/80)&amp;"-"&amp;((X217+6)/8-TRUNC((X217+6)/8))*80</f>
        <v>75-40</v>
      </c>
      <c r="X217" s="12">
        <v>598</v>
      </c>
      <c r="Y217" s="12"/>
      <c r="Z217" s="12">
        <f t="shared" si="53"/>
        <v>46.7</v>
      </c>
      <c r="AA217" s="12"/>
      <c r="AB217" s="12">
        <f t="shared" si="54"/>
        <v>67900</v>
      </c>
      <c r="AC217" s="12"/>
      <c r="AD217" s="12">
        <f t="shared" si="55"/>
        <v>287200</v>
      </c>
      <c r="AE217" s="12">
        <v>12800</v>
      </c>
      <c r="AF217" s="12">
        <f t="shared" si="56"/>
        <v>217100</v>
      </c>
      <c r="AG217" s="12"/>
      <c r="AH217" s="12">
        <f t="shared" si="57"/>
        <v>1152000</v>
      </c>
      <c r="AI217" s="12"/>
      <c r="AJ217" s="12">
        <f t="shared" si="52"/>
        <v>1809000</v>
      </c>
    </row>
    <row r="218" spans="23:36" x14ac:dyDescent="0.2">
      <c r="W218" s="27" t="str">
        <f>TRUNC((X218+6)*10/80)&amp;"-"&amp;((X218+6)/8-TRUNC((X218+6)/8))*80</f>
        <v>75-70</v>
      </c>
      <c r="X218" s="12">
        <v>601</v>
      </c>
      <c r="Y218" s="12"/>
      <c r="Z218" s="12">
        <f t="shared" si="53"/>
        <v>46.7</v>
      </c>
      <c r="AA218" s="12"/>
      <c r="AB218" s="12">
        <f t="shared" si="54"/>
        <v>67900</v>
      </c>
      <c r="AC218" s="12"/>
      <c r="AD218" s="12">
        <f t="shared" si="55"/>
        <v>287200</v>
      </c>
      <c r="AE218" s="12"/>
      <c r="AF218" s="12">
        <f t="shared" si="56"/>
        <v>217100</v>
      </c>
      <c r="AG218" s="12">
        <v>72000</v>
      </c>
      <c r="AH218" s="12">
        <f t="shared" si="57"/>
        <v>1224000</v>
      </c>
      <c r="AI218" s="12"/>
      <c r="AJ218" s="12">
        <f t="shared" si="52"/>
        <v>1809000</v>
      </c>
    </row>
  </sheetData>
  <mergeCells count="1">
    <mergeCell ref="L1:S1"/>
  </mergeCells>
  <dataValidations count="1">
    <dataValidation type="list" allowBlank="1" showInputMessage="1" showErrorMessage="1" sqref="AL4 AL6" xr:uid="{A4F147DF-61D2-4371-9199-3AE314DA3732}">
      <formula1>$W$4:$W$218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F63-88C2-584D-94CF-11603BC99D58}">
  <dimension ref="B2:BM63"/>
  <sheetViews>
    <sheetView topLeftCell="A2" zoomScaleNormal="150" zoomScaleSheetLayoutView="100" workbookViewId="0">
      <selection activeCell="D88" sqref="D88"/>
    </sheetView>
  </sheetViews>
  <sheetFormatPr defaultRowHeight="15" x14ac:dyDescent="0.2"/>
  <cols>
    <col min="1" max="1" width="3.09375" bestFit="1" customWidth="1"/>
    <col min="2" max="2" width="10.22265625" bestFit="1" customWidth="1"/>
    <col min="3" max="4" width="5.6484375" bestFit="1" customWidth="1"/>
    <col min="5" max="8" width="5.51171875" bestFit="1" customWidth="1"/>
    <col min="9" max="9" width="7.26171875" bestFit="1" customWidth="1"/>
    <col min="10" max="10" width="5.51171875" bestFit="1" customWidth="1"/>
    <col min="11" max="11" width="9.4140625" bestFit="1" customWidth="1"/>
    <col min="12" max="12" width="5.37890625" bestFit="1" customWidth="1"/>
    <col min="13" max="13" width="9.4140625" bestFit="1" customWidth="1"/>
    <col min="14" max="14" width="5.24609375" bestFit="1" customWidth="1"/>
    <col min="15" max="15" width="9.4140625" bestFit="1" customWidth="1"/>
    <col min="16" max="16" width="5.24609375" bestFit="1" customWidth="1"/>
    <col min="17" max="17" width="9.4140625" bestFit="1" customWidth="1"/>
    <col min="18" max="18" width="5.24609375" bestFit="1" customWidth="1"/>
    <col min="19" max="19" width="9.4140625" bestFit="1" customWidth="1"/>
    <col min="20" max="20" width="5.24609375" bestFit="1" customWidth="1"/>
    <col min="21" max="21" width="9.4140625" bestFit="1" customWidth="1"/>
    <col min="22" max="22" width="5.37890625" bestFit="1" customWidth="1"/>
    <col min="23" max="26" width="9.14453125" bestFit="1" customWidth="1"/>
    <col min="27" max="30" width="9.55078125" bestFit="1" customWidth="1"/>
    <col min="32" max="32" width="5.109375" customWidth="1"/>
    <col min="49" max="49" width="9.55078125" bestFit="1" customWidth="1"/>
    <col min="57" max="57" width="9.55078125" bestFit="1" customWidth="1"/>
    <col min="61" max="65" width="9.55078125" bestFit="1" customWidth="1"/>
  </cols>
  <sheetData>
    <row r="2" spans="2:65" s="2" customFormat="1" ht="70.5" x14ac:dyDescent="0.2">
      <c r="B2" s="2" t="s">
        <v>37</v>
      </c>
      <c r="C2" s="2" t="s">
        <v>39</v>
      </c>
      <c r="D2" s="2" t="s">
        <v>38</v>
      </c>
      <c r="E2" s="2" t="s">
        <v>41</v>
      </c>
      <c r="F2" s="2" t="s">
        <v>40</v>
      </c>
      <c r="G2" s="2" t="s">
        <v>48</v>
      </c>
      <c r="H2" s="2" t="s">
        <v>42</v>
      </c>
      <c r="I2" s="2" t="s">
        <v>47</v>
      </c>
      <c r="K2" s="7" t="s">
        <v>37</v>
      </c>
      <c r="L2" s="7" t="s">
        <v>39</v>
      </c>
      <c r="M2" s="7" t="s">
        <v>37</v>
      </c>
      <c r="N2" s="7" t="s">
        <v>38</v>
      </c>
      <c r="O2" s="7" t="s">
        <v>37</v>
      </c>
      <c r="P2" s="7" t="s">
        <v>41</v>
      </c>
      <c r="Q2" s="7" t="s">
        <v>37</v>
      </c>
      <c r="R2" s="7" t="s">
        <v>40</v>
      </c>
      <c r="S2" s="7" t="s">
        <v>37</v>
      </c>
      <c r="T2" s="7" t="s">
        <v>48</v>
      </c>
      <c r="U2" s="7" t="s">
        <v>37</v>
      </c>
      <c r="V2" s="7" t="s">
        <v>42</v>
      </c>
      <c r="Y2" s="3" t="s">
        <v>39</v>
      </c>
      <c r="Z2" s="3" t="s">
        <v>38</v>
      </c>
      <c r="AA2" s="3" t="s">
        <v>41</v>
      </c>
      <c r="AB2" s="3" t="s">
        <v>40</v>
      </c>
      <c r="AC2" s="4" t="s">
        <v>48</v>
      </c>
      <c r="AD2" s="4" t="s">
        <v>42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2" t="s">
        <v>42</v>
      </c>
      <c r="AU2" s="2" t="s">
        <v>47</v>
      </c>
      <c r="AW2" s="7" t="s">
        <v>37</v>
      </c>
      <c r="AX2" s="7" t="s">
        <v>38</v>
      </c>
      <c r="AY2" s="7" t="s">
        <v>37</v>
      </c>
      <c r="AZ2" s="7" t="s">
        <v>39</v>
      </c>
      <c r="BA2" s="7" t="s">
        <v>37</v>
      </c>
      <c r="BB2" s="7" t="s">
        <v>40</v>
      </c>
      <c r="BC2" s="7" t="s">
        <v>37</v>
      </c>
      <c r="BD2" s="7" t="s">
        <v>41</v>
      </c>
      <c r="BE2" s="7" t="s">
        <v>37</v>
      </c>
      <c r="BF2" s="7" t="s">
        <v>42</v>
      </c>
      <c r="BI2" s="3" t="s">
        <v>38</v>
      </c>
      <c r="BJ2" s="3" t="s">
        <v>39</v>
      </c>
      <c r="BK2" s="3" t="s">
        <v>40</v>
      </c>
      <c r="BL2" s="3" t="s">
        <v>41</v>
      </c>
      <c r="BM2" s="4" t="s">
        <v>42</v>
      </c>
    </row>
    <row r="3" spans="2:65" x14ac:dyDescent="0.2">
      <c r="B3">
        <v>10763613</v>
      </c>
      <c r="C3" s="11">
        <v>2.5299999999999998</v>
      </c>
      <c r="D3" s="11">
        <v>2.58</v>
      </c>
      <c r="E3" s="11">
        <v>2.36</v>
      </c>
      <c r="F3" s="11">
        <v>2.4500000000000002</v>
      </c>
      <c r="G3" s="11">
        <v>2.02</v>
      </c>
      <c r="H3" s="11">
        <v>2.63</v>
      </c>
      <c r="I3" s="11">
        <f>AVERAGE(Tableau18[[#This Row],[Bamboo shoot]:[Clocko fruit]])</f>
        <v>2.4283333333333328</v>
      </c>
      <c r="K3">
        <v>10086034</v>
      </c>
      <c r="L3" s="5">
        <f>VLOOKUP(Tableau29[[#This Row],[Player id]],Tableau18[[Player id]:[Clocko fruit]],2,0)</f>
        <v>2.63</v>
      </c>
      <c r="M3">
        <v>18977827</v>
      </c>
      <c r="N3" s="6">
        <f>VLOOKUP(Tableau310[[#This Row],[Player id]],Tableau18[[Player id]:[Clocko fruit]],3,0)</f>
        <v>2.63</v>
      </c>
      <c r="O3">
        <v>10763613</v>
      </c>
      <c r="P3" s="6">
        <f>VLOOKUP(Tableau411[[#This Row],[Player id]],Tableau18[[Player id]:[Clocko fruit]],4,0)</f>
        <v>2.36</v>
      </c>
      <c r="Q3">
        <v>13117515</v>
      </c>
      <c r="R3" s="6">
        <f>VLOOKUP(Tableau512[[#This Row],[Player id]],Tableau18[[Player id]:[Clocko fruit]],5,0)</f>
        <v>2.63</v>
      </c>
      <c r="S3">
        <v>13117515</v>
      </c>
      <c r="T3" s="6">
        <f>VLOOKUP(Tableau613[[#This Row],[Player id]],Tableau18[[Player id]:[Clocko fruit]],5,0)</f>
        <v>2.63</v>
      </c>
      <c r="U3">
        <v>10048958</v>
      </c>
      <c r="V3" s="6">
        <f>VLOOKUP(Tableau61314[[#This Row],[Player id]],Tableau18[[Player id]:[Clocko fruit]],6,0)</f>
        <v>2.63</v>
      </c>
      <c r="X3" t="s">
        <v>43</v>
      </c>
      <c r="Y3">
        <f>MAX(Tableau18[Bamboo shoot])</f>
        <v>2.63</v>
      </c>
      <c r="Z3">
        <f>MAX(Tableau18[Dragon fruit])</f>
        <v>2.63</v>
      </c>
      <c r="AA3">
        <f>MAX(Tableau18[Phantom fruit])</f>
        <v>2.39</v>
      </c>
      <c r="AB3">
        <f>MAX(Tableau18[Carrot])</f>
        <v>2.63</v>
      </c>
      <c r="AC3">
        <f>MAX(Tableau18[Cherry])</f>
        <v>2.63</v>
      </c>
      <c r="AD3">
        <f>MAX(Tableau18[Clocko fruit])</f>
        <v>2.63</v>
      </c>
      <c r="AF3" t="s">
        <v>49</v>
      </c>
      <c r="AG3" t="s">
        <v>51</v>
      </c>
      <c r="AH3" t="s">
        <v>50</v>
      </c>
      <c r="AI3" t="s">
        <v>52</v>
      </c>
      <c r="AO3">
        <v>10763613</v>
      </c>
      <c r="AP3">
        <v>79</v>
      </c>
      <c r="AQ3">
        <v>90</v>
      </c>
      <c r="AR3">
        <v>88</v>
      </c>
      <c r="AS3">
        <v>83</v>
      </c>
      <c r="AT3">
        <v>100</v>
      </c>
      <c r="AU3">
        <f>AVERAGE(Tableau1[[#This Row],[Dragon fruit]:[Clocko fruit]])</f>
        <v>88</v>
      </c>
      <c r="AW3">
        <v>18977827</v>
      </c>
      <c r="AX3" s="5">
        <v>99</v>
      </c>
      <c r="AY3">
        <v>10086034</v>
      </c>
      <c r="AZ3" s="5">
        <v>96</v>
      </c>
      <c r="BA3">
        <v>13117515</v>
      </c>
      <c r="BB3" s="6">
        <v>99</v>
      </c>
      <c r="BC3">
        <v>10763613</v>
      </c>
      <c r="BD3" s="5">
        <v>83</v>
      </c>
      <c r="BE3">
        <v>10763613</v>
      </c>
      <c r="BF3" s="5">
        <v>100</v>
      </c>
      <c r="BH3" t="s">
        <v>43</v>
      </c>
      <c r="BI3">
        <f>MAX(Tableau1[Dragon fruit])</f>
        <v>99</v>
      </c>
      <c r="BJ3">
        <f>MAX(Tableau1[Bamboo shoot])</f>
        <v>96</v>
      </c>
      <c r="BK3">
        <f>MAX(Tableau1[Carrot])</f>
        <v>99</v>
      </c>
      <c r="BL3">
        <f>MAX(Tableau1[Phantom fruit])</f>
        <v>83</v>
      </c>
      <c r="BM3">
        <f>MAX(Tableau1[Clocko fruit])</f>
        <v>100</v>
      </c>
    </row>
    <row r="4" spans="2:65" x14ac:dyDescent="0.2">
      <c r="B4">
        <v>13117515</v>
      </c>
      <c r="C4" s="11">
        <v>2.62</v>
      </c>
      <c r="D4" s="11">
        <v>2.15</v>
      </c>
      <c r="E4" s="11">
        <v>2.19</v>
      </c>
      <c r="F4" s="11">
        <v>2.63</v>
      </c>
      <c r="G4" s="11">
        <v>2.6</v>
      </c>
      <c r="H4" s="11">
        <v>2.1800000000000002</v>
      </c>
      <c r="I4" s="11">
        <f>AVERAGE(Tableau18[[#This Row],[Bamboo shoot]:[Clocko fruit]])</f>
        <v>2.395</v>
      </c>
      <c r="K4">
        <v>13117515</v>
      </c>
      <c r="L4" s="5">
        <f>VLOOKUP(Tableau29[[#This Row],[Player id]],Tableau18[[Player id]:[Clocko fruit]],2,0)</f>
        <v>2.62</v>
      </c>
      <c r="M4">
        <v>10763613</v>
      </c>
      <c r="N4" s="5">
        <f>VLOOKUP(Tableau310[[#This Row],[Player id]],Tableau18[[Player id]:[Clocko fruit]],3,0)</f>
        <v>2.58</v>
      </c>
      <c r="O4">
        <v>13117515</v>
      </c>
      <c r="P4" s="5">
        <f>VLOOKUP(Tableau411[[#This Row],[Player id]],Tableau18[[Player id]:[Clocko fruit]],4,0)</f>
        <v>2.19</v>
      </c>
      <c r="Q4">
        <v>18977827</v>
      </c>
      <c r="R4" s="6">
        <f>VLOOKUP(Tableau512[[#This Row],[Player id]],Tableau18[[Player id]:[Clocko fruit]],5,0)</f>
        <v>2.59</v>
      </c>
      <c r="S4">
        <v>18977827</v>
      </c>
      <c r="T4" s="6">
        <f>VLOOKUP(Tableau613[[#This Row],[Player id]],Tableau18[[Player id]:[Clocko fruit]],5,0)</f>
        <v>2.59</v>
      </c>
      <c r="U4">
        <v>13117515</v>
      </c>
      <c r="V4" s="6">
        <f>VLOOKUP(Tableau61314[[#This Row],[Player id]],Tableau18[[Player id]:[Clocko fruit]],6,0)</f>
        <v>2.6</v>
      </c>
      <c r="X4" t="s">
        <v>44</v>
      </c>
      <c r="Y4">
        <f>_xlfn.XLOOKUP(Y3,Tableau18[Bamboo shoot],Tableau18[Player id])</f>
        <v>10086034</v>
      </c>
      <c r="Z4">
        <f>_xlfn.XLOOKUP(Z3,Tableau18[Dragon fruit],Tableau18[Player id])</f>
        <v>18977827</v>
      </c>
      <c r="AA4">
        <f>_xlfn.XLOOKUP(AA3,Tableau18[Phantom fruit],Tableau18[Player id])</f>
        <v>13087810</v>
      </c>
      <c r="AB4">
        <f>_xlfn.XLOOKUP(AB3,Tableau18[Carrot],Tableau18[Player id])</f>
        <v>13117515</v>
      </c>
      <c r="AC4">
        <f>_xlfn.XLOOKUP(AC3,Tableau18[Cherry],Tableau18[Player id])</f>
        <v>10048958</v>
      </c>
      <c r="AD4">
        <f>_xlfn.XLOOKUP(AD3,Tableau18[Clocko fruit],Tableau18[Player id])</f>
        <v>10763613</v>
      </c>
      <c r="AF4">
        <v>0.84</v>
      </c>
      <c r="AG4">
        <v>5</v>
      </c>
      <c r="AH4">
        <f>AG4*AF4</f>
        <v>4.2</v>
      </c>
      <c r="AI4">
        <f>AG4^2*AF4</f>
        <v>21</v>
      </c>
      <c r="AO4">
        <v>10327617</v>
      </c>
      <c r="AP4">
        <v>68</v>
      </c>
      <c r="AQ4">
        <v>68</v>
      </c>
      <c r="AR4">
        <v>86</v>
      </c>
      <c r="AS4">
        <v>82</v>
      </c>
      <c r="AT4">
        <v>100</v>
      </c>
      <c r="AU4">
        <f>AVERAGE(Tableau1[[#This Row],[Dragon fruit]:[Clocko fruit]])</f>
        <v>80.8</v>
      </c>
      <c r="AW4">
        <v>10002580</v>
      </c>
      <c r="AX4" s="5">
        <v>87</v>
      </c>
      <c r="AY4">
        <v>10763613</v>
      </c>
      <c r="AZ4" s="5">
        <v>90</v>
      </c>
      <c r="BA4">
        <v>10334064</v>
      </c>
      <c r="BB4" s="6">
        <v>91</v>
      </c>
      <c r="BC4">
        <v>10327617</v>
      </c>
      <c r="BD4" s="6">
        <v>82</v>
      </c>
      <c r="BE4" s="10">
        <v>10327617</v>
      </c>
      <c r="BF4" s="6">
        <v>100</v>
      </c>
      <c r="BH4" t="s">
        <v>44</v>
      </c>
      <c r="BI4">
        <f>_xlfn.XLOOKUP(BI3,Tableau1[Dragon fruit],Tableau1[Player id])</f>
        <v>18977827</v>
      </c>
      <c r="BJ4">
        <f>_xlfn.XLOOKUP(BJ3,Tableau1[Bamboo shoot],Tableau1[Player id])</f>
        <v>10086034</v>
      </c>
      <c r="BK4">
        <f>_xlfn.XLOOKUP(BK3,Tableau1[Carrot],Tableau1[Player id])</f>
        <v>13117515</v>
      </c>
      <c r="BL4">
        <f>_xlfn.XLOOKUP(BL3,Tableau1[Phantom fruit],Tableau1[Player id])</f>
        <v>10763613</v>
      </c>
      <c r="BM4">
        <f>_xlfn.XLOOKUP(BM3,Tableau1[Clocko fruit],Tableau1[Player id])</f>
        <v>10763613</v>
      </c>
    </row>
    <row r="5" spans="2:65" x14ac:dyDescent="0.2">
      <c r="B5">
        <v>18977827</v>
      </c>
      <c r="C5" s="11">
        <v>2.58</v>
      </c>
      <c r="D5" s="11">
        <v>2.63</v>
      </c>
      <c r="E5" s="11">
        <v>1.6</v>
      </c>
      <c r="F5" s="11">
        <v>2.59</v>
      </c>
      <c r="G5" s="11">
        <v>1.95</v>
      </c>
      <c r="H5" s="11">
        <v>1.62</v>
      </c>
      <c r="I5" s="11">
        <f>AVERAGE(Tableau18[[#This Row],[Bamboo shoot]:[Clocko fruit]])</f>
        <v>2.1616666666666666</v>
      </c>
      <c r="K5">
        <v>18977827</v>
      </c>
      <c r="L5" s="6">
        <f>VLOOKUP(Tableau29[[#This Row],[Player id]],Tableau18[[Player id]:[Clocko fruit]],2,0)</f>
        <v>2.58</v>
      </c>
      <c r="M5">
        <v>14736258</v>
      </c>
      <c r="N5" s="6">
        <f>VLOOKUP(Tableau310[[#This Row],[Player id]],Tableau18[[Player id]:[Clocko fruit]],3,0)</f>
        <v>2.39</v>
      </c>
      <c r="O5">
        <v>10327617</v>
      </c>
      <c r="P5" s="5">
        <f>VLOOKUP(Tableau411[[#This Row],[Player id]],Tableau18[[Player id]:[Clocko fruit]],4,0)</f>
        <v>2.13</v>
      </c>
      <c r="Q5">
        <v>14736258</v>
      </c>
      <c r="R5" s="5">
        <f>VLOOKUP(Tableau512[[#This Row],[Player id]],Tableau18[[Player id]:[Clocko fruit]],5,0)</f>
        <v>2.57</v>
      </c>
      <c r="S5">
        <v>14736258</v>
      </c>
      <c r="T5" s="5">
        <f>VLOOKUP(Tableau613[[#This Row],[Player id]],Tableau18[[Player id]:[Clocko fruit]],5,0)</f>
        <v>2.57</v>
      </c>
      <c r="U5">
        <v>10327617</v>
      </c>
      <c r="V5" s="6">
        <f>VLOOKUP(Tableau61314[[#This Row],[Player id]],Tableau18[[Player id]:[Clocko fruit]],6,0)</f>
        <v>2.2999999999999998</v>
      </c>
      <c r="AF5">
        <v>0.1</v>
      </c>
      <c r="AG5">
        <v>10</v>
      </c>
      <c r="AH5">
        <f>AG5*AF5</f>
        <v>1</v>
      </c>
      <c r="AI5">
        <f>AG5^2*AF5</f>
        <v>10</v>
      </c>
      <c r="AO5">
        <v>10086034</v>
      </c>
      <c r="AP5">
        <v>74</v>
      </c>
      <c r="AQ5">
        <v>96</v>
      </c>
      <c r="AR5">
        <v>76</v>
      </c>
      <c r="AS5">
        <v>64</v>
      </c>
      <c r="AT5">
        <v>63</v>
      </c>
      <c r="AU5">
        <f>AVERAGE(Tableau1[[#This Row],[Dragon fruit]:[Clocko fruit]])</f>
        <v>74.599999999999994</v>
      </c>
      <c r="AW5">
        <v>10048958</v>
      </c>
      <c r="AX5" s="5">
        <v>83</v>
      </c>
      <c r="AY5">
        <v>18977827</v>
      </c>
      <c r="AZ5" s="5">
        <v>81</v>
      </c>
      <c r="BA5">
        <v>10048958</v>
      </c>
      <c r="BB5" s="5">
        <v>87</v>
      </c>
      <c r="BC5">
        <v>10187257</v>
      </c>
      <c r="BD5" s="6">
        <v>79</v>
      </c>
      <c r="BE5">
        <v>10409514</v>
      </c>
      <c r="BF5" s="5">
        <v>98</v>
      </c>
    </row>
    <row r="6" spans="2:65" x14ac:dyDescent="0.2">
      <c r="B6">
        <v>10327617</v>
      </c>
      <c r="C6" s="11">
        <v>1.72</v>
      </c>
      <c r="D6" s="11">
        <v>1.74</v>
      </c>
      <c r="E6" s="11">
        <v>2.13</v>
      </c>
      <c r="F6" s="11">
        <v>2.23</v>
      </c>
      <c r="G6" s="11">
        <v>2.2999999999999998</v>
      </c>
      <c r="H6" s="11">
        <v>2.63</v>
      </c>
      <c r="I6" s="11">
        <f>AVERAGE(Tableau18[[#This Row],[Bamboo shoot]:[Clocko fruit]])</f>
        <v>2.125</v>
      </c>
      <c r="K6">
        <v>10763613</v>
      </c>
      <c r="L6" s="5">
        <f>VLOOKUP(Tableau29[[#This Row],[Player id]],Tableau18[[Player id]:[Clocko fruit]],2,0)</f>
        <v>2.5299999999999998</v>
      </c>
      <c r="M6">
        <v>12252537</v>
      </c>
      <c r="N6" s="5">
        <f>VLOOKUP(Tableau310[[#This Row],[Player id]],Tableau18[[Player id]:[Clocko fruit]],3,0)</f>
        <v>2.36</v>
      </c>
      <c r="O6">
        <v>10187257</v>
      </c>
      <c r="P6" s="5">
        <f>VLOOKUP(Tableau411[[#This Row],[Player id]],Tableau18[[Player id]:[Clocko fruit]],4,0)</f>
        <v>2.02</v>
      </c>
      <c r="Q6">
        <v>10763613</v>
      </c>
      <c r="R6" s="5">
        <f>VLOOKUP(Tableau512[[#This Row],[Player id]],Tableau18[[Player id]:[Clocko fruit]],5,0)</f>
        <v>2.4500000000000002</v>
      </c>
      <c r="S6">
        <v>10763613</v>
      </c>
      <c r="T6" s="5">
        <f>VLOOKUP(Tableau613[[#This Row],[Player id]],Tableau18[[Player id]:[Clocko fruit]],5,0)</f>
        <v>2.4500000000000002</v>
      </c>
      <c r="U6">
        <v>10092028</v>
      </c>
      <c r="V6" s="5">
        <f>VLOOKUP(Tableau61314[[#This Row],[Player id]],Tableau18[[Player id]:[Clocko fruit]],6,0)</f>
        <v>2.2599999999999998</v>
      </c>
      <c r="AF6">
        <v>0.04</v>
      </c>
      <c r="AG6">
        <v>15</v>
      </c>
      <c r="AH6">
        <f>AG6*AF6</f>
        <v>0.6</v>
      </c>
      <c r="AI6">
        <f>AG6^2*AF6</f>
        <v>9</v>
      </c>
      <c r="AO6">
        <v>10041728</v>
      </c>
      <c r="AP6">
        <v>81</v>
      </c>
      <c r="AQ6">
        <v>80</v>
      </c>
      <c r="AR6">
        <v>74</v>
      </c>
      <c r="AS6">
        <v>64</v>
      </c>
      <c r="AT6">
        <v>65</v>
      </c>
      <c r="AU6">
        <f>AVERAGE(Tableau1[[#This Row],[Dragon fruit]:[Clocko fruit]])</f>
        <v>72.8</v>
      </c>
      <c r="AW6">
        <v>10041728</v>
      </c>
      <c r="AX6" s="6">
        <v>81</v>
      </c>
      <c r="AY6">
        <v>13682526</v>
      </c>
      <c r="AZ6" s="5">
        <v>80</v>
      </c>
      <c r="BA6">
        <v>10327617</v>
      </c>
      <c r="BB6" s="6">
        <v>86</v>
      </c>
      <c r="BC6">
        <v>13682526</v>
      </c>
      <c r="BD6" s="5">
        <v>78</v>
      </c>
      <c r="BE6">
        <v>10214454</v>
      </c>
      <c r="BF6" s="6">
        <v>82</v>
      </c>
    </row>
    <row r="7" spans="2:65" x14ac:dyDescent="0.2">
      <c r="B7">
        <v>14736258</v>
      </c>
      <c r="C7" s="11">
        <v>1.86</v>
      </c>
      <c r="D7" s="11">
        <v>2.39</v>
      </c>
      <c r="E7" s="11">
        <v>1.8</v>
      </c>
      <c r="F7" s="11">
        <v>2.57</v>
      </c>
      <c r="G7" s="11">
        <v>1.96</v>
      </c>
      <c r="H7" s="11">
        <v>2.13</v>
      </c>
      <c r="I7" s="11">
        <f>AVERAGE(Tableau18[[#This Row],[Bamboo shoot]:[Clocko fruit]])</f>
        <v>2.1183333333333327</v>
      </c>
      <c r="K7">
        <v>10041728</v>
      </c>
      <c r="L7" s="6">
        <f>VLOOKUP(Tableau29[[#This Row],[Player id]],Tableau18[[Player id]:[Clocko fruit]],2,0)</f>
        <v>2.06</v>
      </c>
      <c r="M7">
        <v>10002580</v>
      </c>
      <c r="N7" s="6">
        <f>VLOOKUP(Tableau310[[#This Row],[Player id]],Tableau18[[Player id]:[Clocko fruit]],3,0)</f>
        <v>2.21</v>
      </c>
      <c r="O7">
        <v>13682526</v>
      </c>
      <c r="P7" s="6">
        <f>VLOOKUP(Tableau411[[#This Row],[Player id]],Tableau18[[Player id]:[Clocko fruit]],4,0)</f>
        <v>2</v>
      </c>
      <c r="Q7">
        <v>10334064</v>
      </c>
      <c r="R7" s="5">
        <f>VLOOKUP(Tableau512[[#This Row],[Player id]],Tableau18[[Player id]:[Clocko fruit]],5,0)</f>
        <v>2.41</v>
      </c>
      <c r="S7">
        <v>10334064</v>
      </c>
      <c r="T7" s="6">
        <f>VLOOKUP(Tableau613[[#This Row],[Player id]],Tableau18[[Player id]:[Clocko fruit]],5,0)</f>
        <v>2.41</v>
      </c>
      <c r="U7">
        <v>10763613</v>
      </c>
      <c r="V7" s="5">
        <f>VLOOKUP(Tableau61314[[#This Row],[Player id]],Tableau18[[Player id]:[Clocko fruit]],6,0)</f>
        <v>2.02</v>
      </c>
      <c r="AF7">
        <v>0.01</v>
      </c>
      <c r="AG7">
        <v>20</v>
      </c>
      <c r="AH7">
        <f>AG7*AF7</f>
        <v>0.2</v>
      </c>
      <c r="AI7">
        <f>AG7^2*AF7</f>
        <v>4</v>
      </c>
      <c r="AO7">
        <v>10002580</v>
      </c>
      <c r="AP7">
        <v>87</v>
      </c>
      <c r="AQ7">
        <v>68</v>
      </c>
      <c r="AR7">
        <v>84</v>
      </c>
      <c r="AS7">
        <v>60</v>
      </c>
      <c r="AT7">
        <v>64</v>
      </c>
      <c r="AU7">
        <f>AVERAGE(Tableau1[[#This Row],[Dragon fruit]:[Clocko fruit]])</f>
        <v>72.599999999999994</v>
      </c>
      <c r="AW7">
        <v>12252537</v>
      </c>
      <c r="AX7" s="5">
        <v>76</v>
      </c>
      <c r="AY7">
        <v>10041728</v>
      </c>
      <c r="AZ7" s="6">
        <v>80</v>
      </c>
      <c r="BA7">
        <v>10763613</v>
      </c>
      <c r="BB7" s="5">
        <v>85</v>
      </c>
      <c r="BC7">
        <v>10404376</v>
      </c>
      <c r="BD7" s="6">
        <v>76</v>
      </c>
      <c r="BE7">
        <v>18469277</v>
      </c>
      <c r="BF7" s="6">
        <v>80</v>
      </c>
    </row>
    <row r="8" spans="2:65" x14ac:dyDescent="0.2">
      <c r="B8">
        <v>10334064</v>
      </c>
      <c r="C8" s="11">
        <v>1.6</v>
      </c>
      <c r="D8" s="11">
        <v>1.8</v>
      </c>
      <c r="E8" s="11">
        <v>1.65</v>
      </c>
      <c r="F8" s="11">
        <v>2.41</v>
      </c>
      <c r="G8" s="11">
        <v>1.85</v>
      </c>
      <c r="H8" s="11">
        <v>2.4300000000000002</v>
      </c>
      <c r="I8" s="11">
        <f>AVERAGE(Tableau18[[#This Row],[Bamboo shoot]:[Clocko fruit]])</f>
        <v>1.9566666666666668</v>
      </c>
      <c r="K8">
        <v>10048958</v>
      </c>
      <c r="L8" s="6">
        <f>VLOOKUP(Tableau29[[#This Row],[Player id]],Tableau18[[Player id]:[Clocko fruit]],2,0)</f>
        <v>1.93</v>
      </c>
      <c r="M8">
        <v>13117515</v>
      </c>
      <c r="N8" s="5">
        <f>VLOOKUP(Tableau310[[#This Row],[Player id]],Tableau18[[Player id]:[Clocko fruit]],3,0)</f>
        <v>2.15</v>
      </c>
      <c r="O8">
        <v>10404376</v>
      </c>
      <c r="P8" s="5">
        <f>VLOOKUP(Tableau411[[#This Row],[Player id]],Tableau18[[Player id]:[Clocko fruit]],4,0)</f>
        <v>1.95</v>
      </c>
      <c r="Q8">
        <v>10327617</v>
      </c>
      <c r="R8" s="6">
        <f>VLOOKUP(Tableau512[[#This Row],[Player id]],Tableau18[[Player id]:[Clocko fruit]],5,0)</f>
        <v>2.23</v>
      </c>
      <c r="S8">
        <v>10327617</v>
      </c>
      <c r="T8" s="6">
        <f>VLOOKUP(Tableau613[[#This Row],[Player id]],Tableau18[[Player id]:[Clocko fruit]],5,0)</f>
        <v>2.23</v>
      </c>
      <c r="U8">
        <v>14736258</v>
      </c>
      <c r="V8" s="5">
        <f>VLOOKUP(Tableau61314[[#This Row],[Player id]],Tableau18[[Player id]:[Clocko fruit]],6,0)</f>
        <v>1.96</v>
      </c>
      <c r="AF8">
        <v>0.01</v>
      </c>
      <c r="AG8">
        <v>25</v>
      </c>
      <c r="AH8">
        <f>AG8*AF8</f>
        <v>0.25</v>
      </c>
      <c r="AI8">
        <f>AG8^2*AF8</f>
        <v>6.25</v>
      </c>
      <c r="AO8">
        <v>10404376</v>
      </c>
      <c r="AP8">
        <v>66</v>
      </c>
      <c r="AQ8">
        <v>71</v>
      </c>
      <c r="AR8">
        <v>70</v>
      </c>
      <c r="AS8">
        <v>76</v>
      </c>
      <c r="AT8">
        <v>79</v>
      </c>
      <c r="AU8">
        <f>AVERAGE(Tableau1[[#This Row],[Dragon fruit]:[Clocko fruit]])</f>
        <v>72.400000000000006</v>
      </c>
      <c r="AW8">
        <v>10132613</v>
      </c>
      <c r="AX8" s="5">
        <v>76</v>
      </c>
      <c r="AY8">
        <v>10132613</v>
      </c>
      <c r="AZ8" s="5">
        <v>77</v>
      </c>
      <c r="BA8">
        <v>10002580</v>
      </c>
      <c r="BB8" s="5">
        <v>84</v>
      </c>
      <c r="BC8">
        <v>11354842</v>
      </c>
      <c r="BD8" s="6">
        <v>74</v>
      </c>
      <c r="BE8">
        <v>10404376</v>
      </c>
      <c r="BF8" s="6">
        <v>79</v>
      </c>
    </row>
    <row r="9" spans="2:65" x14ac:dyDescent="0.2">
      <c r="B9">
        <v>10048958</v>
      </c>
      <c r="C9" s="11">
        <v>1.93</v>
      </c>
      <c r="D9" s="11">
        <v>2.11</v>
      </c>
      <c r="E9" s="11">
        <v>1.49</v>
      </c>
      <c r="F9" s="11">
        <v>2.21</v>
      </c>
      <c r="G9" s="11">
        <v>2.63</v>
      </c>
      <c r="H9" s="11">
        <v>1.2</v>
      </c>
      <c r="I9" s="11">
        <f>AVERAGE(Tableau18[[#This Row],[Bamboo shoot]:[Clocko fruit]])</f>
        <v>1.9283333333333335</v>
      </c>
      <c r="K9">
        <v>14736258</v>
      </c>
      <c r="L9" s="6">
        <f>VLOOKUP(Tableau29[[#This Row],[Player id]],Tableau18[[Player id]:[Clocko fruit]],2,0)</f>
        <v>1.86</v>
      </c>
      <c r="M9">
        <v>10048958</v>
      </c>
      <c r="N9" s="6">
        <f>VLOOKUP(Tableau310[[#This Row],[Player id]],Tableau18[[Player id]:[Clocko fruit]],3,0)</f>
        <v>2.11</v>
      </c>
      <c r="O9">
        <v>10132613</v>
      </c>
      <c r="P9" s="6">
        <f>VLOOKUP(Tableau411[[#This Row],[Player id]],Tableau18[[Player id]:[Clocko fruit]],4,0)</f>
        <v>1.94</v>
      </c>
      <c r="Q9">
        <v>10048958</v>
      </c>
      <c r="R9" s="6">
        <f>VLOOKUP(Tableau512[[#This Row],[Player id]],Tableau18[[Player id]:[Clocko fruit]],5,0)</f>
        <v>2.21</v>
      </c>
      <c r="S9">
        <v>10048958</v>
      </c>
      <c r="T9" s="6">
        <f>VLOOKUP(Tableau613[[#This Row],[Player id]],Tableau18[[Player id]:[Clocko fruit]],5,0)</f>
        <v>2.21</v>
      </c>
      <c r="U9">
        <v>18977827</v>
      </c>
      <c r="V9" s="6">
        <f>VLOOKUP(Tableau61314[[#This Row],[Player id]],Tableau18[[Player id]:[Clocko fruit]],6,0)</f>
        <v>1.95</v>
      </c>
      <c r="AH9">
        <f>SUM(AH4:AH8)</f>
        <v>6.25</v>
      </c>
      <c r="AI9">
        <f>SUM(AI4:AI8)</f>
        <v>50.25</v>
      </c>
      <c r="AO9">
        <v>13682526</v>
      </c>
      <c r="AP9">
        <v>62</v>
      </c>
      <c r="AQ9">
        <v>80</v>
      </c>
      <c r="AR9">
        <v>75</v>
      </c>
      <c r="AS9">
        <v>78</v>
      </c>
      <c r="AT9">
        <v>67</v>
      </c>
      <c r="AU9">
        <f>AVERAGE(Tableau1[[#This Row],[Dragon fruit]:[Clocko fruit]])</f>
        <v>72.400000000000006</v>
      </c>
      <c r="AW9">
        <v>10066347</v>
      </c>
      <c r="AX9" s="5">
        <v>76</v>
      </c>
      <c r="AY9">
        <v>10048958</v>
      </c>
      <c r="AZ9" s="5">
        <v>77</v>
      </c>
      <c r="BA9">
        <v>10092028</v>
      </c>
      <c r="BB9" s="6">
        <v>84</v>
      </c>
      <c r="BC9">
        <v>10092028</v>
      </c>
      <c r="BD9" s="6">
        <v>66</v>
      </c>
      <c r="BE9">
        <v>10334064</v>
      </c>
      <c r="BF9" s="6">
        <v>81</v>
      </c>
    </row>
    <row r="10" spans="2:65" x14ac:dyDescent="0.2">
      <c r="B10">
        <v>10086034</v>
      </c>
      <c r="C10" s="11">
        <v>2.63</v>
      </c>
      <c r="D10" s="11">
        <v>1.9</v>
      </c>
      <c r="E10" s="11">
        <v>1.59</v>
      </c>
      <c r="F10" s="11">
        <v>1.89</v>
      </c>
      <c r="G10" s="11">
        <v>1.72</v>
      </c>
      <c r="H10" s="11">
        <v>1.52</v>
      </c>
      <c r="I10" s="11">
        <f>AVERAGE(Tableau18[[#This Row],[Bamboo shoot]:[Clocko fruit]])</f>
        <v>1.875</v>
      </c>
      <c r="K10">
        <v>10187363</v>
      </c>
      <c r="L10" s="5">
        <f>VLOOKUP(Tableau29[[#This Row],[Player id]],Tableau18[[Player id]:[Clocko fruit]],2,0)</f>
        <v>1.82</v>
      </c>
      <c r="M10">
        <v>10041728</v>
      </c>
      <c r="N10" s="5">
        <f>VLOOKUP(Tableau310[[#This Row],[Player id]],Tableau18[[Player id]:[Clocko fruit]],3,0)</f>
        <v>2.1</v>
      </c>
      <c r="O10">
        <v>11354842</v>
      </c>
      <c r="P10" s="6">
        <f>VLOOKUP(Tableau411[[#This Row],[Player id]],Tableau18[[Player id]:[Clocko fruit]],4,0)</f>
        <v>1.87</v>
      </c>
      <c r="Q10">
        <v>10002580</v>
      </c>
      <c r="R10" s="5">
        <f>VLOOKUP(Tableau512[[#This Row],[Player id]],Tableau18[[Player id]:[Clocko fruit]],5,0)</f>
        <v>2.1800000000000002</v>
      </c>
      <c r="S10">
        <v>10002580</v>
      </c>
      <c r="T10" s="6">
        <f>VLOOKUP(Tableau613[[#This Row],[Player id]],Tableau18[[Player id]:[Clocko fruit]],5,0)</f>
        <v>2.1800000000000002</v>
      </c>
      <c r="U10">
        <v>11417755</v>
      </c>
      <c r="V10" s="5">
        <f>VLOOKUP(Tableau61314[[#This Row],[Player id]],Tableau18[[Player id]:[Clocko fruit]],6,0)</f>
        <v>1.89</v>
      </c>
      <c r="AH10" t="s">
        <v>54</v>
      </c>
      <c r="AI10" t="s">
        <v>53</v>
      </c>
      <c r="AO10">
        <v>13117515</v>
      </c>
      <c r="AP10">
        <v>64</v>
      </c>
      <c r="AQ10">
        <v>67</v>
      </c>
      <c r="AR10">
        <v>99</v>
      </c>
      <c r="AS10">
        <v>65</v>
      </c>
      <c r="AT10">
        <v>67</v>
      </c>
      <c r="AU10">
        <f>AVERAGE(Tableau1[[#This Row],[Dragon fruit]:[Clocko fruit]])</f>
        <v>72.400000000000006</v>
      </c>
      <c r="AW10">
        <v>10066347</v>
      </c>
      <c r="AX10" s="5">
        <v>76</v>
      </c>
      <c r="AY10">
        <v>18886393</v>
      </c>
      <c r="AZ10" s="5">
        <v>74</v>
      </c>
      <c r="BA10">
        <v>18886393</v>
      </c>
      <c r="BB10" s="5">
        <v>80</v>
      </c>
      <c r="BC10">
        <v>10264905</v>
      </c>
      <c r="BD10" s="6">
        <v>66</v>
      </c>
      <c r="BE10">
        <v>10430602</v>
      </c>
      <c r="BF10" s="6">
        <v>74</v>
      </c>
    </row>
    <row r="11" spans="2:65" x14ac:dyDescent="0.2">
      <c r="B11">
        <v>10002580</v>
      </c>
      <c r="C11" s="11">
        <v>1.77</v>
      </c>
      <c r="D11" s="11">
        <v>2.21</v>
      </c>
      <c r="E11" s="11">
        <v>1.55</v>
      </c>
      <c r="F11" s="11">
        <v>2.1800000000000002</v>
      </c>
      <c r="G11" s="11">
        <v>1.87</v>
      </c>
      <c r="H11" s="11">
        <v>1.58</v>
      </c>
      <c r="I11" s="11">
        <f>AVERAGE(Tableau18[[#This Row],[Bamboo shoot]:[Clocko fruit]])</f>
        <v>1.8600000000000003</v>
      </c>
      <c r="K11">
        <v>10187257</v>
      </c>
      <c r="L11" s="5">
        <f>VLOOKUP(Tableau29[[#This Row],[Player id]],Tableau18[[Player id]:[Clocko fruit]],2,0)</f>
        <v>1.91</v>
      </c>
      <c r="M11">
        <v>13682526</v>
      </c>
      <c r="N11" s="5">
        <f>VLOOKUP(Tableau310[[#This Row],[Player id]],Tableau18[[Player id]:[Clocko fruit]],3,0)</f>
        <v>2.0499999999999998</v>
      </c>
      <c r="O11">
        <v>10187363</v>
      </c>
      <c r="P11" s="5">
        <f>VLOOKUP(Tableau411[[#This Row],[Player id]],Tableau18[[Player id]:[Clocko fruit]],4,0)</f>
        <v>1.85</v>
      </c>
      <c r="Q11">
        <v>11417755</v>
      </c>
      <c r="R11" s="6">
        <f>VLOOKUP(Tableau512[[#This Row],[Player id]],Tableau18[[Player id]:[Clocko fruit]],5,0)</f>
        <v>2.12</v>
      </c>
      <c r="S11">
        <v>11417755</v>
      </c>
      <c r="T11" s="5">
        <f>VLOOKUP(Tableau613[[#This Row],[Player id]],Tableau18[[Player id]:[Clocko fruit]],5,0)</f>
        <v>2.12</v>
      </c>
      <c r="U11">
        <v>10002580</v>
      </c>
      <c r="V11" s="6">
        <f>VLOOKUP(Tableau61314[[#This Row],[Player id]],Tableau18[[Player id]:[Clocko fruit]],6,0)</f>
        <v>1.87</v>
      </c>
      <c r="AH11">
        <f>AI9-AH9^2</f>
        <v>11.1875</v>
      </c>
      <c r="AI11">
        <f>AH11^(1/2)</f>
        <v>3.344772040064913</v>
      </c>
      <c r="AO11">
        <v>18977827</v>
      </c>
      <c r="AP11">
        <v>99</v>
      </c>
      <c r="AQ11">
        <v>81</v>
      </c>
      <c r="AR11">
        <v>69</v>
      </c>
      <c r="AS11">
        <v>53</v>
      </c>
      <c r="AT11">
        <v>57</v>
      </c>
      <c r="AU11">
        <f>AVERAGE(Tableau1[[#This Row],[Dragon fruit]:[Clocko fruit]])</f>
        <v>71.8</v>
      </c>
      <c r="AW11">
        <v>10054910</v>
      </c>
      <c r="AX11" s="6">
        <v>75</v>
      </c>
      <c r="AY11">
        <v>10187363</v>
      </c>
      <c r="AZ11" s="6">
        <v>74</v>
      </c>
      <c r="BA11">
        <v>18469277</v>
      </c>
      <c r="BB11" s="6">
        <v>78</v>
      </c>
      <c r="BC11">
        <v>13117515</v>
      </c>
      <c r="BD11" s="6">
        <v>65</v>
      </c>
      <c r="BE11">
        <v>11417755</v>
      </c>
      <c r="BF11" s="6">
        <v>73</v>
      </c>
    </row>
    <row r="12" spans="2:65" x14ac:dyDescent="0.2">
      <c r="B12">
        <v>10041728</v>
      </c>
      <c r="C12" s="11">
        <v>2.06</v>
      </c>
      <c r="D12" s="11">
        <v>2.1</v>
      </c>
      <c r="E12" s="11">
        <v>1.66</v>
      </c>
      <c r="F12" s="11">
        <v>1.94</v>
      </c>
      <c r="G12" s="11">
        <v>1.59</v>
      </c>
      <c r="H12" s="11">
        <v>1.6</v>
      </c>
      <c r="I12" s="11">
        <f>AVERAGE(Tableau18[[#This Row],[Bamboo shoot]:[Clocko fruit]])</f>
        <v>1.825</v>
      </c>
      <c r="K12">
        <v>10002580</v>
      </c>
      <c r="L12" s="5">
        <f>VLOOKUP(Tableau29[[#This Row],[Player id]],Tableau18[[Player id]:[Clocko fruit]],2,0)</f>
        <v>1.77</v>
      </c>
      <c r="M12">
        <v>10132613</v>
      </c>
      <c r="N12" s="6">
        <f>VLOOKUP(Tableau310[[#This Row],[Player id]],Tableau18[[Player id]:[Clocko fruit]],3,0)</f>
        <v>1.97</v>
      </c>
      <c r="O12">
        <v>14736258</v>
      </c>
      <c r="P12" s="5">
        <f>VLOOKUP(Tableau411[[#This Row],[Player id]],Tableau18[[Player id]:[Clocko fruit]],4,0)</f>
        <v>1.8</v>
      </c>
      <c r="Q12">
        <v>18886393</v>
      </c>
      <c r="R12" s="5">
        <f>VLOOKUP(Tableau512[[#This Row],[Player id]],Tableau18[[Player id]:[Clocko fruit]],5,0)</f>
        <v>2.11</v>
      </c>
      <c r="S12">
        <v>18886393</v>
      </c>
      <c r="T12" s="6">
        <f>VLOOKUP(Tableau613[[#This Row],[Player id]],Tableau18[[Player id]:[Clocko fruit]],5,0)</f>
        <v>2.11</v>
      </c>
      <c r="U12">
        <v>10334064</v>
      </c>
      <c r="V12" s="6">
        <f>VLOOKUP(Tableau61314[[#This Row],[Player id]],Tableau18[[Player id]:[Clocko fruit]],6,0)</f>
        <v>1.85</v>
      </c>
      <c r="AO12">
        <v>10187257</v>
      </c>
      <c r="AP12">
        <v>68</v>
      </c>
      <c r="AQ12">
        <v>72</v>
      </c>
      <c r="AR12">
        <v>70</v>
      </c>
      <c r="AS12">
        <v>79</v>
      </c>
      <c r="AT12">
        <v>70</v>
      </c>
      <c r="AU12">
        <f>AVERAGE(Tableau1[[#This Row],[Dragon fruit]:[Clocko fruit]])</f>
        <v>71.8</v>
      </c>
      <c r="AW12">
        <v>10086034</v>
      </c>
      <c r="AX12" s="5">
        <v>74</v>
      </c>
      <c r="AY12">
        <v>10187257</v>
      </c>
      <c r="AZ12" s="6">
        <v>72</v>
      </c>
      <c r="BA12">
        <v>10086034</v>
      </c>
      <c r="BB12" s="5">
        <v>76</v>
      </c>
      <c r="BC12">
        <v>10334064</v>
      </c>
      <c r="BD12" s="6">
        <v>65</v>
      </c>
      <c r="BE12">
        <v>10063379</v>
      </c>
      <c r="BF12" s="6">
        <v>71</v>
      </c>
    </row>
    <row r="13" spans="2:65" x14ac:dyDescent="0.2">
      <c r="B13">
        <v>10404376</v>
      </c>
      <c r="C13" s="11">
        <v>1.73</v>
      </c>
      <c r="D13" s="11">
        <v>1.64</v>
      </c>
      <c r="E13" s="11">
        <v>1.95</v>
      </c>
      <c r="F13" s="11">
        <v>1.74</v>
      </c>
      <c r="G13" s="11">
        <v>1.64</v>
      </c>
      <c r="H13" s="11">
        <v>2.16</v>
      </c>
      <c r="I13" s="11">
        <f>AVERAGE(Tableau18[[#This Row],[Bamboo shoot]:[Clocko fruit]])</f>
        <v>1.8100000000000003</v>
      </c>
      <c r="K13">
        <v>10404376</v>
      </c>
      <c r="L13" s="5">
        <f>VLOOKUP(Tableau29[[#This Row],[Player id]],Tableau18[[Player id]:[Clocko fruit]],2,0)</f>
        <v>1.73</v>
      </c>
      <c r="M13">
        <v>18886393</v>
      </c>
      <c r="N13" s="5">
        <f>VLOOKUP(Tableau310[[#This Row],[Player id]],Tableau18[[Player id]:[Clocko fruit]],3,0)</f>
        <v>1.91</v>
      </c>
      <c r="O13">
        <v>10092028</v>
      </c>
      <c r="P13" s="6">
        <f>VLOOKUP(Tableau411[[#This Row],[Player id]],Tableau18[[Player id]:[Clocko fruit]],4,0)</f>
        <v>1.76</v>
      </c>
      <c r="Q13">
        <v>10041728</v>
      </c>
      <c r="R13" s="5">
        <f>VLOOKUP(Tableau512[[#This Row],[Player id]],Tableau18[[Player id]:[Clocko fruit]],5,0)</f>
        <v>1.94</v>
      </c>
      <c r="S13">
        <v>10041728</v>
      </c>
      <c r="T13" s="6">
        <f>VLOOKUP(Tableau613[[#This Row],[Player id]],Tableau18[[Player id]:[Clocko fruit]],5,0)</f>
        <v>1.94</v>
      </c>
      <c r="U13">
        <v>10132613</v>
      </c>
      <c r="V13" s="5">
        <f>VLOOKUP(Tableau61314[[#This Row],[Player id]],Tableau18[[Player id]:[Clocko fruit]],6,0)</f>
        <v>1.85</v>
      </c>
      <c r="AO13">
        <v>10409514</v>
      </c>
      <c r="AP13">
        <v>64</v>
      </c>
      <c r="AQ13">
        <v>65</v>
      </c>
      <c r="AR13">
        <v>67</v>
      </c>
      <c r="AS13">
        <v>63</v>
      </c>
      <c r="AT13">
        <v>98</v>
      </c>
      <c r="AU13">
        <f>AVERAGE(Tableau1[[#This Row],[Dragon fruit]:[Clocko fruit]])</f>
        <v>71.400000000000006</v>
      </c>
      <c r="AW13">
        <v>21007894</v>
      </c>
      <c r="AX13" s="5">
        <v>73</v>
      </c>
      <c r="AY13">
        <v>10092028</v>
      </c>
      <c r="AZ13" s="6">
        <v>72</v>
      </c>
      <c r="BA13">
        <v>10657966</v>
      </c>
      <c r="BB13" s="5">
        <v>76</v>
      </c>
      <c r="BC13">
        <v>10187363</v>
      </c>
      <c r="BD13" s="6">
        <v>65</v>
      </c>
      <c r="BE13">
        <v>10063379</v>
      </c>
      <c r="BF13" s="5">
        <v>71</v>
      </c>
    </row>
    <row r="14" spans="2:65" x14ac:dyDescent="0.2">
      <c r="B14">
        <v>10187257</v>
      </c>
      <c r="C14" s="59">
        <v>1.91</v>
      </c>
      <c r="D14" s="11">
        <v>1.75</v>
      </c>
      <c r="E14" s="11">
        <v>2.02</v>
      </c>
      <c r="F14" s="11">
        <v>1.76</v>
      </c>
      <c r="G14" s="11">
        <v>1.66</v>
      </c>
      <c r="H14" s="11">
        <v>1.75</v>
      </c>
      <c r="I14" s="11">
        <f>AVERAGE(Tableau18[[#This Row],[Bamboo shoot]:[Clocko fruit]])</f>
        <v>1.8083333333333333</v>
      </c>
      <c r="K14">
        <v>10213126</v>
      </c>
      <c r="L14" s="6">
        <f>VLOOKUP(Tableau29[[#This Row],[Player id]],Tableau18[[Player id]:[Clocko fruit]],2,0)</f>
        <v>1.73</v>
      </c>
      <c r="M14">
        <v>10086034</v>
      </c>
      <c r="N14" s="5">
        <f>VLOOKUP(Tableau310[[#This Row],[Player id]],Tableau18[[Player id]:[Clocko fruit]],3,0)</f>
        <v>1.9</v>
      </c>
      <c r="O14">
        <v>18886393</v>
      </c>
      <c r="P14" s="5">
        <f>VLOOKUP(Tableau411[[#This Row],[Player id]],Tableau18[[Player id]:[Clocko fruit]],4,0)</f>
        <v>1.73</v>
      </c>
      <c r="Q14">
        <v>10086034</v>
      </c>
      <c r="R14" s="6">
        <f>VLOOKUP(Tableau512[[#This Row],[Player id]],Tableau18[[Player id]:[Clocko fruit]],5,0)</f>
        <v>1.89</v>
      </c>
      <c r="S14">
        <v>10086034</v>
      </c>
      <c r="T14" s="6">
        <f>VLOOKUP(Tableau613[[#This Row],[Player id]],Tableau18[[Player id]:[Clocko fruit]],5,0)</f>
        <v>1.89</v>
      </c>
      <c r="U14">
        <v>10086034</v>
      </c>
      <c r="V14" s="6">
        <f>VLOOKUP(Tableau61314[[#This Row],[Player id]],Tableau18[[Player id]:[Clocko fruit]],6,0)</f>
        <v>1.72</v>
      </c>
      <c r="AO14">
        <v>10334064</v>
      </c>
      <c r="AP14">
        <v>70</v>
      </c>
      <c r="AQ14">
        <v>64</v>
      </c>
      <c r="AR14">
        <v>78</v>
      </c>
      <c r="AS14">
        <v>65</v>
      </c>
      <c r="AT14">
        <v>76</v>
      </c>
      <c r="AU14">
        <f>AVERAGE(Tableau1[[#This Row],[Dragon fruit]:[Clocko fruit]])</f>
        <v>70.599999999999994</v>
      </c>
      <c r="AW14">
        <v>10649142</v>
      </c>
      <c r="AX14" s="6">
        <v>73</v>
      </c>
      <c r="AY14">
        <v>10404376</v>
      </c>
      <c r="AZ14" s="6">
        <v>71</v>
      </c>
      <c r="BA14">
        <v>13682526</v>
      </c>
      <c r="BB14" s="5">
        <v>75</v>
      </c>
      <c r="BC14">
        <v>10086034</v>
      </c>
      <c r="BD14" s="5">
        <v>64</v>
      </c>
      <c r="BE14">
        <v>10187257</v>
      </c>
      <c r="BF14" s="6">
        <v>70</v>
      </c>
    </row>
    <row r="15" spans="2:65" x14ac:dyDescent="0.2">
      <c r="B15">
        <v>10409514</v>
      </c>
      <c r="C15" s="11">
        <v>1.66</v>
      </c>
      <c r="D15" s="11">
        <v>1.56</v>
      </c>
      <c r="E15" s="11">
        <v>1.53</v>
      </c>
      <c r="F15" s="11">
        <v>1.67</v>
      </c>
      <c r="G15" s="11">
        <v>1.65</v>
      </c>
      <c r="H15" s="11">
        <v>2.63</v>
      </c>
      <c r="I15" s="11">
        <f>AVERAGE(Tableau18[[#This Row],[Bamboo shoot]:[Clocko fruit]])</f>
        <v>1.7833333333333332</v>
      </c>
      <c r="K15">
        <v>10327617</v>
      </c>
      <c r="L15" s="5">
        <f>VLOOKUP(Tableau29[[#This Row],[Player id]],Tableau18[[Player id]:[Clocko fruit]],2,0)</f>
        <v>1.72</v>
      </c>
      <c r="M15">
        <v>10334064</v>
      </c>
      <c r="N15" s="6">
        <f>VLOOKUP(Tableau310[[#This Row],[Player id]],Tableau18[[Player id]:[Clocko fruit]],3,0)</f>
        <v>1.8</v>
      </c>
      <c r="O15">
        <v>10041728</v>
      </c>
      <c r="P15" s="6">
        <f>VLOOKUP(Tableau411[[#This Row],[Player id]],Tableau18[[Player id]:[Clocko fruit]],4,0)</f>
        <v>1.66</v>
      </c>
      <c r="Q15">
        <v>13682526</v>
      </c>
      <c r="R15" s="6">
        <f>VLOOKUP(Tableau512[[#This Row],[Player id]],Tableau18[[Player id]:[Clocko fruit]],5,0)</f>
        <v>1.79</v>
      </c>
      <c r="S15">
        <v>13682526</v>
      </c>
      <c r="T15" s="6">
        <f>VLOOKUP(Tableau613[[#This Row],[Player id]],Tableau18[[Player id]:[Clocko fruit]],5,0)</f>
        <v>1.79</v>
      </c>
      <c r="U15">
        <v>10187257</v>
      </c>
      <c r="V15" s="6">
        <f>VLOOKUP(Tableau61314[[#This Row],[Player id]],Tableau18[[Player id]:[Clocko fruit]],6,0)</f>
        <v>1.66</v>
      </c>
      <c r="AO15">
        <v>10048958</v>
      </c>
      <c r="AP15">
        <v>83</v>
      </c>
      <c r="AQ15">
        <v>77</v>
      </c>
      <c r="AR15">
        <v>87</v>
      </c>
      <c r="AS15">
        <v>57</v>
      </c>
      <c r="AT15">
        <v>45</v>
      </c>
      <c r="AU15">
        <f>AVERAGE(Tableau1[[#This Row],[Dragon fruit]:[Clocko fruit]])</f>
        <v>69.8</v>
      </c>
      <c r="AW15">
        <v>11354842</v>
      </c>
      <c r="AX15" s="6">
        <v>72</v>
      </c>
      <c r="AY15">
        <v>10264905</v>
      </c>
      <c r="AZ15" s="6">
        <v>71</v>
      </c>
      <c r="BA15">
        <v>10041728</v>
      </c>
      <c r="BB15" s="6">
        <v>74</v>
      </c>
      <c r="BC15">
        <v>10041728</v>
      </c>
      <c r="BD15" s="6">
        <v>64</v>
      </c>
      <c r="BE15">
        <v>10922998</v>
      </c>
      <c r="BF15" s="6">
        <v>69</v>
      </c>
    </row>
    <row r="16" spans="2:65" x14ac:dyDescent="0.2">
      <c r="B16">
        <v>11417755</v>
      </c>
      <c r="C16" s="11">
        <v>1.63</v>
      </c>
      <c r="D16" s="11">
        <v>1.57</v>
      </c>
      <c r="E16" s="11">
        <v>1.52</v>
      </c>
      <c r="F16" s="11">
        <v>2.12</v>
      </c>
      <c r="G16" s="11">
        <v>1.89</v>
      </c>
      <c r="H16" s="11">
        <v>1.87</v>
      </c>
      <c r="I16" s="11">
        <f>AVERAGE(Tableau18[[#This Row],[Bamboo shoot]:[Clocko fruit]])</f>
        <v>1.7666666666666668</v>
      </c>
      <c r="K16">
        <v>10409514</v>
      </c>
      <c r="L16" s="5">
        <f>VLOOKUP(Tableau29[[#This Row],[Player id]],Tableau18[[Player id]:[Clocko fruit]],2,0)</f>
        <v>1.66</v>
      </c>
      <c r="M16">
        <v>10092028</v>
      </c>
      <c r="N16" s="5">
        <f>VLOOKUP(Tableau310[[#This Row],[Player id]],Tableau18[[Player id]:[Clocko fruit]],3,0)</f>
        <v>1.79</v>
      </c>
      <c r="O16">
        <v>10334064</v>
      </c>
      <c r="P16" s="5">
        <f>VLOOKUP(Tableau411[[#This Row],[Player id]],Tableau18[[Player id]:[Clocko fruit]],4,0)</f>
        <v>1.65</v>
      </c>
      <c r="Q16">
        <v>10187257</v>
      </c>
      <c r="R16" s="6">
        <f>VLOOKUP(Tableau512[[#This Row],[Player id]],Tableau18[[Player id]:[Clocko fruit]],5,0)</f>
        <v>1.76</v>
      </c>
      <c r="S16">
        <v>10187257</v>
      </c>
      <c r="T16" s="6">
        <f>VLOOKUP(Tableau613[[#This Row],[Player id]],Tableau18[[Player id]:[Clocko fruit]],5,0)</f>
        <v>1.76</v>
      </c>
      <c r="U16">
        <v>10409514</v>
      </c>
      <c r="V16" s="5">
        <f>VLOOKUP(Tableau61314[[#This Row],[Player id]],Tableau18[[Player id]:[Clocko fruit]],6,0)</f>
        <v>1.65</v>
      </c>
      <c r="AO16">
        <v>10092028</v>
      </c>
      <c r="AP16">
        <v>69</v>
      </c>
      <c r="AQ16">
        <v>72</v>
      </c>
      <c r="AR16">
        <v>84</v>
      </c>
      <c r="AS16">
        <v>66</v>
      </c>
      <c r="AT16">
        <v>58</v>
      </c>
      <c r="AU16">
        <f>AVERAGE(Tableau1[[#This Row],[Dragon fruit]:[Clocko fruit]])</f>
        <v>69.8</v>
      </c>
      <c r="AW16">
        <v>14736258</v>
      </c>
      <c r="AX16" s="6">
        <v>72</v>
      </c>
      <c r="AY16">
        <v>10137032</v>
      </c>
      <c r="AZ16" s="5">
        <v>69</v>
      </c>
      <c r="BA16">
        <v>14736258</v>
      </c>
      <c r="BB16" s="6">
        <v>73</v>
      </c>
      <c r="BC16">
        <v>12252537</v>
      </c>
      <c r="BD16" s="5">
        <v>64</v>
      </c>
      <c r="BE16">
        <v>12252537</v>
      </c>
      <c r="BF16" s="5">
        <v>68</v>
      </c>
    </row>
    <row r="17" spans="2:58" x14ac:dyDescent="0.2">
      <c r="B17">
        <v>10092028</v>
      </c>
      <c r="C17" s="11">
        <v>1.58</v>
      </c>
      <c r="D17" s="11">
        <v>1.79</v>
      </c>
      <c r="E17" s="11">
        <v>1.76</v>
      </c>
      <c r="F17" s="11">
        <v>1.59</v>
      </c>
      <c r="G17" s="11">
        <v>2.2599999999999998</v>
      </c>
      <c r="H17" s="11">
        <v>1.61</v>
      </c>
      <c r="I17" s="11">
        <f>AVERAGE(Tableau18[[#This Row],[Bamboo shoot]:[Clocko fruit]])</f>
        <v>1.7649999999999999</v>
      </c>
      <c r="K17">
        <v>12252537</v>
      </c>
      <c r="L17" s="6">
        <f>VLOOKUP(Tableau29[[#This Row],[Player id]],Tableau18[[Player id]:[Clocko fruit]],2,0)</f>
        <v>1.65</v>
      </c>
      <c r="M17">
        <v>11354842</v>
      </c>
      <c r="N17" s="6">
        <f>VLOOKUP(Tableau310[[#This Row],[Player id]],Tableau18[[Player id]:[Clocko fruit]],3,0)</f>
        <v>1.77</v>
      </c>
      <c r="O17">
        <v>16944319</v>
      </c>
      <c r="P17" s="6">
        <f>VLOOKUP(Tableau411[[#This Row],[Player id]],Tableau18[[Player id]:[Clocko fruit]],4,0)</f>
        <v>1.61</v>
      </c>
      <c r="Q17">
        <v>10404376</v>
      </c>
      <c r="R17" s="6">
        <f>VLOOKUP(Tableau512[[#This Row],[Player id]],Tableau18[[Player id]:[Clocko fruit]],5,0)</f>
        <v>1.74</v>
      </c>
      <c r="S17">
        <v>10404376</v>
      </c>
      <c r="T17" s="6">
        <f>VLOOKUP(Tableau613[[#This Row],[Player id]],Tableau18[[Player id]:[Clocko fruit]],5,0)</f>
        <v>1.74</v>
      </c>
      <c r="U17">
        <v>10404376</v>
      </c>
      <c r="V17" s="6">
        <f>VLOOKUP(Tableau61314[[#This Row],[Player id]],Tableau18[[Player id]:[Clocko fruit]],6,0)</f>
        <v>1.64</v>
      </c>
      <c r="AO17">
        <v>12252537</v>
      </c>
      <c r="AP17">
        <v>76</v>
      </c>
      <c r="AQ17">
        <v>67</v>
      </c>
      <c r="AR17">
        <v>70</v>
      </c>
      <c r="AS17">
        <v>64</v>
      </c>
      <c r="AT17">
        <v>68</v>
      </c>
      <c r="AU17">
        <f>AVERAGE(Tableau1[[#This Row],[Dragon fruit]:[Clocko fruit]])</f>
        <v>69</v>
      </c>
      <c r="AW17">
        <v>15276961</v>
      </c>
      <c r="AX17" s="6">
        <v>72</v>
      </c>
      <c r="AY17">
        <v>10065853</v>
      </c>
      <c r="AZ17" s="5">
        <v>69</v>
      </c>
      <c r="BA17">
        <v>10001407</v>
      </c>
      <c r="BB17" s="5">
        <v>73</v>
      </c>
      <c r="BC17">
        <v>10063379</v>
      </c>
      <c r="BD17" s="6">
        <v>64</v>
      </c>
      <c r="BE17">
        <v>13682526</v>
      </c>
      <c r="BF17" s="5">
        <v>67</v>
      </c>
    </row>
    <row r="18" spans="2:58" x14ac:dyDescent="0.2">
      <c r="B18">
        <v>13682526</v>
      </c>
      <c r="C18" s="11">
        <v>1.47</v>
      </c>
      <c r="D18" s="11">
        <v>2.0499999999999998</v>
      </c>
      <c r="E18" s="11">
        <v>2</v>
      </c>
      <c r="F18" s="11">
        <v>1.79</v>
      </c>
      <c r="G18" s="11">
        <v>1.56</v>
      </c>
      <c r="H18" s="11">
        <v>1.65</v>
      </c>
      <c r="I18" s="11">
        <f>AVERAGE(Tableau18[[#This Row],[Bamboo shoot]:[Clocko fruit]])</f>
        <v>1.7533333333333332</v>
      </c>
      <c r="K18">
        <v>11417755</v>
      </c>
      <c r="L18" s="5">
        <f>VLOOKUP(Tableau29[[#This Row],[Player id]],Tableau18[[Player id]:[Clocko fruit]],2,0)</f>
        <v>1.63</v>
      </c>
      <c r="M18">
        <v>10327617</v>
      </c>
      <c r="N18" s="5">
        <f>VLOOKUP(Tableau310[[#This Row],[Player id]],Tableau18[[Player id]:[Clocko fruit]],3,0)</f>
        <v>1.74</v>
      </c>
      <c r="O18">
        <v>18977827</v>
      </c>
      <c r="P18" s="6">
        <f>VLOOKUP(Tableau411[[#This Row],[Player id]],Tableau18[[Player id]:[Clocko fruit]],4,0)</f>
        <v>1.6</v>
      </c>
      <c r="Q18">
        <v>12252537</v>
      </c>
      <c r="R18" s="6">
        <f>VLOOKUP(Tableau512[[#This Row],[Player id]],Tableau18[[Player id]:[Clocko fruit]],5,0)</f>
        <v>1.71</v>
      </c>
      <c r="S18">
        <v>12252537</v>
      </c>
      <c r="T18" s="5">
        <f>VLOOKUP(Tableau613[[#This Row],[Player id]],Tableau18[[Player id]:[Clocko fruit]],5,0)</f>
        <v>1.71</v>
      </c>
      <c r="U18">
        <v>10187363</v>
      </c>
      <c r="V18" s="6">
        <f>VLOOKUP(Tableau61314[[#This Row],[Player id]],Tableau18[[Player id]:[Clocko fruit]],6,0)</f>
        <v>1.62</v>
      </c>
      <c r="AO18">
        <v>10187363</v>
      </c>
      <c r="AP18">
        <v>67</v>
      </c>
      <c r="AQ18">
        <v>74</v>
      </c>
      <c r="AR18">
        <v>70</v>
      </c>
      <c r="AS18">
        <v>65</v>
      </c>
      <c r="AT18">
        <v>65</v>
      </c>
      <c r="AU18">
        <f>AVERAGE(Tableau1[[#This Row],[Dragon fruit]:[Clocko fruit]])</f>
        <v>68.2</v>
      </c>
      <c r="AW18">
        <v>17424686</v>
      </c>
      <c r="AX18" s="5">
        <v>71</v>
      </c>
      <c r="AY18">
        <v>10795976</v>
      </c>
      <c r="AZ18" s="6">
        <v>68</v>
      </c>
      <c r="BA18">
        <v>10132613</v>
      </c>
      <c r="BB18" s="5">
        <v>72</v>
      </c>
      <c r="BC18">
        <v>10063379</v>
      </c>
      <c r="BD18" s="5">
        <v>64</v>
      </c>
      <c r="BE18">
        <v>13117515</v>
      </c>
      <c r="BF18" s="6">
        <v>67</v>
      </c>
    </row>
    <row r="19" spans="2:58" x14ac:dyDescent="0.2">
      <c r="B19">
        <v>10132613</v>
      </c>
      <c r="C19" s="11">
        <v>1.61</v>
      </c>
      <c r="D19" s="11">
        <v>1.97</v>
      </c>
      <c r="E19" s="11">
        <v>1.94</v>
      </c>
      <c r="F19" s="11">
        <v>1.53</v>
      </c>
      <c r="G19" s="11">
        <v>1.85</v>
      </c>
      <c r="H19" s="11">
        <v>1.55</v>
      </c>
      <c r="I19" s="11">
        <f>AVERAGE(Tableau18[[#This Row],[Bamboo shoot]:[Clocko fruit]])</f>
        <v>1.7416666666666669</v>
      </c>
      <c r="K19">
        <v>10132613</v>
      </c>
      <c r="L19" s="5">
        <f>VLOOKUP(Tableau29[[#This Row],[Player id]],Tableau18[[Player id]:[Clocko fruit]],2,0)</f>
        <v>1.61</v>
      </c>
      <c r="M19">
        <v>10187363</v>
      </c>
      <c r="N19" s="6">
        <f>VLOOKUP(Tableau310[[#This Row],[Player id]],Tableau18[[Player id]:[Clocko fruit]],3,0)</f>
        <v>1.74</v>
      </c>
      <c r="O19">
        <v>10086034</v>
      </c>
      <c r="P19" s="5">
        <f>VLOOKUP(Tableau411[[#This Row],[Player id]],Tableau18[[Player id]:[Clocko fruit]],4,0)</f>
        <v>1.59</v>
      </c>
      <c r="Q19">
        <v>10187363</v>
      </c>
      <c r="R19" s="5">
        <f>VLOOKUP(Tableau512[[#This Row],[Player id]],Tableau18[[Player id]:[Clocko fruit]],5,0)</f>
        <v>1.71</v>
      </c>
      <c r="S19">
        <v>10187363</v>
      </c>
      <c r="T19" s="6">
        <f>VLOOKUP(Tableau613[[#This Row],[Player id]],Tableau18[[Player id]:[Clocko fruit]],5,0)</f>
        <v>1.71</v>
      </c>
      <c r="U19">
        <v>10041728</v>
      </c>
      <c r="V19" s="6">
        <f>VLOOKUP(Tableau61314[[#This Row],[Player id]],Tableau18[[Player id]:[Clocko fruit]],6,0)</f>
        <v>1.59</v>
      </c>
      <c r="AO19">
        <v>10132613</v>
      </c>
      <c r="AP19">
        <v>76</v>
      </c>
      <c r="AQ19">
        <v>77</v>
      </c>
      <c r="AR19">
        <v>72</v>
      </c>
      <c r="AS19">
        <v>51</v>
      </c>
      <c r="AT19">
        <v>64</v>
      </c>
      <c r="AU19">
        <f>AVERAGE(Tableau1[[#This Row],[Dragon fruit]:[Clocko fruit]])</f>
        <v>68</v>
      </c>
      <c r="AW19">
        <v>10001407</v>
      </c>
      <c r="AX19" s="5">
        <v>71</v>
      </c>
      <c r="AY19">
        <v>10327617</v>
      </c>
      <c r="AZ19" s="6">
        <v>68</v>
      </c>
      <c r="BA19">
        <v>10054910</v>
      </c>
      <c r="BB19" s="6">
        <v>71</v>
      </c>
      <c r="BC19">
        <v>10213126</v>
      </c>
      <c r="BD19" s="5">
        <v>64</v>
      </c>
      <c r="BE19">
        <v>16944319</v>
      </c>
      <c r="BF19" s="5">
        <v>66</v>
      </c>
    </row>
    <row r="20" spans="2:58" x14ac:dyDescent="0.2">
      <c r="B20">
        <v>10187363</v>
      </c>
      <c r="C20" s="11">
        <v>1.82</v>
      </c>
      <c r="D20" s="11">
        <v>1.74</v>
      </c>
      <c r="E20" s="11">
        <v>1.85</v>
      </c>
      <c r="F20" s="11">
        <v>1.71</v>
      </c>
      <c r="G20" s="11">
        <v>1.62</v>
      </c>
      <c r="H20" s="11">
        <v>1.7</v>
      </c>
      <c r="I20" s="11">
        <f>AVERAGE(Tableau18[[#This Row],[Bamboo shoot]:[Clocko fruit]])</f>
        <v>1.74</v>
      </c>
      <c r="K20">
        <v>10334064</v>
      </c>
      <c r="L20" s="6">
        <f>VLOOKUP(Tableau29[[#This Row],[Player id]],Tableau18[[Player id]:[Clocko fruit]],2,0)</f>
        <v>1.6</v>
      </c>
      <c r="M20">
        <v>10063379</v>
      </c>
      <c r="N20" s="5">
        <f>VLOOKUP(Tableau310[[#This Row],[Player id]],Tableau18[[Player id]:[Clocko fruit]],3,0)</f>
        <v>1.74</v>
      </c>
      <c r="O20">
        <v>10213126</v>
      </c>
      <c r="P20" s="5">
        <f>VLOOKUP(Tableau411[[#This Row],[Player id]],Tableau18[[Player id]:[Clocko fruit]],4,0)</f>
        <v>1.57</v>
      </c>
      <c r="Q20">
        <v>10213126</v>
      </c>
      <c r="R20" s="5">
        <f>VLOOKUP(Tableau512[[#This Row],[Player id]],Tableau18[[Player id]:[Clocko fruit]],5,0)</f>
        <v>1.71</v>
      </c>
      <c r="S20">
        <v>10213126</v>
      </c>
      <c r="T20" s="5">
        <f>VLOOKUP(Tableau613[[#This Row],[Player id]],Tableau18[[Player id]:[Clocko fruit]],5,0)</f>
        <v>1.71</v>
      </c>
      <c r="U20">
        <v>13682526</v>
      </c>
      <c r="V20" s="6">
        <f>VLOOKUP(Tableau61314[[#This Row],[Player id]],Tableau18[[Player id]:[Clocko fruit]],6,0)</f>
        <v>1.56</v>
      </c>
      <c r="AO20">
        <v>11354842</v>
      </c>
      <c r="AP20">
        <v>72</v>
      </c>
      <c r="AQ20">
        <v>63</v>
      </c>
      <c r="AR20">
        <v>66</v>
      </c>
      <c r="AS20">
        <v>74</v>
      </c>
      <c r="AT20">
        <v>60</v>
      </c>
      <c r="AU20">
        <f>AVERAGE(Tableau1[[#This Row],[Dragon fruit]:[Clocko fruit]])</f>
        <v>67</v>
      </c>
      <c r="AW20">
        <v>10334064</v>
      </c>
      <c r="AX20" s="6">
        <v>70</v>
      </c>
      <c r="AY20">
        <v>10080156</v>
      </c>
      <c r="AZ20" s="6">
        <v>68</v>
      </c>
      <c r="BA20">
        <v>10080156</v>
      </c>
      <c r="BB20" s="6">
        <v>71</v>
      </c>
      <c r="BC20">
        <v>10388368</v>
      </c>
      <c r="BD20" s="5">
        <v>64</v>
      </c>
      <c r="BE20">
        <v>10101668</v>
      </c>
      <c r="BF20" s="5">
        <v>76</v>
      </c>
    </row>
    <row r="21" spans="2:58" x14ac:dyDescent="0.2">
      <c r="B21">
        <v>12252537</v>
      </c>
      <c r="C21" s="11">
        <v>1.65</v>
      </c>
      <c r="D21" s="11">
        <v>2.36</v>
      </c>
      <c r="E21" s="11">
        <v>1.53</v>
      </c>
      <c r="F21" s="11">
        <v>1.71</v>
      </c>
      <c r="G21" s="11">
        <v>1.28</v>
      </c>
      <c r="H21" s="11">
        <v>1.76</v>
      </c>
      <c r="I21" s="11">
        <f>AVERAGE(Tableau18[[#This Row],[Bamboo shoot]:[Clocko fruit]])</f>
        <v>1.7149999999999999</v>
      </c>
      <c r="K21">
        <v>10063379</v>
      </c>
      <c r="L21" s="5">
        <f>VLOOKUP(Tableau29[[#This Row],[Player id]],Tableau18[[Player id]:[Clocko fruit]],2,0)</f>
        <v>1.59</v>
      </c>
      <c r="M21">
        <v>10063379</v>
      </c>
      <c r="N21" s="5">
        <f>VLOOKUP(Tableau310[[#This Row],[Player id]],Tableau18[[Player id]:[Clocko fruit]],3,0)</f>
        <v>1.74</v>
      </c>
      <c r="O21">
        <v>10063379</v>
      </c>
      <c r="P21" s="6">
        <f>VLOOKUP(Tableau411[[#This Row],[Player id]],Tableau18[[Player id]:[Clocko fruit]],4,0)</f>
        <v>1.56</v>
      </c>
      <c r="Q21">
        <v>10063379</v>
      </c>
      <c r="R21" s="5">
        <f>VLOOKUP(Tableau512[[#This Row],[Player id]],Tableau18[[Player id]:[Clocko fruit]],5,0)</f>
        <v>1.7</v>
      </c>
      <c r="S21">
        <v>10063379</v>
      </c>
      <c r="T21" s="6">
        <f>VLOOKUP(Tableau613[[#This Row],[Player id]],Tableau18[[Player id]:[Clocko fruit]],5,0)</f>
        <v>1.7</v>
      </c>
      <c r="U21">
        <v>11354842</v>
      </c>
      <c r="V21" s="5">
        <f>VLOOKUP(Tableau61314[[#This Row],[Player id]],Tableau18[[Player id]:[Clocko fruit]],6,0)</f>
        <v>1.56</v>
      </c>
      <c r="AO21">
        <v>18886393</v>
      </c>
      <c r="AP21">
        <v>66</v>
      </c>
      <c r="AQ21">
        <v>74</v>
      </c>
      <c r="AR21">
        <v>80</v>
      </c>
      <c r="AS21">
        <v>51</v>
      </c>
      <c r="AT21">
        <v>64</v>
      </c>
      <c r="AU21">
        <f>AVERAGE(Tableau1[[#This Row],[Dragon fruit]:[Clocko fruit]])</f>
        <v>67</v>
      </c>
      <c r="AW21">
        <v>10063379</v>
      </c>
      <c r="AX21" s="6">
        <v>70</v>
      </c>
      <c r="AY21">
        <v>10066347</v>
      </c>
      <c r="AZ21" s="5">
        <v>68</v>
      </c>
      <c r="BA21">
        <v>10065853</v>
      </c>
      <c r="BB21" s="5">
        <v>71</v>
      </c>
      <c r="BC21">
        <v>10409514</v>
      </c>
      <c r="BD21" s="5">
        <v>63</v>
      </c>
      <c r="BE21">
        <v>10303958</v>
      </c>
      <c r="BF21" s="6">
        <v>66</v>
      </c>
    </row>
    <row r="22" spans="2:58" x14ac:dyDescent="0.2">
      <c r="B22">
        <v>10063379</v>
      </c>
      <c r="C22" s="11">
        <v>1.59</v>
      </c>
      <c r="D22" s="11">
        <v>1.74</v>
      </c>
      <c r="E22" s="11">
        <v>1.56</v>
      </c>
      <c r="F22" s="11">
        <v>1.7</v>
      </c>
      <c r="G22" s="11">
        <v>1.55</v>
      </c>
      <c r="H22" s="11">
        <v>1.89</v>
      </c>
      <c r="I22" s="11">
        <f>AVERAGE(Tableau18[[#This Row],[Bamboo shoot]:[Clocko fruit]])</f>
        <v>1.6716666666666669</v>
      </c>
      <c r="K22">
        <v>10063379</v>
      </c>
      <c r="L22" s="6">
        <f>VLOOKUP(Tableau29[[#This Row],[Player id]],Tableau18[[Player id]:[Clocko fruit]],2,0)</f>
        <v>1.59</v>
      </c>
      <c r="M22">
        <v>10187257</v>
      </c>
      <c r="N22" s="6">
        <f>VLOOKUP(Tableau310[[#This Row],[Player id]],Tableau18[[Player id]:[Clocko fruit]],3,0)</f>
        <v>1.75</v>
      </c>
      <c r="O22">
        <v>10063379</v>
      </c>
      <c r="P22" s="6">
        <f>VLOOKUP(Tableau411[[#This Row],[Player id]],Tableau18[[Player id]:[Clocko fruit]],4,0)</f>
        <v>1.56</v>
      </c>
      <c r="Q22">
        <v>10063379</v>
      </c>
      <c r="R22" s="5">
        <f>VLOOKUP(Tableau512[[#This Row],[Player id]],Tableau18[[Player id]:[Clocko fruit]],5,0)</f>
        <v>1.7</v>
      </c>
      <c r="S22">
        <v>10063379</v>
      </c>
      <c r="T22" s="6">
        <f>VLOOKUP(Tableau613[[#This Row],[Player id]],Tableau18[[Player id]:[Clocko fruit]],5,0)</f>
        <v>1.7</v>
      </c>
      <c r="U22">
        <v>10063379</v>
      </c>
      <c r="V22" s="6">
        <f>VLOOKUP(Tableau61314[[#This Row],[Player id]],Tableau18[[Player id]:[Clocko fruit]],6,0)</f>
        <v>1.55</v>
      </c>
      <c r="AO22">
        <v>10063379</v>
      </c>
      <c r="AP22">
        <v>70</v>
      </c>
      <c r="AQ22">
        <v>61</v>
      </c>
      <c r="AR22">
        <v>68</v>
      </c>
      <c r="AS22">
        <v>64</v>
      </c>
      <c r="AT22">
        <v>71</v>
      </c>
      <c r="AU22">
        <f>AVERAGE(Tableau1[[#This Row],[Dragon fruit]:[Clocko fruit]])</f>
        <v>66.8</v>
      </c>
      <c r="AW22">
        <v>10063379</v>
      </c>
      <c r="AX22" s="5">
        <v>70</v>
      </c>
      <c r="AY22">
        <v>10066347</v>
      </c>
      <c r="AZ22" s="5">
        <v>68</v>
      </c>
      <c r="BA22">
        <v>10404376</v>
      </c>
      <c r="BB22" s="6">
        <v>70</v>
      </c>
      <c r="BC22">
        <v>16944319</v>
      </c>
      <c r="BD22" s="5">
        <v>63</v>
      </c>
      <c r="BE22">
        <v>10041728</v>
      </c>
      <c r="BF22" s="6">
        <v>65</v>
      </c>
    </row>
    <row r="23" spans="2:58" x14ac:dyDescent="0.2">
      <c r="B23">
        <v>10063379</v>
      </c>
      <c r="C23" s="11">
        <v>1.59</v>
      </c>
      <c r="D23" s="11">
        <v>1.74</v>
      </c>
      <c r="E23" s="11">
        <v>1.56</v>
      </c>
      <c r="F23" s="11">
        <v>1.7</v>
      </c>
      <c r="G23" s="11">
        <v>1.55</v>
      </c>
      <c r="H23" s="11">
        <v>1.89</v>
      </c>
      <c r="I23" s="11">
        <f>AVERAGE(Tableau18[[#This Row],[Bamboo shoot]:[Clocko fruit]])</f>
        <v>1.6716666666666669</v>
      </c>
      <c r="K23">
        <v>10092028</v>
      </c>
      <c r="L23" s="6">
        <f>VLOOKUP(Tableau29[[#This Row],[Player id]],Tableau18[[Player id]:[Clocko fruit]],2,0)</f>
        <v>1.58</v>
      </c>
      <c r="M23">
        <v>10213126</v>
      </c>
      <c r="N23" s="5">
        <f>VLOOKUP(Tableau310[[#This Row],[Player id]],Tableau18[[Player id]:[Clocko fruit]],3,0)</f>
        <v>1.71</v>
      </c>
      <c r="O23">
        <v>10002580</v>
      </c>
      <c r="P23" s="5">
        <f>VLOOKUP(Tableau411[[#This Row],[Player id]],Tableau18[[Player id]:[Clocko fruit]],4,0)</f>
        <v>1.55</v>
      </c>
      <c r="Q23">
        <v>10409514</v>
      </c>
      <c r="R23" s="6">
        <f>VLOOKUP(Tableau512[[#This Row],[Player id]],Tableau18[[Player id]:[Clocko fruit]],5,0)</f>
        <v>1.67</v>
      </c>
      <c r="S23">
        <v>10409514</v>
      </c>
      <c r="T23" s="5">
        <f>VLOOKUP(Tableau613[[#This Row],[Player id]],Tableau18[[Player id]:[Clocko fruit]],5,0)</f>
        <v>1.67</v>
      </c>
      <c r="U23">
        <v>10063379</v>
      </c>
      <c r="V23" s="6">
        <f>VLOOKUP(Tableau61314[[#This Row],[Player id]],Tableau18[[Player id]:[Clocko fruit]],6,0)</f>
        <v>1.55</v>
      </c>
      <c r="AO23">
        <v>10063379</v>
      </c>
      <c r="AP23">
        <v>70</v>
      </c>
      <c r="AQ23">
        <v>61</v>
      </c>
      <c r="AR23">
        <v>68</v>
      </c>
      <c r="AS23">
        <v>64</v>
      </c>
      <c r="AT23">
        <v>71</v>
      </c>
      <c r="AU23">
        <f>AVERAGE(Tableau1[[#This Row],[Dragon fruit]:[Clocko fruit]])</f>
        <v>66.8</v>
      </c>
      <c r="AW23">
        <v>10092028</v>
      </c>
      <c r="AX23" s="6">
        <v>69</v>
      </c>
      <c r="AY23">
        <v>10002580</v>
      </c>
      <c r="AZ23" s="5">
        <v>68</v>
      </c>
      <c r="BA23">
        <v>10187257</v>
      </c>
      <c r="BB23" s="6">
        <v>70</v>
      </c>
      <c r="BC23">
        <v>10294719</v>
      </c>
      <c r="BD23" s="5">
        <v>63</v>
      </c>
      <c r="BE23">
        <v>10187363</v>
      </c>
      <c r="BF23" s="6">
        <v>65</v>
      </c>
    </row>
    <row r="24" spans="2:58" x14ac:dyDescent="0.2">
      <c r="B24">
        <v>18886393</v>
      </c>
      <c r="C24" s="11">
        <v>1.1299999999999999</v>
      </c>
      <c r="D24" s="11">
        <v>1.91</v>
      </c>
      <c r="E24" s="11">
        <v>1.73</v>
      </c>
      <c r="F24" s="11">
        <v>2.11</v>
      </c>
      <c r="G24" s="11">
        <v>1.54</v>
      </c>
      <c r="H24" s="11">
        <v>1.61</v>
      </c>
      <c r="I24" s="11">
        <f>AVERAGE(Tableau18[[#This Row],[Bamboo shoot]:[Clocko fruit]])</f>
        <v>1.6716666666666662</v>
      </c>
      <c r="K24">
        <v>10214454</v>
      </c>
      <c r="L24" s="6">
        <f>VLOOKUP(Tableau29[[#This Row],[Player id]],Tableau18[[Player id]:[Clocko fruit]],2,0)</f>
        <v>1.55</v>
      </c>
      <c r="M24">
        <v>10214454</v>
      </c>
      <c r="N24" s="6">
        <f>VLOOKUP(Tableau310[[#This Row],[Player id]],Tableau18[[Player id]:[Clocko fruit]],3,0)</f>
        <v>1.71</v>
      </c>
      <c r="O24">
        <v>10409514</v>
      </c>
      <c r="P24" s="5">
        <f>VLOOKUP(Tableau411[[#This Row],[Player id]],Tableau18[[Player id]:[Clocko fruit]],4,0)</f>
        <v>1.53</v>
      </c>
      <c r="Q24">
        <v>10214454</v>
      </c>
      <c r="R24" s="5">
        <f>VLOOKUP(Tableau512[[#This Row],[Player id]],Tableau18[[Player id]:[Clocko fruit]],5,0)</f>
        <v>1.65</v>
      </c>
      <c r="S24">
        <v>10214454</v>
      </c>
      <c r="T24" s="5">
        <f>VLOOKUP(Tableau613[[#This Row],[Player id]],Tableau18[[Player id]:[Clocko fruit]],5,0)</f>
        <v>1.65</v>
      </c>
      <c r="U24">
        <v>18886393</v>
      </c>
      <c r="V24" s="6">
        <f>VLOOKUP(Tableau61314[[#This Row],[Player id]],Tableau18[[Player id]:[Clocko fruit]],6,0)</f>
        <v>1.54</v>
      </c>
      <c r="AO24">
        <v>14736258</v>
      </c>
      <c r="AP24">
        <v>72</v>
      </c>
      <c r="AQ24">
        <v>65</v>
      </c>
      <c r="AR24">
        <v>73</v>
      </c>
      <c r="AS24">
        <v>58</v>
      </c>
      <c r="AT24">
        <v>63</v>
      </c>
      <c r="AU24">
        <f>AVERAGE(Tableau1[[#This Row],[Dragon fruit]:[Clocko fruit]])</f>
        <v>66.2</v>
      </c>
      <c r="AW24">
        <v>10214454</v>
      </c>
      <c r="AX24" s="6">
        <v>69</v>
      </c>
      <c r="AY24">
        <v>13117515</v>
      </c>
      <c r="AZ24" s="6">
        <v>67</v>
      </c>
      <c r="BA24">
        <v>12252537</v>
      </c>
      <c r="BB24" s="5">
        <v>70</v>
      </c>
      <c r="BC24">
        <v>10002580</v>
      </c>
      <c r="BD24" s="5">
        <v>60</v>
      </c>
      <c r="BE24">
        <v>11704389</v>
      </c>
      <c r="BF24" s="5">
        <v>65</v>
      </c>
    </row>
    <row r="25" spans="2:58" x14ac:dyDescent="0.2">
      <c r="B25">
        <v>10213126</v>
      </c>
      <c r="C25" s="11">
        <v>1.73</v>
      </c>
      <c r="D25" s="11">
        <v>1.71</v>
      </c>
      <c r="E25" s="11">
        <v>1.57</v>
      </c>
      <c r="F25" s="11">
        <v>1.71</v>
      </c>
      <c r="G25" s="11">
        <v>1.54</v>
      </c>
      <c r="H25" s="11">
        <v>1.73</v>
      </c>
      <c r="I25" s="11">
        <f>AVERAGE(Tableau18[[#This Row],[Bamboo shoot]:[Clocko fruit]])</f>
        <v>1.665</v>
      </c>
      <c r="K25">
        <v>11354842</v>
      </c>
      <c r="L25" s="6">
        <f>VLOOKUP(Tableau29[[#This Row],[Player id]],Tableau18[[Player id]:[Clocko fruit]],2,0)</f>
        <v>1.54</v>
      </c>
      <c r="M25">
        <v>16944319</v>
      </c>
      <c r="N25" s="5">
        <f>VLOOKUP(Tableau310[[#This Row],[Player id]],Tableau18[[Player id]:[Clocko fruit]],3,0)</f>
        <v>1.66</v>
      </c>
      <c r="O25">
        <v>12252537</v>
      </c>
      <c r="P25" s="5">
        <f>VLOOKUP(Tableau411[[#This Row],[Player id]],Tableau18[[Player id]:[Clocko fruit]],4,0)</f>
        <v>1.53</v>
      </c>
      <c r="Q25">
        <v>11354842</v>
      </c>
      <c r="R25" s="5">
        <f>VLOOKUP(Tableau512[[#This Row],[Player id]],Tableau18[[Player id]:[Clocko fruit]],5,0)</f>
        <v>1.6</v>
      </c>
      <c r="S25">
        <v>11354842</v>
      </c>
      <c r="T25" s="5">
        <f>VLOOKUP(Tableau613[[#This Row],[Player id]],Tableau18[[Player id]:[Clocko fruit]],5,0)</f>
        <v>1.6</v>
      </c>
      <c r="U25">
        <v>10213126</v>
      </c>
      <c r="V25" s="5">
        <f>VLOOKUP(Tableau61314[[#This Row],[Player id]],Tableau18[[Player id]:[Clocko fruit]],6,0)</f>
        <v>1.54</v>
      </c>
      <c r="AO25">
        <v>16944319</v>
      </c>
      <c r="AP25">
        <v>62</v>
      </c>
      <c r="AQ25">
        <v>66</v>
      </c>
      <c r="AR25">
        <v>69</v>
      </c>
      <c r="AS25">
        <v>63</v>
      </c>
      <c r="AT25">
        <v>66</v>
      </c>
      <c r="AU25">
        <f>AVERAGE(Tableau1[[#This Row],[Dragon fruit]:[Clocko fruit]])</f>
        <v>65.2</v>
      </c>
      <c r="AW25">
        <v>10080156</v>
      </c>
      <c r="AX25" s="6">
        <v>69</v>
      </c>
      <c r="AY25">
        <v>12252537</v>
      </c>
      <c r="AZ25" s="5">
        <v>67</v>
      </c>
      <c r="BA25">
        <v>10187363</v>
      </c>
      <c r="BB25" s="6">
        <v>70</v>
      </c>
      <c r="BC25">
        <v>10137032</v>
      </c>
      <c r="BD25" s="5">
        <v>60</v>
      </c>
      <c r="BE25">
        <v>10002580</v>
      </c>
      <c r="BF25" s="5">
        <v>64</v>
      </c>
    </row>
    <row r="26" spans="2:58" x14ac:dyDescent="0.2">
      <c r="B26">
        <v>11354842</v>
      </c>
      <c r="C26" s="11">
        <v>1.54</v>
      </c>
      <c r="D26" s="11">
        <v>1.77</v>
      </c>
      <c r="E26" s="11">
        <v>1.87</v>
      </c>
      <c r="F26" s="11">
        <v>1.6</v>
      </c>
      <c r="G26" s="11">
        <v>1.56</v>
      </c>
      <c r="H26" s="11">
        <v>1.52</v>
      </c>
      <c r="I26" s="11">
        <f>AVERAGE(Tableau18[[#This Row],[Bamboo shoot]:[Clocko fruit]])</f>
        <v>1.6433333333333333</v>
      </c>
      <c r="K26">
        <v>13682526</v>
      </c>
      <c r="L26" s="5">
        <f>VLOOKUP(Tableau29[[#This Row],[Player id]],Tableau18[[Player id]:[Clocko fruit]],2,0)</f>
        <v>1.47</v>
      </c>
      <c r="M26">
        <v>10404376</v>
      </c>
      <c r="N26" s="5">
        <f>VLOOKUP(Tableau310[[#This Row],[Player id]],Tableau18[[Player id]:[Clocko fruit]],3,0)</f>
        <v>1.64</v>
      </c>
      <c r="O26">
        <v>11417755</v>
      </c>
      <c r="P26" s="6">
        <f>VLOOKUP(Tableau411[[#This Row],[Player id]],Tableau18[[Player id]:[Clocko fruit]],4,0)</f>
        <v>1.52</v>
      </c>
      <c r="Q26">
        <v>16944319</v>
      </c>
      <c r="R26" s="5">
        <f>VLOOKUP(Tableau512[[#This Row],[Player id]],Tableau18[[Player id]:[Clocko fruit]],5,0)</f>
        <v>1.6</v>
      </c>
      <c r="S26">
        <v>16944319</v>
      </c>
      <c r="T26" s="5">
        <f>VLOOKUP(Tableau613[[#This Row],[Player id]],Tableau18[[Player id]:[Clocko fruit]],5,0)</f>
        <v>1.6</v>
      </c>
      <c r="U26">
        <v>16944319</v>
      </c>
      <c r="V26" s="5">
        <f>VLOOKUP(Tableau61314[[#This Row],[Player id]],Tableau18[[Player id]:[Clocko fruit]],6,0)</f>
        <v>1.53</v>
      </c>
      <c r="AO26">
        <v>11417755</v>
      </c>
      <c r="AP26">
        <v>63</v>
      </c>
      <c r="AQ26">
        <v>64</v>
      </c>
      <c r="AR26">
        <v>70</v>
      </c>
      <c r="AS26">
        <v>55</v>
      </c>
      <c r="AT26">
        <v>73</v>
      </c>
      <c r="AU26">
        <f>AVERAGE(Tableau1[[#This Row],[Dragon fruit]:[Clocko fruit]])</f>
        <v>65</v>
      </c>
      <c r="AW26">
        <v>10763613</v>
      </c>
      <c r="AX26" s="5">
        <v>68</v>
      </c>
      <c r="AY26">
        <v>10213126</v>
      </c>
      <c r="AZ26" s="5">
        <v>67</v>
      </c>
      <c r="BA26">
        <v>11417755</v>
      </c>
      <c r="BB26" s="6">
        <v>70</v>
      </c>
      <c r="BC26">
        <v>14736258</v>
      </c>
      <c r="BD26" s="6">
        <v>58</v>
      </c>
      <c r="BE26">
        <v>10132613</v>
      </c>
      <c r="BF26" s="5">
        <v>64</v>
      </c>
    </row>
    <row r="27" spans="2:58" x14ac:dyDescent="0.2">
      <c r="B27">
        <v>16944319</v>
      </c>
      <c r="C27" s="11">
        <v>1.43</v>
      </c>
      <c r="D27" s="11">
        <v>1.66</v>
      </c>
      <c r="E27" s="11">
        <v>1.61</v>
      </c>
      <c r="F27" s="11">
        <v>1.6</v>
      </c>
      <c r="G27" s="11">
        <v>1.53</v>
      </c>
      <c r="H27" s="11">
        <v>1.55</v>
      </c>
      <c r="I27" s="11">
        <f>AVERAGE(Tableau18[[#This Row],[Bamboo shoot]:[Clocko fruit]])</f>
        <v>1.5633333333333335</v>
      </c>
      <c r="K27">
        <v>16944319</v>
      </c>
      <c r="L27" s="6">
        <f>VLOOKUP(Tableau29[[#This Row],[Player id]],Tableau18[[Player id]:[Clocko fruit]],2,0)</f>
        <v>1.43</v>
      </c>
      <c r="M27">
        <v>11417755</v>
      </c>
      <c r="N27" s="5">
        <f>VLOOKUP(Tableau310[[#This Row],[Player id]],Tableau18[[Player id]:[Clocko fruit]],3,0)</f>
        <v>1.57</v>
      </c>
      <c r="O27">
        <v>10048958</v>
      </c>
      <c r="P27" s="6">
        <f>VLOOKUP(Tableau411[[#This Row],[Player id]],Tableau18[[Player id]:[Clocko fruit]],4,0)</f>
        <v>1.49</v>
      </c>
      <c r="Q27">
        <v>10092028</v>
      </c>
      <c r="R27" s="5">
        <f>VLOOKUP(Tableau512[[#This Row],[Player id]],Tableau18[[Player id]:[Clocko fruit]],5,0)</f>
        <v>1.59</v>
      </c>
      <c r="S27">
        <v>10092028</v>
      </c>
      <c r="T27" s="5">
        <f>VLOOKUP(Tableau613[[#This Row],[Player id]],Tableau18[[Player id]:[Clocko fruit]],5,0)</f>
        <v>1.59</v>
      </c>
      <c r="U27">
        <v>10214454</v>
      </c>
      <c r="V27" s="5">
        <f>VLOOKUP(Tableau61314[[#This Row],[Player id]],Tableau18[[Player id]:[Clocko fruit]],6,0)</f>
        <v>1.33</v>
      </c>
      <c r="AO27">
        <v>10213126</v>
      </c>
      <c r="AP27">
        <v>67</v>
      </c>
      <c r="AQ27">
        <v>67</v>
      </c>
      <c r="AR27">
        <v>68</v>
      </c>
      <c r="AS27">
        <v>64</v>
      </c>
      <c r="AT27">
        <v>58</v>
      </c>
      <c r="AU27">
        <f>AVERAGE(Tableau1[[#This Row],[Dragon fruit]:[Clocko fruit]])</f>
        <v>64.8</v>
      </c>
      <c r="AW27">
        <v>10187257</v>
      </c>
      <c r="AX27" s="6">
        <v>68</v>
      </c>
      <c r="AY27">
        <v>16944319</v>
      </c>
      <c r="AZ27" s="5">
        <v>66</v>
      </c>
      <c r="BA27">
        <v>10137032</v>
      </c>
      <c r="BB27" s="5">
        <v>70</v>
      </c>
      <c r="BC27">
        <v>10392768</v>
      </c>
      <c r="BD27" s="5">
        <v>58</v>
      </c>
      <c r="BE27">
        <v>18886393</v>
      </c>
      <c r="BF27" s="5">
        <v>64</v>
      </c>
    </row>
    <row r="28" spans="2:58" x14ac:dyDescent="0.2">
      <c r="B28">
        <v>10214454</v>
      </c>
      <c r="C28" s="11">
        <v>1.55</v>
      </c>
      <c r="D28" s="11">
        <v>1.71</v>
      </c>
      <c r="E28" s="11">
        <v>0.76</v>
      </c>
      <c r="F28" s="11">
        <v>1.65</v>
      </c>
      <c r="G28" s="11">
        <v>1.33</v>
      </c>
      <c r="H28" s="11">
        <v>2.02</v>
      </c>
      <c r="I28" s="11">
        <f>AVERAGE(Tableau18[[#This Row],[Bamboo shoot]:[Clocko fruit]])</f>
        <v>1.5033333333333332</v>
      </c>
      <c r="K28">
        <v>18886393</v>
      </c>
      <c r="L28" s="6">
        <f>VLOOKUP(Tableau29[[#This Row],[Player id]],Tableau18[[Player id]:[Clocko fruit]],2,0)</f>
        <v>1.1299999999999999</v>
      </c>
      <c r="M28">
        <v>10409514</v>
      </c>
      <c r="N28" s="6">
        <f>VLOOKUP(Tableau310[[#This Row],[Player id]],Tableau18[[Player id]:[Clocko fruit]],3,0)</f>
        <v>1.56</v>
      </c>
      <c r="O28">
        <v>10214454</v>
      </c>
      <c r="P28" s="5">
        <f>VLOOKUP(Tableau411[[#This Row],[Player id]],Tableau18[[Player id]:[Clocko fruit]],4,0)</f>
        <v>0.76</v>
      </c>
      <c r="Q28">
        <v>10132613</v>
      </c>
      <c r="R28" s="5">
        <f>VLOOKUP(Tableau512[[#This Row],[Player id]],Tableau18[[Player id]:[Clocko fruit]],5,0)</f>
        <v>1.53</v>
      </c>
      <c r="S28">
        <v>10132613</v>
      </c>
      <c r="T28" s="5">
        <f>VLOOKUP(Tableau613[[#This Row],[Player id]],Tableau18[[Player id]:[Clocko fruit]],5,0)</f>
        <v>1.53</v>
      </c>
      <c r="U28">
        <v>12252537</v>
      </c>
      <c r="V28" s="5">
        <f>VLOOKUP(Tableau61314[[#This Row],[Player id]],Tableau18[[Player id]:[Clocko fruit]],6,0)</f>
        <v>1.28</v>
      </c>
      <c r="AO28">
        <v>10214454</v>
      </c>
      <c r="AP28">
        <v>69</v>
      </c>
      <c r="AQ28">
        <v>64</v>
      </c>
      <c r="AR28">
        <v>67</v>
      </c>
      <c r="AS28">
        <v>41</v>
      </c>
      <c r="AT28">
        <v>82</v>
      </c>
      <c r="AU28">
        <f>AVERAGE(Tableau1[[#This Row],[Dragon fruit]:[Clocko fruit]])</f>
        <v>64.599999999999994</v>
      </c>
      <c r="AW28">
        <v>10264905</v>
      </c>
      <c r="AX28" s="6">
        <v>68</v>
      </c>
      <c r="AY28">
        <v>10402145</v>
      </c>
      <c r="AZ28" s="6">
        <v>66</v>
      </c>
      <c r="BA28">
        <v>18977827</v>
      </c>
      <c r="BB28" s="5">
        <v>69</v>
      </c>
      <c r="BC28">
        <v>10048958</v>
      </c>
      <c r="BD28" s="5">
        <v>57</v>
      </c>
      <c r="BE28">
        <v>10388368</v>
      </c>
      <c r="BF28" s="5">
        <v>64</v>
      </c>
    </row>
    <row r="29" spans="2:58" x14ac:dyDescent="0.2">
      <c r="B29">
        <v>13087810</v>
      </c>
      <c r="C29" s="11">
        <v>2.4300000000000002</v>
      </c>
      <c r="D29" s="11">
        <v>2.46</v>
      </c>
      <c r="E29" s="11">
        <v>2.39</v>
      </c>
      <c r="F29" s="11">
        <v>2.59</v>
      </c>
      <c r="G29" s="11">
        <v>2.4700000000000002</v>
      </c>
      <c r="H29" s="11">
        <v>2.39</v>
      </c>
      <c r="I29" s="11">
        <f>AVERAGE(Tableau18[[#This Row],[Bamboo shoot]:[Clocko fruit]])</f>
        <v>2.4550000000000005</v>
      </c>
      <c r="K29">
        <v>10137032</v>
      </c>
      <c r="L29" s="6" t="e">
        <f>VLOOKUP(Tableau29[[#This Row],[Player id]],Tableau18[[Player id]:[Clocko fruit]],2,0)</f>
        <v>#N/A</v>
      </c>
      <c r="M29">
        <v>10137032</v>
      </c>
      <c r="N29" s="5" t="e">
        <f>VLOOKUP(Tableau310[[#This Row],[Player id]],Tableau18[[Player id]:[Clocko fruit]],3,0)</f>
        <v>#N/A</v>
      </c>
      <c r="O29">
        <v>10137032</v>
      </c>
      <c r="P29" s="5" t="e">
        <f>VLOOKUP(Tableau411[[#This Row],[Player id]],Tableau18[[Player id]:[Clocko fruit]],4,0)</f>
        <v>#N/A</v>
      </c>
      <c r="Q29">
        <v>10137032</v>
      </c>
      <c r="R29" s="6" t="e">
        <f>VLOOKUP(Tableau512[[#This Row],[Player id]],Tableau18[[Player id]:[Clocko fruit]],5,0)</f>
        <v>#N/A</v>
      </c>
      <c r="S29">
        <v>10137032</v>
      </c>
      <c r="T29" s="5" t="e">
        <f>VLOOKUP(Tableau613[[#This Row],[Player id]],Tableau18[[Player id]:[Clocko fruit]],5,0)</f>
        <v>#N/A</v>
      </c>
      <c r="U29">
        <v>10137032</v>
      </c>
      <c r="V29" s="5" t="e">
        <f>VLOOKUP(Tableau61314[[#This Row],[Player id]],Tableau18[[Player id]:[Clocko fruit]],6,0)</f>
        <v>#N/A</v>
      </c>
      <c r="AO29">
        <v>10137032</v>
      </c>
      <c r="AP29">
        <v>67</v>
      </c>
      <c r="AQ29">
        <v>69</v>
      </c>
      <c r="AR29">
        <v>70</v>
      </c>
      <c r="AS29">
        <v>60</v>
      </c>
      <c r="AT29">
        <v>55</v>
      </c>
      <c r="AU29">
        <f>AVERAGE(Tableau1[[#This Row],[Dragon fruit]:[Clocko fruit]])</f>
        <v>64.2</v>
      </c>
      <c r="AW29" s="10">
        <v>10795976</v>
      </c>
      <c r="AX29" s="6">
        <v>75</v>
      </c>
      <c r="AY29">
        <v>10392768</v>
      </c>
      <c r="AZ29" s="5">
        <v>66</v>
      </c>
      <c r="BA29">
        <v>16944319</v>
      </c>
      <c r="BB29" s="5">
        <v>69</v>
      </c>
      <c r="BC29">
        <v>10080156</v>
      </c>
      <c r="BD29" s="6">
        <v>56</v>
      </c>
      <c r="BE29">
        <v>21007894</v>
      </c>
      <c r="BF29" s="5">
        <v>64</v>
      </c>
    </row>
    <row r="30" spans="2:58" x14ac:dyDescent="0.2">
      <c r="B30">
        <v>10054910</v>
      </c>
      <c r="C30" s="11">
        <v>0</v>
      </c>
      <c r="D30" s="11"/>
      <c r="E30" s="11"/>
      <c r="F30" s="11"/>
      <c r="G30" s="11"/>
      <c r="H30" s="11"/>
      <c r="I30" s="11">
        <f>AVERAGE(Tableau18[[#This Row],[Bamboo shoot]:[Clocko fruit]])</f>
        <v>0</v>
      </c>
      <c r="K30">
        <v>10054910</v>
      </c>
      <c r="L30" s="6">
        <f>VLOOKUP(Tableau29[[#This Row],[Player id]],Tableau18[[Player id]:[Clocko fruit]],2,0)</f>
        <v>0</v>
      </c>
      <c r="M30">
        <v>10054910</v>
      </c>
      <c r="N30" s="6">
        <f>VLOOKUP(Tableau310[[#This Row],[Player id]],Tableau18[[Player id]:[Clocko fruit]],3,0)</f>
        <v>0</v>
      </c>
      <c r="O30">
        <v>10054910</v>
      </c>
      <c r="P30" s="6">
        <f>VLOOKUP(Tableau411[[#This Row],[Player id]],Tableau18[[Player id]:[Clocko fruit]],4,0)</f>
        <v>0</v>
      </c>
      <c r="Q30">
        <v>10054910</v>
      </c>
      <c r="R30" s="6">
        <f>VLOOKUP(Tableau512[[#This Row],[Player id]],Tableau18[[Player id]:[Clocko fruit]],5,0)</f>
        <v>0</v>
      </c>
      <c r="S30">
        <v>10054910</v>
      </c>
      <c r="T30" s="5">
        <f>VLOOKUP(Tableau613[[#This Row],[Player id]],Tableau18[[Player id]:[Clocko fruit]],5,0)</f>
        <v>0</v>
      </c>
      <c r="U30">
        <v>10054910</v>
      </c>
      <c r="V30" s="5">
        <f>VLOOKUP(Tableau61314[[#This Row],[Player id]],Tableau18[[Player id]:[Clocko fruit]],6,0)</f>
        <v>0</v>
      </c>
      <c r="AO30">
        <v>10054910</v>
      </c>
      <c r="AP30">
        <v>75</v>
      </c>
      <c r="AQ30">
        <v>64</v>
      </c>
      <c r="AR30">
        <v>71</v>
      </c>
      <c r="AS30">
        <v>54</v>
      </c>
      <c r="AT30">
        <v>56</v>
      </c>
      <c r="AU30">
        <f>AVERAGE(Tableau1[[#This Row],[Dragon fruit]:[Clocko fruit]])</f>
        <v>64</v>
      </c>
      <c r="AW30">
        <v>10016173</v>
      </c>
      <c r="AX30" s="6">
        <v>68</v>
      </c>
      <c r="AY30">
        <v>10094766</v>
      </c>
      <c r="AZ30" s="6">
        <v>66</v>
      </c>
      <c r="BA30">
        <v>10063379</v>
      </c>
      <c r="BB30" s="6">
        <v>68</v>
      </c>
      <c r="BC30">
        <v>11417755</v>
      </c>
      <c r="BD30" s="6">
        <v>55</v>
      </c>
      <c r="BE30">
        <v>10254632</v>
      </c>
      <c r="BF30" s="5">
        <v>64</v>
      </c>
    </row>
    <row r="31" spans="2:58" x14ac:dyDescent="0.2">
      <c r="B31">
        <v>10392768</v>
      </c>
      <c r="C31" s="11">
        <v>0</v>
      </c>
      <c r="D31" s="11"/>
      <c r="E31" s="11"/>
      <c r="F31" s="11"/>
      <c r="G31" s="11"/>
      <c r="H31" s="11"/>
      <c r="I31" s="11">
        <f>AVERAGE(Tableau18[[#This Row],[Bamboo shoot]:[Clocko fruit]])</f>
        <v>0</v>
      </c>
      <c r="K31">
        <v>10392768</v>
      </c>
      <c r="L31" s="6">
        <f>VLOOKUP(Tableau29[[#This Row],[Player id]],Tableau18[[Player id]:[Clocko fruit]],2,0)</f>
        <v>0</v>
      </c>
      <c r="M31">
        <v>10392768</v>
      </c>
      <c r="N31" s="6">
        <f>VLOOKUP(Tableau310[[#This Row],[Player id]],Tableau18[[Player id]:[Clocko fruit]],3,0)</f>
        <v>0</v>
      </c>
      <c r="O31">
        <v>10392768</v>
      </c>
      <c r="P31" s="5">
        <f>VLOOKUP(Tableau411[[#This Row],[Player id]],Tableau18[[Player id]:[Clocko fruit]],4,0)</f>
        <v>0</v>
      </c>
      <c r="Q31">
        <v>10392768</v>
      </c>
      <c r="R31" s="6">
        <f>VLOOKUP(Tableau512[[#This Row],[Player id]],Tableau18[[Player id]:[Clocko fruit]],5,0)</f>
        <v>0</v>
      </c>
      <c r="S31">
        <v>10392768</v>
      </c>
      <c r="T31" s="5">
        <f>VLOOKUP(Tableau613[[#This Row],[Player id]],Tableau18[[Player id]:[Clocko fruit]],5,0)</f>
        <v>0</v>
      </c>
      <c r="U31">
        <v>10392768</v>
      </c>
      <c r="V31" s="5">
        <f>VLOOKUP(Tableau61314[[#This Row],[Player id]],Tableau18[[Player id]:[Clocko fruit]],6,0)</f>
        <v>0</v>
      </c>
      <c r="AO31">
        <v>10392768</v>
      </c>
      <c r="AP31">
        <v>65</v>
      </c>
      <c r="AQ31">
        <v>66</v>
      </c>
      <c r="AR31">
        <v>67</v>
      </c>
      <c r="AS31">
        <v>58</v>
      </c>
      <c r="AT31">
        <v>63</v>
      </c>
      <c r="AU31">
        <f>AVERAGE(Tableau1[[#This Row],[Dragon fruit]:[Clocko fruit]])</f>
        <v>63.8</v>
      </c>
      <c r="AW31">
        <v>10327617</v>
      </c>
      <c r="AX31" s="6">
        <v>67</v>
      </c>
      <c r="AY31">
        <v>14736258</v>
      </c>
      <c r="AZ31" s="6">
        <v>65</v>
      </c>
      <c r="BA31">
        <v>10063379</v>
      </c>
      <c r="BB31" s="5">
        <v>68</v>
      </c>
      <c r="BC31">
        <v>10131593</v>
      </c>
      <c r="BD31" s="6">
        <v>55</v>
      </c>
      <c r="BE31">
        <v>10086034</v>
      </c>
      <c r="BF31" s="5">
        <v>63</v>
      </c>
    </row>
    <row r="32" spans="2:58" x14ac:dyDescent="0.2">
      <c r="B32">
        <v>10094766</v>
      </c>
      <c r="C32" s="11">
        <v>0</v>
      </c>
      <c r="D32" s="11"/>
      <c r="E32" s="11"/>
      <c r="F32" s="11"/>
      <c r="G32" s="11"/>
      <c r="H32" s="11"/>
      <c r="I32" s="11">
        <f>AVERAGE(Tableau18[[#This Row],[Bamboo shoot]:[Clocko fruit]])</f>
        <v>0</v>
      </c>
      <c r="K32">
        <v>10094766</v>
      </c>
      <c r="L32" s="6">
        <f>VLOOKUP(Tableau29[[#This Row],[Player id]],Tableau18[[Player id]:[Clocko fruit]],2,0)</f>
        <v>0</v>
      </c>
      <c r="M32">
        <v>10094766</v>
      </c>
      <c r="N32" s="5">
        <f>VLOOKUP(Tableau310[[#This Row],[Player id]],Tableau18[[Player id]:[Clocko fruit]],3,0)</f>
        <v>0</v>
      </c>
      <c r="O32">
        <v>10094766</v>
      </c>
      <c r="P32" s="5">
        <f>VLOOKUP(Tableau411[[#This Row],[Player id]],Tableau18[[Player id]:[Clocko fruit]],4,0)</f>
        <v>0</v>
      </c>
      <c r="Q32">
        <v>10094766</v>
      </c>
      <c r="R32" s="6">
        <f>VLOOKUP(Tableau512[[#This Row],[Player id]],Tableau18[[Player id]:[Clocko fruit]],5,0)</f>
        <v>0</v>
      </c>
      <c r="S32">
        <v>10094766</v>
      </c>
      <c r="T32" s="6">
        <f>VLOOKUP(Tableau613[[#This Row],[Player id]],Tableau18[[Player id]:[Clocko fruit]],5,0)</f>
        <v>0</v>
      </c>
      <c r="U32">
        <v>10094766</v>
      </c>
      <c r="V32" s="6">
        <f>VLOOKUP(Tableau61314[[#This Row],[Player id]],Tableau18[[Player id]:[Clocko fruit]],6,0)</f>
        <v>0</v>
      </c>
      <c r="AO32">
        <v>10094766</v>
      </c>
      <c r="AP32">
        <v>67</v>
      </c>
      <c r="AQ32">
        <v>66</v>
      </c>
      <c r="AR32">
        <v>68</v>
      </c>
      <c r="AS32">
        <v>53</v>
      </c>
      <c r="AT32">
        <v>63</v>
      </c>
      <c r="AU32">
        <f>AVERAGE(Tableau1[[#This Row],[Dragon fruit]:[Clocko fruit]])</f>
        <v>63.4</v>
      </c>
      <c r="AW32">
        <v>10187363</v>
      </c>
      <c r="AX32" s="6">
        <v>67</v>
      </c>
      <c r="AY32">
        <v>10654816</v>
      </c>
      <c r="AZ32" s="5">
        <v>65</v>
      </c>
      <c r="BA32">
        <v>10213126</v>
      </c>
      <c r="BB32" s="5">
        <v>68</v>
      </c>
      <c r="BC32">
        <v>10402145</v>
      </c>
      <c r="BD32" s="6">
        <v>55</v>
      </c>
      <c r="BE32">
        <v>14736258</v>
      </c>
      <c r="BF32" s="6">
        <v>63</v>
      </c>
    </row>
    <row r="33" spans="2:58" x14ac:dyDescent="0.2">
      <c r="B33">
        <v>10388368</v>
      </c>
      <c r="C33" s="11">
        <v>0</v>
      </c>
      <c r="D33" s="11"/>
      <c r="E33" s="11"/>
      <c r="F33" s="11"/>
      <c r="G33" s="11"/>
      <c r="H33" s="11"/>
      <c r="I33" s="11">
        <f>AVERAGE(Tableau18[[#This Row],[Bamboo shoot]:[Clocko fruit]])</f>
        <v>0</v>
      </c>
      <c r="K33">
        <v>10388368</v>
      </c>
      <c r="L33" s="5">
        <f>VLOOKUP(Tableau29[[#This Row],[Player id]],Tableau18[[Player id]:[Clocko fruit]],2,0)</f>
        <v>0</v>
      </c>
      <c r="M33">
        <v>10388368</v>
      </c>
      <c r="N33" s="6">
        <f>VLOOKUP(Tableau310[[#This Row],[Player id]],Tableau18[[Player id]:[Clocko fruit]],3,0)</f>
        <v>0</v>
      </c>
      <c r="O33">
        <v>10388368</v>
      </c>
      <c r="P33" s="6">
        <f>VLOOKUP(Tableau411[[#This Row],[Player id]],Tableau18[[Player id]:[Clocko fruit]],4,0)</f>
        <v>0</v>
      </c>
      <c r="Q33">
        <v>10388368</v>
      </c>
      <c r="R33" s="6">
        <f>VLOOKUP(Tableau512[[#This Row],[Player id]],Tableau18[[Player id]:[Clocko fruit]],5,0)</f>
        <v>0</v>
      </c>
      <c r="S33">
        <v>10388368</v>
      </c>
      <c r="T33" s="5">
        <f>VLOOKUP(Tableau613[[#This Row],[Player id]],Tableau18[[Player id]:[Clocko fruit]],5,0)</f>
        <v>0</v>
      </c>
      <c r="U33">
        <v>10388368</v>
      </c>
      <c r="V33" s="5">
        <f>VLOOKUP(Tableau61314[[#This Row],[Player id]],Tableau18[[Player id]:[Clocko fruit]],6,0)</f>
        <v>0</v>
      </c>
      <c r="AO33">
        <v>10388368</v>
      </c>
      <c r="AP33">
        <v>64</v>
      </c>
      <c r="AQ33">
        <v>56</v>
      </c>
      <c r="AR33">
        <v>68</v>
      </c>
      <c r="AS33">
        <v>64</v>
      </c>
      <c r="AT33">
        <v>64</v>
      </c>
      <c r="AU33">
        <f>AVERAGE(Tableau1[[#This Row],[Dragon fruit]:[Clocko fruit]])</f>
        <v>63.2</v>
      </c>
      <c r="AW33">
        <v>10213126</v>
      </c>
      <c r="AX33" s="5">
        <v>67</v>
      </c>
      <c r="AY33">
        <v>10649142</v>
      </c>
      <c r="AZ33" s="6">
        <v>65</v>
      </c>
      <c r="BA33">
        <v>10094766</v>
      </c>
      <c r="BB33" s="6">
        <v>68</v>
      </c>
      <c r="BC33">
        <v>10054910</v>
      </c>
      <c r="BD33" s="6">
        <v>54</v>
      </c>
      <c r="BE33">
        <v>10392768</v>
      </c>
      <c r="BF33" s="5">
        <v>63</v>
      </c>
    </row>
    <row r="34" spans="2:58" x14ac:dyDescent="0.2">
      <c r="B34">
        <v>10430602</v>
      </c>
      <c r="C34" s="11">
        <v>0</v>
      </c>
      <c r="D34" s="11"/>
      <c r="E34" s="11"/>
      <c r="F34" s="11"/>
      <c r="G34" s="11"/>
      <c r="H34" s="11"/>
      <c r="I34" s="11">
        <f>AVERAGE(Tableau18[[#This Row],[Bamboo shoot]:[Clocko fruit]])</f>
        <v>0</v>
      </c>
      <c r="K34">
        <v>10430602</v>
      </c>
      <c r="L34" s="5">
        <f>VLOOKUP(Tableau29[[#This Row],[Player id]],Tableau18[[Player id]:[Clocko fruit]],2,0)</f>
        <v>0</v>
      </c>
      <c r="M34">
        <v>10430602</v>
      </c>
      <c r="N34" s="5">
        <f>VLOOKUP(Tableau310[[#This Row],[Player id]],Tableau18[[Player id]:[Clocko fruit]],3,0)</f>
        <v>0</v>
      </c>
      <c r="O34">
        <v>10430602</v>
      </c>
      <c r="P34" s="5">
        <f>VLOOKUP(Tableau411[[#This Row],[Player id]],Tableau18[[Player id]:[Clocko fruit]],4,0)</f>
        <v>0</v>
      </c>
      <c r="Q34">
        <v>10430602</v>
      </c>
      <c r="R34" s="5">
        <f>VLOOKUP(Tableau512[[#This Row],[Player id]],Tableau18[[Player id]:[Clocko fruit]],5,0)</f>
        <v>0</v>
      </c>
      <c r="S34">
        <v>10430602</v>
      </c>
      <c r="T34" s="6">
        <f>VLOOKUP(Tableau613[[#This Row],[Player id]],Tableau18[[Player id]:[Clocko fruit]],5,0)</f>
        <v>0</v>
      </c>
      <c r="U34">
        <v>10430602</v>
      </c>
      <c r="V34" s="6">
        <f>VLOOKUP(Tableau61314[[#This Row],[Player id]],Tableau18[[Player id]:[Clocko fruit]],6,0)</f>
        <v>0</v>
      </c>
      <c r="AO34">
        <v>10430602</v>
      </c>
      <c r="AP34">
        <v>62</v>
      </c>
      <c r="AQ34">
        <v>64</v>
      </c>
      <c r="AR34">
        <v>67</v>
      </c>
      <c r="AS34">
        <v>48</v>
      </c>
      <c r="AT34">
        <v>74</v>
      </c>
      <c r="AU34">
        <f>AVERAGE(Tableau1[[#This Row],[Dragon fruit]:[Clocko fruit]])</f>
        <v>63</v>
      </c>
      <c r="AW34">
        <v>10137032</v>
      </c>
      <c r="AX34" s="5">
        <v>67</v>
      </c>
      <c r="AY34">
        <v>10409514</v>
      </c>
      <c r="AZ34" s="5">
        <v>65</v>
      </c>
      <c r="BA34">
        <v>10388368</v>
      </c>
      <c r="BB34" s="5">
        <v>68</v>
      </c>
      <c r="BC34">
        <v>18977827</v>
      </c>
      <c r="BD34" s="5">
        <v>53</v>
      </c>
      <c r="BE34">
        <v>10094766</v>
      </c>
      <c r="BF34" s="6">
        <v>63</v>
      </c>
    </row>
    <row r="35" spans="2:58" x14ac:dyDescent="0.2">
      <c r="B35">
        <v>10066347</v>
      </c>
      <c r="C35" s="11">
        <v>0</v>
      </c>
      <c r="D35" s="11"/>
      <c r="E35" s="11"/>
      <c r="F35" s="11"/>
      <c r="G35" s="11"/>
      <c r="H35" s="11"/>
      <c r="I35" s="11">
        <f>AVERAGE(Tableau18[[#This Row],[Bamboo shoot]:[Clocko fruit]])</f>
        <v>0</v>
      </c>
      <c r="K35">
        <v>10066347</v>
      </c>
      <c r="L35" s="6">
        <f>VLOOKUP(Tableau29[[#This Row],[Player id]],Tableau18[[Player id]:[Clocko fruit]],2,0)</f>
        <v>0</v>
      </c>
      <c r="M35">
        <v>10066347</v>
      </c>
      <c r="N35" s="6">
        <f>VLOOKUP(Tableau310[[#This Row],[Player id]],Tableau18[[Player id]:[Clocko fruit]],3,0)</f>
        <v>0</v>
      </c>
      <c r="O35">
        <v>10066347</v>
      </c>
      <c r="P35" s="5">
        <f>VLOOKUP(Tableau411[[#This Row],[Player id]],Tableau18[[Player id]:[Clocko fruit]],4,0)</f>
        <v>0</v>
      </c>
      <c r="Q35">
        <v>10066347</v>
      </c>
      <c r="R35" s="6">
        <f>VLOOKUP(Tableau512[[#This Row],[Player id]],Tableau18[[Player id]:[Clocko fruit]],5,0)</f>
        <v>0</v>
      </c>
      <c r="S35">
        <v>10066347</v>
      </c>
      <c r="T35" s="5">
        <f>VLOOKUP(Tableau613[[#This Row],[Player id]],Tableau18[[Player id]:[Clocko fruit]],5,0)</f>
        <v>0</v>
      </c>
      <c r="U35">
        <v>10066347</v>
      </c>
      <c r="V35" s="5">
        <f>VLOOKUP(Tableau61314[[#This Row],[Player id]],Tableau18[[Player id]:[Clocko fruit]],6,0)</f>
        <v>0</v>
      </c>
      <c r="AO35">
        <v>10066347</v>
      </c>
      <c r="AP35">
        <v>76</v>
      </c>
      <c r="AQ35">
        <v>68</v>
      </c>
      <c r="AR35">
        <v>66</v>
      </c>
      <c r="AS35">
        <v>52</v>
      </c>
      <c r="AT35">
        <v>52</v>
      </c>
      <c r="AU35">
        <f>AVERAGE(Tableau1[[#This Row],[Dragon fruit]:[Clocko fruit]])</f>
        <v>62.8</v>
      </c>
      <c r="AW35">
        <v>10094766</v>
      </c>
      <c r="AX35" s="6">
        <v>67</v>
      </c>
      <c r="AY35">
        <v>10201365</v>
      </c>
      <c r="AZ35" s="6">
        <v>65</v>
      </c>
      <c r="BA35">
        <v>10409514</v>
      </c>
      <c r="BB35" s="5">
        <v>67</v>
      </c>
      <c r="BC35">
        <v>10094766</v>
      </c>
      <c r="BD35" s="6">
        <v>53</v>
      </c>
      <c r="BE35">
        <v>10065853</v>
      </c>
      <c r="BF35" s="5">
        <v>63</v>
      </c>
    </row>
    <row r="36" spans="2:58" x14ac:dyDescent="0.2">
      <c r="B36">
        <v>10080156</v>
      </c>
      <c r="C36" s="11">
        <v>0</v>
      </c>
      <c r="D36" s="11"/>
      <c r="E36" s="11"/>
      <c r="F36" s="11"/>
      <c r="G36" s="11"/>
      <c r="H36" s="11"/>
      <c r="I36" s="11">
        <f>AVERAGE(Tableau18[[#This Row],[Bamboo shoot]:[Clocko fruit]])</f>
        <v>0</v>
      </c>
      <c r="K36">
        <v>10080156</v>
      </c>
      <c r="L36" s="6">
        <f>VLOOKUP(Tableau29[[#This Row],[Player id]],Tableau18[[Player id]:[Clocko fruit]],2,0)</f>
        <v>0</v>
      </c>
      <c r="M36">
        <v>10080156</v>
      </c>
      <c r="N36" s="6">
        <f>VLOOKUP(Tableau310[[#This Row],[Player id]],Tableau18[[Player id]:[Clocko fruit]],3,0)</f>
        <v>0</v>
      </c>
      <c r="O36">
        <v>10080156</v>
      </c>
      <c r="P36" s="6">
        <f>VLOOKUP(Tableau411[[#This Row],[Player id]],Tableau18[[Player id]:[Clocko fruit]],4,0)</f>
        <v>0</v>
      </c>
      <c r="Q36">
        <v>10080156</v>
      </c>
      <c r="R36" s="6">
        <f>VLOOKUP(Tableau512[[#This Row],[Player id]],Tableau18[[Player id]:[Clocko fruit]],5,0)</f>
        <v>0</v>
      </c>
      <c r="S36">
        <v>10080156</v>
      </c>
      <c r="T36" s="5">
        <f>VLOOKUP(Tableau613[[#This Row],[Player id]],Tableau18[[Player id]:[Clocko fruit]],5,0)</f>
        <v>0</v>
      </c>
      <c r="U36">
        <v>10080156</v>
      </c>
      <c r="V36" s="5">
        <f>VLOOKUP(Tableau61314[[#This Row],[Player id]],Tableau18[[Player id]:[Clocko fruit]],6,0)</f>
        <v>0</v>
      </c>
      <c r="AO36">
        <v>10080156</v>
      </c>
      <c r="AP36">
        <v>69</v>
      </c>
      <c r="AQ36">
        <v>68</v>
      </c>
      <c r="AR36">
        <v>71</v>
      </c>
      <c r="AS36">
        <v>56</v>
      </c>
      <c r="AT36">
        <v>50</v>
      </c>
      <c r="AU36">
        <f>AVERAGE(Tableau1[[#This Row],[Dragon fruit]:[Clocko fruit]])</f>
        <v>62.8</v>
      </c>
      <c r="AW36">
        <v>10404376</v>
      </c>
      <c r="AX36" s="6">
        <v>66</v>
      </c>
      <c r="AY36">
        <v>10131593</v>
      </c>
      <c r="AZ36" s="6">
        <v>65</v>
      </c>
      <c r="BA36">
        <v>10214454</v>
      </c>
      <c r="BB36" s="6">
        <v>67</v>
      </c>
      <c r="BC36">
        <v>10795976</v>
      </c>
      <c r="BD36" s="6">
        <v>53</v>
      </c>
      <c r="BE36">
        <v>10284645</v>
      </c>
      <c r="BF36" s="5">
        <v>63</v>
      </c>
    </row>
    <row r="37" spans="2:58" x14ac:dyDescent="0.2">
      <c r="B37">
        <v>10066347</v>
      </c>
      <c r="C37" s="11">
        <v>0</v>
      </c>
      <c r="D37" s="11"/>
      <c r="E37" s="11"/>
      <c r="F37" s="11"/>
      <c r="G37" s="11"/>
      <c r="H37" s="11"/>
      <c r="I37" s="11">
        <f>AVERAGE(Tableau18[[#This Row],[Bamboo shoot]:[Clocko fruit]])</f>
        <v>0</v>
      </c>
      <c r="K37">
        <v>10066347</v>
      </c>
      <c r="L37" s="5">
        <f>VLOOKUP(Tableau29[[#This Row],[Player id]],Tableau18[[Player id]:[Clocko fruit]],2,0)</f>
        <v>0</v>
      </c>
      <c r="M37">
        <v>10066347</v>
      </c>
      <c r="N37" s="6">
        <f>VLOOKUP(Tableau310[[#This Row],[Player id]],Tableau18[[Player id]:[Clocko fruit]],3,0)</f>
        <v>0</v>
      </c>
      <c r="O37">
        <v>10066347</v>
      </c>
      <c r="P37" s="5">
        <f>VLOOKUP(Tableau411[[#This Row],[Player id]],Tableau18[[Player id]:[Clocko fruit]],4,0)</f>
        <v>0</v>
      </c>
      <c r="Q37">
        <v>10066347</v>
      </c>
      <c r="R37" s="5">
        <f>VLOOKUP(Tableau512[[#This Row],[Player id]],Tableau18[[Player id]:[Clocko fruit]],5,0)</f>
        <v>0</v>
      </c>
      <c r="S37">
        <v>10066347</v>
      </c>
      <c r="T37" s="6">
        <f>VLOOKUP(Tableau613[[#This Row],[Player id]],Tableau18[[Player id]:[Clocko fruit]],5,0)</f>
        <v>0</v>
      </c>
      <c r="U37">
        <v>10066347</v>
      </c>
      <c r="V37" s="6">
        <f>VLOOKUP(Tableau61314[[#This Row],[Player id]],Tableau18[[Player id]:[Clocko fruit]],6,0)</f>
        <v>0</v>
      </c>
      <c r="AO37">
        <v>10066347</v>
      </c>
      <c r="AP37">
        <v>76</v>
      </c>
      <c r="AQ37">
        <v>68</v>
      </c>
      <c r="AR37">
        <v>66</v>
      </c>
      <c r="AS37">
        <v>52</v>
      </c>
      <c r="AT37">
        <v>52</v>
      </c>
      <c r="AU37">
        <f>AVERAGE(Tableau1[[#This Row],[Dragon fruit]:[Clocko fruit]])</f>
        <v>62.8</v>
      </c>
      <c r="AW37">
        <v>18886393</v>
      </c>
      <c r="AX37" s="5">
        <v>66</v>
      </c>
      <c r="AY37">
        <v>10016173</v>
      </c>
      <c r="AZ37" s="6">
        <v>65</v>
      </c>
      <c r="BA37">
        <v>10392768</v>
      </c>
      <c r="BB37" s="5">
        <v>67</v>
      </c>
      <c r="BC37">
        <v>10066347</v>
      </c>
      <c r="BD37" s="5">
        <v>52</v>
      </c>
      <c r="BE37">
        <v>11354842</v>
      </c>
      <c r="BF37" s="6">
        <v>60</v>
      </c>
    </row>
    <row r="38" spans="2:58" x14ac:dyDescent="0.2">
      <c r="B38">
        <v>10264905</v>
      </c>
      <c r="C38" s="11">
        <v>0</v>
      </c>
      <c r="D38" s="11"/>
      <c r="E38" s="11"/>
      <c r="F38" s="11"/>
      <c r="G38" s="11"/>
      <c r="H38" s="11"/>
      <c r="I38" s="11">
        <f>AVERAGE(Tableau18[[#This Row],[Bamboo shoot]:[Clocko fruit]])</f>
        <v>0</v>
      </c>
      <c r="K38">
        <v>10264905</v>
      </c>
      <c r="L38" s="5">
        <f>VLOOKUP(Tableau29[[#This Row],[Player id]],Tableau18[[Player id]:[Clocko fruit]],2,0)</f>
        <v>0</v>
      </c>
      <c r="M38">
        <v>10264905</v>
      </c>
      <c r="N38" s="5">
        <f>VLOOKUP(Tableau310[[#This Row],[Player id]],Tableau18[[Player id]:[Clocko fruit]],3,0)</f>
        <v>0</v>
      </c>
      <c r="O38">
        <v>10264905</v>
      </c>
      <c r="P38" s="6">
        <f>VLOOKUP(Tableau411[[#This Row],[Player id]],Tableau18[[Player id]:[Clocko fruit]],4,0)</f>
        <v>0</v>
      </c>
      <c r="Q38">
        <v>10264905</v>
      </c>
      <c r="R38" s="5">
        <f>VLOOKUP(Tableau512[[#This Row],[Player id]],Tableau18[[Player id]:[Clocko fruit]],5,0)</f>
        <v>0</v>
      </c>
      <c r="S38">
        <v>10264905</v>
      </c>
      <c r="T38" s="5">
        <f>VLOOKUP(Tableau613[[#This Row],[Player id]],Tableau18[[Player id]:[Clocko fruit]],5,0)</f>
        <v>0</v>
      </c>
      <c r="U38">
        <v>10264905</v>
      </c>
      <c r="V38" s="5">
        <f>VLOOKUP(Tableau61314[[#This Row],[Player id]],Tableau18[[Player id]:[Clocko fruit]],6,0)</f>
        <v>0</v>
      </c>
      <c r="AO38">
        <v>10264905</v>
      </c>
      <c r="AP38">
        <v>68</v>
      </c>
      <c r="AQ38">
        <v>71</v>
      </c>
      <c r="AR38">
        <v>67</v>
      </c>
      <c r="AS38">
        <v>66</v>
      </c>
      <c r="AT38">
        <v>42</v>
      </c>
      <c r="AU38">
        <f>AVERAGE(Tableau1[[#This Row],[Dragon fruit]:[Clocko fruit]])</f>
        <v>62.8</v>
      </c>
      <c r="AW38">
        <v>10065853</v>
      </c>
      <c r="AX38" s="5">
        <v>66</v>
      </c>
      <c r="AY38">
        <v>21007894</v>
      </c>
      <c r="AZ38" s="5">
        <v>64</v>
      </c>
      <c r="BA38">
        <v>10430602</v>
      </c>
      <c r="BB38" s="6">
        <v>67</v>
      </c>
      <c r="BC38">
        <v>10066347</v>
      </c>
      <c r="BD38" s="5">
        <v>52</v>
      </c>
      <c r="BE38">
        <v>10654816</v>
      </c>
      <c r="BF38" s="5">
        <v>59</v>
      </c>
    </row>
    <row r="39" spans="2:58" x14ac:dyDescent="0.2">
      <c r="B39">
        <v>21007894</v>
      </c>
      <c r="C39" s="11">
        <v>0</v>
      </c>
      <c r="D39" s="11"/>
      <c r="E39" s="11"/>
      <c r="F39" s="11"/>
      <c r="G39" s="11"/>
      <c r="H39" s="11"/>
      <c r="I39" s="11">
        <f>AVERAGE(Tableau18[[#This Row],[Bamboo shoot]:[Clocko fruit]])</f>
        <v>0</v>
      </c>
      <c r="K39">
        <v>21007894</v>
      </c>
      <c r="L39" s="5">
        <f>VLOOKUP(Tableau29[[#This Row],[Player id]],Tableau18[[Player id]:[Clocko fruit]],2,0)</f>
        <v>0</v>
      </c>
      <c r="M39">
        <v>21007894</v>
      </c>
      <c r="N39" s="6">
        <f>VLOOKUP(Tableau310[[#This Row],[Player id]],Tableau18[[Player id]:[Clocko fruit]],3,0)</f>
        <v>0</v>
      </c>
      <c r="O39">
        <v>21007894</v>
      </c>
      <c r="P39" s="6">
        <f>VLOOKUP(Tableau411[[#This Row],[Player id]],Tableau18[[Player id]:[Clocko fruit]],4,0)</f>
        <v>0</v>
      </c>
      <c r="Q39">
        <v>21007894</v>
      </c>
      <c r="R39" s="5">
        <f>VLOOKUP(Tableau512[[#This Row],[Player id]],Tableau18[[Player id]:[Clocko fruit]],5,0)</f>
        <v>0</v>
      </c>
      <c r="S39">
        <v>21007894</v>
      </c>
      <c r="T39" s="6">
        <f>VLOOKUP(Tableau613[[#This Row],[Player id]],Tableau18[[Player id]:[Clocko fruit]],5,0)</f>
        <v>0</v>
      </c>
      <c r="U39">
        <v>21007894</v>
      </c>
      <c r="V39" s="6">
        <f>VLOOKUP(Tableau61314[[#This Row],[Player id]],Tableau18[[Player id]:[Clocko fruit]],6,0)</f>
        <v>0</v>
      </c>
      <c r="AO39">
        <v>21007894</v>
      </c>
      <c r="AP39">
        <v>73</v>
      </c>
      <c r="AQ39">
        <v>64</v>
      </c>
      <c r="AR39">
        <v>63</v>
      </c>
      <c r="AS39">
        <v>50</v>
      </c>
      <c r="AT39">
        <v>64</v>
      </c>
      <c r="AU39">
        <f>AVERAGE(Tableau1[[#This Row],[Dragon fruit]:[Clocko fruit]])</f>
        <v>62.8</v>
      </c>
      <c r="AW39">
        <v>10654816</v>
      </c>
      <c r="AX39" s="5">
        <v>66</v>
      </c>
      <c r="AY39">
        <v>11417755</v>
      </c>
      <c r="AZ39" s="6">
        <v>64</v>
      </c>
      <c r="BA39">
        <v>10264905</v>
      </c>
      <c r="BB39" s="6">
        <v>67</v>
      </c>
      <c r="BC39">
        <v>10132613</v>
      </c>
      <c r="BD39" s="5">
        <v>51</v>
      </c>
      <c r="BE39">
        <v>10092028</v>
      </c>
      <c r="BF39" s="6">
        <v>58</v>
      </c>
    </row>
    <row r="40" spans="2:58" x14ac:dyDescent="0.2">
      <c r="B40">
        <v>18469277</v>
      </c>
      <c r="C40" s="11">
        <v>0</v>
      </c>
      <c r="D40" s="11"/>
      <c r="E40" s="11"/>
      <c r="F40" s="11"/>
      <c r="G40" s="11"/>
      <c r="H40" s="11"/>
      <c r="I40" s="11">
        <f>AVERAGE(Tableau18[[#This Row],[Bamboo shoot]:[Clocko fruit]])</f>
        <v>0</v>
      </c>
      <c r="K40">
        <v>18469277</v>
      </c>
      <c r="L40" s="5">
        <f>VLOOKUP(Tableau29[[#This Row],[Player id]],Tableau18[[Player id]:[Clocko fruit]],2,0)</f>
        <v>0</v>
      </c>
      <c r="M40">
        <v>18469277</v>
      </c>
      <c r="N40" s="6">
        <f>VLOOKUP(Tableau310[[#This Row],[Player id]],Tableau18[[Player id]:[Clocko fruit]],3,0)</f>
        <v>0</v>
      </c>
      <c r="O40">
        <v>18469277</v>
      </c>
      <c r="P40" s="5">
        <f>VLOOKUP(Tableau411[[#This Row],[Player id]],Tableau18[[Player id]:[Clocko fruit]],4,0)</f>
        <v>0</v>
      </c>
      <c r="Q40">
        <v>18469277</v>
      </c>
      <c r="R40" s="5">
        <f>VLOOKUP(Tableau512[[#This Row],[Player id]],Tableau18[[Player id]:[Clocko fruit]],5,0)</f>
        <v>0</v>
      </c>
      <c r="S40">
        <v>18469277</v>
      </c>
      <c r="T40" s="5">
        <f>VLOOKUP(Tableau613[[#This Row],[Player id]],Tableau18[[Player id]:[Clocko fruit]],5,0)</f>
        <v>0</v>
      </c>
      <c r="U40">
        <v>18469277</v>
      </c>
      <c r="V40" s="5">
        <f>VLOOKUP(Tableau61314[[#This Row],[Player id]],Tableau18[[Player id]:[Clocko fruit]],6,0)</f>
        <v>0</v>
      </c>
      <c r="AO40">
        <v>18469277</v>
      </c>
      <c r="AP40">
        <v>53</v>
      </c>
      <c r="AQ40">
        <v>63</v>
      </c>
      <c r="AR40">
        <v>78</v>
      </c>
      <c r="AS40">
        <v>39</v>
      </c>
      <c r="AT40">
        <v>80</v>
      </c>
      <c r="AU40">
        <f>AVERAGE(Tableau1[[#This Row],[Dragon fruit]:[Clocko fruit]])</f>
        <v>62.6</v>
      </c>
      <c r="AW40">
        <v>10392768</v>
      </c>
      <c r="AX40" s="5">
        <v>65</v>
      </c>
      <c r="AY40">
        <v>10922998</v>
      </c>
      <c r="AZ40" s="6">
        <v>64</v>
      </c>
      <c r="BA40">
        <v>10101668</v>
      </c>
      <c r="BB40" s="5">
        <v>67</v>
      </c>
      <c r="BC40">
        <v>18886393</v>
      </c>
      <c r="BD40" s="5">
        <v>51</v>
      </c>
      <c r="BE40">
        <v>10213126</v>
      </c>
      <c r="BF40" s="5">
        <v>58</v>
      </c>
    </row>
    <row r="41" spans="2:58" x14ac:dyDescent="0.2">
      <c r="B41">
        <v>10101668</v>
      </c>
      <c r="C41" s="11">
        <v>0</v>
      </c>
      <c r="D41" s="11"/>
      <c r="E41" s="11"/>
      <c r="F41" s="11"/>
      <c r="G41" s="11"/>
      <c r="H41" s="11"/>
      <c r="I41" s="11">
        <f>AVERAGE(Tableau18[[#This Row],[Bamboo shoot]:[Clocko fruit]])</f>
        <v>0</v>
      </c>
      <c r="K41">
        <v>10101668</v>
      </c>
      <c r="L41" s="5">
        <f>VLOOKUP(Tableau29[[#This Row],[Player id]],Tableau18[[Player id]:[Clocko fruit]],2,0)</f>
        <v>0</v>
      </c>
      <c r="M41">
        <v>10101668</v>
      </c>
      <c r="N41" s="5">
        <f>VLOOKUP(Tableau310[[#This Row],[Player id]],Tableau18[[Player id]:[Clocko fruit]],3,0)</f>
        <v>0</v>
      </c>
      <c r="O41">
        <v>10101668</v>
      </c>
      <c r="P41" s="6">
        <f>VLOOKUP(Tableau411[[#This Row],[Player id]],Tableau18[[Player id]:[Clocko fruit]],4,0)</f>
        <v>0</v>
      </c>
      <c r="Q41">
        <v>10101668</v>
      </c>
      <c r="R41" s="5">
        <f>VLOOKUP(Tableau512[[#This Row],[Player id]],Tableau18[[Player id]:[Clocko fruit]],5,0)</f>
        <v>0</v>
      </c>
      <c r="S41">
        <v>10101668</v>
      </c>
      <c r="T41" s="6">
        <f>VLOOKUP(Tableau613[[#This Row],[Player id]],Tableau18[[Player id]:[Clocko fruit]],5,0)</f>
        <v>0</v>
      </c>
      <c r="U41">
        <v>10101668</v>
      </c>
      <c r="V41" s="6">
        <f>VLOOKUP(Tableau61314[[#This Row],[Player id]],Tableau18[[Player id]:[Clocko fruit]],6,0)</f>
        <v>0</v>
      </c>
      <c r="AO41">
        <v>10101668</v>
      </c>
      <c r="AP41">
        <v>65</v>
      </c>
      <c r="AQ41">
        <v>64</v>
      </c>
      <c r="AR41">
        <v>67</v>
      </c>
      <c r="AS41">
        <v>49</v>
      </c>
      <c r="AT41">
        <v>66</v>
      </c>
      <c r="AU41">
        <f>AVERAGE(Tableau1[[#This Row],[Dragon fruit]:[Clocko fruit]])</f>
        <v>62.2</v>
      </c>
      <c r="AW41">
        <v>10101668</v>
      </c>
      <c r="AX41" s="5">
        <v>65</v>
      </c>
      <c r="AY41">
        <v>10657966</v>
      </c>
      <c r="AZ41" s="5">
        <v>64</v>
      </c>
      <c r="BA41">
        <v>10131593</v>
      </c>
      <c r="BB41" s="6">
        <v>67</v>
      </c>
      <c r="BC41">
        <v>10657966</v>
      </c>
      <c r="BD41" s="5">
        <v>51</v>
      </c>
      <c r="BE41">
        <v>10131593</v>
      </c>
      <c r="BF41" s="6">
        <v>58</v>
      </c>
    </row>
    <row r="42" spans="2:58" x14ac:dyDescent="0.2">
      <c r="B42">
        <v>10131593</v>
      </c>
      <c r="C42" s="11">
        <v>0</v>
      </c>
      <c r="D42" s="11"/>
      <c r="E42" s="11"/>
      <c r="F42" s="11"/>
      <c r="G42" s="11"/>
      <c r="H42" s="11"/>
      <c r="I42" s="11">
        <f>AVERAGE(Tableau18[[#This Row],[Bamboo shoot]:[Clocko fruit]])</f>
        <v>0</v>
      </c>
      <c r="K42">
        <v>10131593</v>
      </c>
      <c r="L42" s="6">
        <f>VLOOKUP(Tableau29[[#This Row],[Player id]],Tableau18[[Player id]:[Clocko fruit]],2,0)</f>
        <v>0</v>
      </c>
      <c r="M42">
        <v>10131593</v>
      </c>
      <c r="N42" s="5">
        <f>VLOOKUP(Tableau310[[#This Row],[Player id]],Tableau18[[Player id]:[Clocko fruit]],3,0)</f>
        <v>0</v>
      </c>
      <c r="O42">
        <v>10131593</v>
      </c>
      <c r="P42" s="5">
        <f>VLOOKUP(Tableau411[[#This Row],[Player id]],Tableau18[[Player id]:[Clocko fruit]],4,0)</f>
        <v>0</v>
      </c>
      <c r="Q42">
        <v>10131593</v>
      </c>
      <c r="R42" s="5">
        <f>VLOOKUP(Tableau512[[#This Row],[Player id]],Tableau18[[Player id]:[Clocko fruit]],5,0)</f>
        <v>0</v>
      </c>
      <c r="S42">
        <v>10131593</v>
      </c>
      <c r="T42" s="6">
        <f>VLOOKUP(Tableau613[[#This Row],[Player id]],Tableau18[[Player id]:[Clocko fruit]],5,0)</f>
        <v>0</v>
      </c>
      <c r="U42">
        <v>10131593</v>
      </c>
      <c r="V42" s="6">
        <f>VLOOKUP(Tableau61314[[#This Row],[Player id]],Tableau18[[Player id]:[Clocko fruit]],6,0)</f>
        <v>0</v>
      </c>
      <c r="AO42">
        <v>10131593</v>
      </c>
      <c r="AP42">
        <v>65</v>
      </c>
      <c r="AQ42">
        <v>65</v>
      </c>
      <c r="AR42">
        <v>67</v>
      </c>
      <c r="AS42">
        <v>55</v>
      </c>
      <c r="AT42">
        <v>58</v>
      </c>
      <c r="AU42">
        <f>AVERAGE(Tableau1[[#This Row],[Dragon fruit]:[Clocko fruit]])</f>
        <v>62</v>
      </c>
      <c r="AW42">
        <v>10131593</v>
      </c>
      <c r="AX42" s="6">
        <v>65</v>
      </c>
      <c r="AY42">
        <v>10544332</v>
      </c>
      <c r="AZ42" s="5">
        <v>64</v>
      </c>
      <c r="BA42">
        <v>10254632</v>
      </c>
      <c r="BB42" s="5">
        <v>67</v>
      </c>
      <c r="BC42">
        <v>21007894</v>
      </c>
      <c r="BD42" s="5">
        <v>50</v>
      </c>
      <c r="BE42">
        <v>10932485</v>
      </c>
      <c r="BF42" s="6">
        <v>58</v>
      </c>
    </row>
    <row r="43" spans="2:58" x14ac:dyDescent="0.2">
      <c r="B43">
        <v>10065853</v>
      </c>
      <c r="C43" s="11">
        <v>0</v>
      </c>
      <c r="D43" s="11"/>
      <c r="E43" s="11"/>
      <c r="F43" s="11"/>
      <c r="G43" s="11"/>
      <c r="H43" s="11"/>
      <c r="I43" s="11">
        <f>AVERAGE(Tableau18[[#This Row],[Bamboo shoot]:[Clocko fruit]])</f>
        <v>0</v>
      </c>
      <c r="K43">
        <v>10065853</v>
      </c>
      <c r="L43" s="6">
        <f>VLOOKUP(Tableau29[[#This Row],[Player id]],Tableau18[[Player id]:[Clocko fruit]],2,0)</f>
        <v>0</v>
      </c>
      <c r="M43">
        <v>10065853</v>
      </c>
      <c r="N43" s="6">
        <f>VLOOKUP(Tableau310[[#This Row],[Player id]],Tableau18[[Player id]:[Clocko fruit]],3,0)</f>
        <v>0</v>
      </c>
      <c r="O43">
        <v>10065853</v>
      </c>
      <c r="P43" s="6">
        <f>VLOOKUP(Tableau411[[#This Row],[Player id]],Tableau18[[Player id]:[Clocko fruit]],4,0)</f>
        <v>0</v>
      </c>
      <c r="Q43">
        <v>10065853</v>
      </c>
      <c r="R43" s="6">
        <f>VLOOKUP(Tableau512[[#This Row],[Player id]],Tableau18[[Player id]:[Clocko fruit]],5,0)</f>
        <v>0</v>
      </c>
      <c r="S43">
        <v>10065853</v>
      </c>
      <c r="T43" s="5">
        <f>VLOOKUP(Tableau613[[#This Row],[Player id]],Tableau18[[Player id]:[Clocko fruit]],5,0)</f>
        <v>0</v>
      </c>
      <c r="U43">
        <v>10065853</v>
      </c>
      <c r="V43" s="5">
        <f>VLOOKUP(Tableau61314[[#This Row],[Player id]],Tableau18[[Player id]:[Clocko fruit]],6,0)</f>
        <v>0</v>
      </c>
      <c r="AO43">
        <v>10065853</v>
      </c>
      <c r="AP43">
        <v>66</v>
      </c>
      <c r="AQ43">
        <v>69</v>
      </c>
      <c r="AR43">
        <v>71</v>
      </c>
      <c r="AS43">
        <v>40</v>
      </c>
      <c r="AT43">
        <v>63</v>
      </c>
      <c r="AU43">
        <f>AVERAGE(Tableau1[[#This Row],[Dragon fruit]:[Clocko fruit]])</f>
        <v>61.8</v>
      </c>
      <c r="AW43">
        <v>10922998</v>
      </c>
      <c r="AX43" s="6">
        <v>65</v>
      </c>
      <c r="AY43">
        <v>10430602</v>
      </c>
      <c r="AZ43" s="6">
        <v>64</v>
      </c>
      <c r="BA43">
        <v>10303958</v>
      </c>
      <c r="BB43" s="6">
        <v>67</v>
      </c>
      <c r="BC43">
        <v>10932485</v>
      </c>
      <c r="BD43" s="6">
        <v>50</v>
      </c>
      <c r="BE43">
        <v>18977827</v>
      </c>
      <c r="BF43" s="5">
        <v>57</v>
      </c>
    </row>
    <row r="44" spans="2:58" x14ac:dyDescent="0.2">
      <c r="B44">
        <v>10795976</v>
      </c>
      <c r="C44" s="11">
        <v>0</v>
      </c>
      <c r="D44" s="11"/>
      <c r="E44" s="11"/>
      <c r="F44" s="11"/>
      <c r="G44" s="11"/>
      <c r="H44" s="11"/>
      <c r="I44" s="11">
        <f>AVERAGE(Tableau18[[#This Row],[Bamboo shoot]:[Clocko fruit]])</f>
        <v>0</v>
      </c>
      <c r="K44">
        <v>10795976</v>
      </c>
      <c r="L44" s="6">
        <f>VLOOKUP(Tableau29[[#This Row],[Player id]],Tableau18[[Player id]:[Clocko fruit]],2,0)</f>
        <v>0</v>
      </c>
      <c r="M44">
        <v>10795976</v>
      </c>
      <c r="N44" s="6">
        <f>VLOOKUP(Tableau310[[#This Row],[Player id]],Tableau18[[Player id]:[Clocko fruit]],3,0)</f>
        <v>0</v>
      </c>
      <c r="O44">
        <v>10795976</v>
      </c>
      <c r="P44" s="6">
        <f>VLOOKUP(Tableau411[[#This Row],[Player id]],Tableau18[[Player id]:[Clocko fruit]],4,0)</f>
        <v>0</v>
      </c>
      <c r="Q44">
        <v>10795976</v>
      </c>
      <c r="R44" s="5">
        <f>VLOOKUP(Tableau512[[#This Row],[Player id]],Tableau18[[Player id]:[Clocko fruit]],5,0)</f>
        <v>0</v>
      </c>
      <c r="S44">
        <v>10795976</v>
      </c>
      <c r="T44" s="6">
        <f>VLOOKUP(Tableau613[[#This Row],[Player id]],Tableau18[[Player id]:[Clocko fruit]],5,0)</f>
        <v>0</v>
      </c>
      <c r="U44">
        <v>10795976</v>
      </c>
      <c r="V44" s="6">
        <f>VLOOKUP(Tableau61314[[#This Row],[Player id]],Tableau18[[Player id]:[Clocko fruit]],6,0)</f>
        <v>0</v>
      </c>
      <c r="AO44">
        <v>10795976</v>
      </c>
      <c r="AP44">
        <v>68</v>
      </c>
      <c r="AQ44">
        <v>68</v>
      </c>
      <c r="AR44">
        <v>66</v>
      </c>
      <c r="AS44">
        <v>53</v>
      </c>
      <c r="AT44">
        <v>54</v>
      </c>
      <c r="AU44">
        <f>AVERAGE(Tableau1[[#This Row],[Dragon fruit]:[Clocko fruit]])</f>
        <v>61.8</v>
      </c>
      <c r="AW44">
        <v>13117515</v>
      </c>
      <c r="AX44" s="6">
        <v>64</v>
      </c>
      <c r="AY44">
        <v>10334064</v>
      </c>
      <c r="AZ44" s="6">
        <v>64</v>
      </c>
      <c r="BA44">
        <v>10016173</v>
      </c>
      <c r="BB44" s="6">
        <v>67</v>
      </c>
      <c r="BC44">
        <v>10101668</v>
      </c>
      <c r="BD44" s="5">
        <v>49</v>
      </c>
      <c r="BE44">
        <v>10054910</v>
      </c>
      <c r="BF44" s="6">
        <v>56</v>
      </c>
    </row>
    <row r="45" spans="2:58" x14ac:dyDescent="0.2">
      <c r="B45">
        <v>10254632</v>
      </c>
      <c r="C45" s="11">
        <v>0</v>
      </c>
      <c r="D45" s="11"/>
      <c r="E45" s="11"/>
      <c r="F45" s="11"/>
      <c r="G45" s="11"/>
      <c r="H45" s="11"/>
      <c r="I45" s="11">
        <f>AVERAGE(Tableau18[[#This Row],[Bamboo shoot]:[Clocko fruit]])</f>
        <v>0</v>
      </c>
      <c r="K45">
        <v>10254632</v>
      </c>
      <c r="L45" s="5">
        <f>VLOOKUP(Tableau29[[#This Row],[Player id]],Tableau18[[Player id]:[Clocko fruit]],2,0)</f>
        <v>0</v>
      </c>
      <c r="M45">
        <v>10254632</v>
      </c>
      <c r="N45" s="6">
        <f>VLOOKUP(Tableau310[[#This Row],[Player id]],Tableau18[[Player id]:[Clocko fruit]],3,0)</f>
        <v>0</v>
      </c>
      <c r="O45">
        <v>10254632</v>
      </c>
      <c r="P45" s="6">
        <f>VLOOKUP(Tableau411[[#This Row],[Player id]],Tableau18[[Player id]:[Clocko fruit]],4,0)</f>
        <v>0</v>
      </c>
      <c r="Q45">
        <v>10254632</v>
      </c>
      <c r="R45" s="5">
        <f>VLOOKUP(Tableau512[[#This Row],[Player id]],Tableau18[[Player id]:[Clocko fruit]],5,0)</f>
        <v>0</v>
      </c>
      <c r="S45">
        <v>10254632</v>
      </c>
      <c r="T45" s="5">
        <f>VLOOKUP(Tableau613[[#This Row],[Player id]],Tableau18[[Player id]:[Clocko fruit]],5,0)</f>
        <v>0</v>
      </c>
      <c r="U45">
        <v>10254632</v>
      </c>
      <c r="V45" s="5">
        <f>VLOOKUP(Tableau61314[[#This Row],[Player id]],Tableau18[[Player id]:[Clocko fruit]],6,0)</f>
        <v>0</v>
      </c>
      <c r="AO45">
        <v>10254632</v>
      </c>
      <c r="AP45">
        <v>64</v>
      </c>
      <c r="AQ45">
        <v>64</v>
      </c>
      <c r="AR45">
        <v>67</v>
      </c>
      <c r="AS45">
        <v>49</v>
      </c>
      <c r="AT45">
        <v>64</v>
      </c>
      <c r="AU45">
        <f>AVERAGE(Tableau1[[#This Row],[Dragon fruit]:[Clocko fruit]])</f>
        <v>61.6</v>
      </c>
      <c r="AW45">
        <v>10409514</v>
      </c>
      <c r="AX45" s="5">
        <v>64</v>
      </c>
      <c r="AY45">
        <v>10303958</v>
      </c>
      <c r="AZ45" s="6">
        <v>64</v>
      </c>
      <c r="BA45">
        <v>10201365</v>
      </c>
      <c r="BB45" s="6">
        <v>67</v>
      </c>
      <c r="BC45">
        <v>10254632</v>
      </c>
      <c r="BD45" s="5">
        <v>49</v>
      </c>
      <c r="BE45">
        <v>10137032</v>
      </c>
      <c r="BF45" s="5">
        <v>55</v>
      </c>
    </row>
    <row r="46" spans="2:58" x14ac:dyDescent="0.2">
      <c r="B46">
        <v>10303958</v>
      </c>
      <c r="C46" s="11">
        <v>0</v>
      </c>
      <c r="D46" s="11"/>
      <c r="E46" s="11"/>
      <c r="F46" s="11"/>
      <c r="G46" s="11"/>
      <c r="H46" s="11"/>
      <c r="I46" s="11">
        <f>AVERAGE(Tableau18[[#This Row],[Bamboo shoot]:[Clocko fruit]])</f>
        <v>0</v>
      </c>
      <c r="K46">
        <v>10303958</v>
      </c>
      <c r="L46" s="5">
        <f>VLOOKUP(Tableau29[[#This Row],[Player id]],Tableau18[[Player id]:[Clocko fruit]],2,0)</f>
        <v>0</v>
      </c>
      <c r="M46">
        <v>10303958</v>
      </c>
      <c r="N46" s="5">
        <f>VLOOKUP(Tableau310[[#This Row],[Player id]],Tableau18[[Player id]:[Clocko fruit]],3,0)</f>
        <v>0</v>
      </c>
      <c r="O46">
        <v>10303958</v>
      </c>
      <c r="P46" s="6">
        <f>VLOOKUP(Tableau411[[#This Row],[Player id]],Tableau18[[Player id]:[Clocko fruit]],4,0)</f>
        <v>0</v>
      </c>
      <c r="Q46">
        <v>10303958</v>
      </c>
      <c r="R46" s="6">
        <f>VLOOKUP(Tableau512[[#This Row],[Player id]],Tableau18[[Player id]:[Clocko fruit]],5,0)</f>
        <v>0</v>
      </c>
      <c r="S46">
        <v>10303958</v>
      </c>
      <c r="T46" s="6">
        <f>VLOOKUP(Tableau613[[#This Row],[Player id]],Tableau18[[Player id]:[Clocko fruit]],5,0)</f>
        <v>0</v>
      </c>
      <c r="U46">
        <v>10303958</v>
      </c>
      <c r="V46" s="6">
        <f>VLOOKUP(Tableau61314[[#This Row],[Player id]],Tableau18[[Player id]:[Clocko fruit]],6,0)</f>
        <v>0</v>
      </c>
      <c r="AO46">
        <v>10303958</v>
      </c>
      <c r="AP46">
        <v>64</v>
      </c>
      <c r="AQ46">
        <v>64</v>
      </c>
      <c r="AR46">
        <v>67</v>
      </c>
      <c r="AS46">
        <v>46</v>
      </c>
      <c r="AT46">
        <v>66</v>
      </c>
      <c r="AU46">
        <f>AVERAGE(Tableau1[[#This Row],[Dragon fruit]:[Clocko fruit]])</f>
        <v>61.4</v>
      </c>
      <c r="AW46">
        <v>10388368</v>
      </c>
      <c r="AX46" s="5">
        <v>64</v>
      </c>
      <c r="AY46">
        <v>10294719</v>
      </c>
      <c r="AZ46" s="5">
        <v>64</v>
      </c>
      <c r="BA46">
        <v>11354842</v>
      </c>
      <c r="BB46" s="6">
        <v>66</v>
      </c>
      <c r="BC46">
        <v>11639694</v>
      </c>
      <c r="BD46" s="6">
        <v>49</v>
      </c>
      <c r="BE46">
        <v>10795976</v>
      </c>
      <c r="BF46" s="6">
        <v>54</v>
      </c>
    </row>
    <row r="47" spans="2:58" x14ac:dyDescent="0.2">
      <c r="B47">
        <v>10657966</v>
      </c>
      <c r="C47" s="11">
        <v>0</v>
      </c>
      <c r="D47" s="11"/>
      <c r="E47" s="11"/>
      <c r="F47" s="11"/>
      <c r="G47" s="11"/>
      <c r="H47" s="11"/>
      <c r="I47" s="11">
        <f>AVERAGE(Tableau18[[#This Row],[Bamboo shoot]:[Clocko fruit]])</f>
        <v>0</v>
      </c>
      <c r="K47">
        <v>10657966</v>
      </c>
      <c r="L47" s="5">
        <f>VLOOKUP(Tableau29[[#This Row],[Player id]],Tableau18[[Player id]:[Clocko fruit]],2,0)</f>
        <v>0</v>
      </c>
      <c r="M47">
        <v>10657966</v>
      </c>
      <c r="N47" s="5">
        <f>VLOOKUP(Tableau310[[#This Row],[Player id]],Tableau18[[Player id]:[Clocko fruit]],3,0)</f>
        <v>0</v>
      </c>
      <c r="O47">
        <v>10657966</v>
      </c>
      <c r="P47" s="5">
        <f>VLOOKUP(Tableau411[[#This Row],[Player id]],Tableau18[[Player id]:[Clocko fruit]],4,0)</f>
        <v>0</v>
      </c>
      <c r="Q47">
        <v>10657966</v>
      </c>
      <c r="R47" s="6">
        <f>VLOOKUP(Tableau512[[#This Row],[Player id]],Tableau18[[Player id]:[Clocko fruit]],5,0)</f>
        <v>0</v>
      </c>
      <c r="S47">
        <v>10657966</v>
      </c>
      <c r="T47" s="5">
        <f>VLOOKUP(Tableau613[[#This Row],[Player id]],Tableau18[[Player id]:[Clocko fruit]],5,0)</f>
        <v>0</v>
      </c>
      <c r="U47">
        <v>10657966</v>
      </c>
      <c r="V47" s="5">
        <f>VLOOKUP(Tableau61314[[#This Row],[Player id]],Tableau18[[Player id]:[Clocko fruit]],6,0)</f>
        <v>0</v>
      </c>
      <c r="AO47">
        <v>10657966</v>
      </c>
      <c r="AP47">
        <v>63</v>
      </c>
      <c r="AQ47">
        <v>64</v>
      </c>
      <c r="AR47">
        <v>76</v>
      </c>
      <c r="AS47">
        <v>51</v>
      </c>
      <c r="AT47">
        <v>53</v>
      </c>
      <c r="AU47">
        <f>AVERAGE(Tableau1[[#This Row],[Dragon fruit]:[Clocko fruit]])</f>
        <v>61.4</v>
      </c>
      <c r="AW47">
        <v>10254632</v>
      </c>
      <c r="AX47" s="5">
        <v>64</v>
      </c>
      <c r="AY47">
        <v>10284645</v>
      </c>
      <c r="AZ47" s="5">
        <v>64</v>
      </c>
      <c r="BA47">
        <v>10066347</v>
      </c>
      <c r="BB47" s="5">
        <v>66</v>
      </c>
      <c r="BC47">
        <v>15276961</v>
      </c>
      <c r="BD47" s="6">
        <v>49</v>
      </c>
      <c r="BE47">
        <v>10294719</v>
      </c>
      <c r="BF47" s="5">
        <v>54</v>
      </c>
    </row>
    <row r="48" spans="2:58" x14ac:dyDescent="0.2">
      <c r="B48">
        <v>10922998</v>
      </c>
      <c r="C48" s="11">
        <v>0</v>
      </c>
      <c r="D48" s="11"/>
      <c r="E48" s="11"/>
      <c r="F48" s="11"/>
      <c r="G48" s="11"/>
      <c r="H48" s="11"/>
      <c r="I48" s="11">
        <f>AVERAGE(Tableau18[[#This Row],[Bamboo shoot]:[Clocko fruit]])</f>
        <v>0</v>
      </c>
      <c r="K48">
        <v>10922998</v>
      </c>
      <c r="L48" s="6">
        <f>VLOOKUP(Tableau29[[#This Row],[Player id]],Tableau18[[Player id]:[Clocko fruit]],2,0)</f>
        <v>0</v>
      </c>
      <c r="M48">
        <v>10922998</v>
      </c>
      <c r="N48" s="5">
        <f>VLOOKUP(Tableau310[[#This Row],[Player id]],Tableau18[[Player id]:[Clocko fruit]],3,0)</f>
        <v>0</v>
      </c>
      <c r="O48">
        <v>10922998</v>
      </c>
      <c r="P48" s="5">
        <f>VLOOKUP(Tableau411[[#This Row],[Player id]],Tableau18[[Player id]:[Clocko fruit]],4,0)</f>
        <v>0</v>
      </c>
      <c r="Q48">
        <v>10922998</v>
      </c>
      <c r="R48" s="6">
        <f>VLOOKUP(Tableau512[[#This Row],[Player id]],Tableau18[[Player id]:[Clocko fruit]],5,0)</f>
        <v>0</v>
      </c>
      <c r="S48">
        <v>10922998</v>
      </c>
      <c r="T48" s="5">
        <f>VLOOKUP(Tableau613[[#This Row],[Player id]],Tableau18[[Player id]:[Clocko fruit]],5,0)</f>
        <v>0</v>
      </c>
      <c r="U48">
        <v>10922998</v>
      </c>
      <c r="V48" s="5">
        <f>VLOOKUP(Tableau61314[[#This Row],[Player id]],Tableau18[[Player id]:[Clocko fruit]],6,0)</f>
        <v>0</v>
      </c>
      <c r="AO48">
        <v>10922998</v>
      </c>
      <c r="AP48">
        <v>65</v>
      </c>
      <c r="AQ48">
        <v>64</v>
      </c>
      <c r="AR48">
        <v>62</v>
      </c>
      <c r="AS48">
        <v>45</v>
      </c>
      <c r="AT48">
        <v>69</v>
      </c>
      <c r="AU48">
        <f>AVERAGE(Tableau1[[#This Row],[Dragon fruit]:[Clocko fruit]])</f>
        <v>61</v>
      </c>
      <c r="AW48">
        <v>10303958</v>
      </c>
      <c r="AX48" s="6">
        <v>64</v>
      </c>
      <c r="AY48">
        <v>10254632</v>
      </c>
      <c r="AZ48" s="5">
        <v>64</v>
      </c>
      <c r="BA48">
        <v>10066347</v>
      </c>
      <c r="BB48" s="5">
        <v>66</v>
      </c>
      <c r="BC48">
        <v>10430602</v>
      </c>
      <c r="BD48" s="6">
        <v>48</v>
      </c>
      <c r="BE48">
        <v>10657966</v>
      </c>
      <c r="BF48" s="5">
        <v>53</v>
      </c>
    </row>
    <row r="49" spans="2:58" x14ac:dyDescent="0.2">
      <c r="B49">
        <v>10284645</v>
      </c>
      <c r="C49" s="11">
        <v>0</v>
      </c>
      <c r="D49" s="11"/>
      <c r="E49" s="11"/>
      <c r="F49" s="11"/>
      <c r="G49" s="11"/>
      <c r="H49" s="11"/>
      <c r="I49" s="11">
        <f>AVERAGE(Tableau18[[#This Row],[Bamboo shoot]:[Clocko fruit]])</f>
        <v>0</v>
      </c>
      <c r="K49">
        <v>10284645</v>
      </c>
      <c r="L49" s="5">
        <f>VLOOKUP(Tableau29[[#This Row],[Player id]],Tableau18[[Player id]:[Clocko fruit]],2,0)</f>
        <v>0</v>
      </c>
      <c r="M49">
        <v>10284645</v>
      </c>
      <c r="N49" s="5">
        <f>VLOOKUP(Tableau310[[#This Row],[Player id]],Tableau18[[Player id]:[Clocko fruit]],3,0)</f>
        <v>0</v>
      </c>
      <c r="O49">
        <v>10284645</v>
      </c>
      <c r="P49" s="6">
        <f>VLOOKUP(Tableau411[[#This Row],[Player id]],Tableau18[[Player id]:[Clocko fruit]],4,0)</f>
        <v>0</v>
      </c>
      <c r="Q49">
        <v>10284645</v>
      </c>
      <c r="R49" s="5">
        <f>VLOOKUP(Tableau512[[#This Row],[Player id]],Tableau18[[Player id]:[Clocko fruit]],5,0)</f>
        <v>0</v>
      </c>
      <c r="S49">
        <v>10284645</v>
      </c>
      <c r="T49" s="6">
        <f>VLOOKUP(Tableau613[[#This Row],[Player id]],Tableau18[[Player id]:[Clocko fruit]],5,0)</f>
        <v>0</v>
      </c>
      <c r="U49">
        <v>10284645</v>
      </c>
      <c r="V49" s="6">
        <f>VLOOKUP(Tableau61314[[#This Row],[Player id]],Tableau18[[Player id]:[Clocko fruit]],6,0)</f>
        <v>0</v>
      </c>
      <c r="AO49">
        <v>10284645</v>
      </c>
      <c r="AP49">
        <v>63</v>
      </c>
      <c r="AQ49">
        <v>64</v>
      </c>
      <c r="AR49">
        <v>66</v>
      </c>
      <c r="AS49">
        <v>48</v>
      </c>
      <c r="AT49">
        <v>63</v>
      </c>
      <c r="AU49">
        <f>AVERAGE(Tableau1[[#This Row],[Dragon fruit]:[Clocko fruit]])</f>
        <v>60.8</v>
      </c>
      <c r="AW49">
        <v>10294719</v>
      </c>
      <c r="AX49" s="5">
        <v>64</v>
      </c>
      <c r="AY49">
        <v>10219371</v>
      </c>
      <c r="AZ49" s="5">
        <v>64</v>
      </c>
      <c r="BA49">
        <v>10795976</v>
      </c>
      <c r="BB49" s="6">
        <v>66</v>
      </c>
      <c r="BC49">
        <v>10284645</v>
      </c>
      <c r="BD49" s="5">
        <v>48</v>
      </c>
      <c r="BE49">
        <v>10402145</v>
      </c>
      <c r="BF49" s="6">
        <v>53</v>
      </c>
    </row>
    <row r="50" spans="2:58" x14ac:dyDescent="0.2">
      <c r="B50">
        <v>10402145</v>
      </c>
      <c r="C50" s="11">
        <v>0</v>
      </c>
      <c r="D50" s="11"/>
      <c r="E50" s="11"/>
      <c r="F50" s="11"/>
      <c r="G50" s="11"/>
      <c r="H50" s="11"/>
      <c r="I50" s="11">
        <f>AVERAGE(Tableau18[[#This Row],[Bamboo shoot]:[Clocko fruit]])</f>
        <v>0</v>
      </c>
      <c r="K50">
        <v>10402145</v>
      </c>
      <c r="L50" s="6">
        <f>VLOOKUP(Tableau29[[#This Row],[Player id]],Tableau18[[Player id]:[Clocko fruit]],2,0)</f>
        <v>0</v>
      </c>
      <c r="M50">
        <v>10402145</v>
      </c>
      <c r="N50" s="6">
        <f>VLOOKUP(Tableau310[[#This Row],[Player id]],Tableau18[[Player id]:[Clocko fruit]],3,0)</f>
        <v>0</v>
      </c>
      <c r="O50">
        <v>10402145</v>
      </c>
      <c r="P50" s="5">
        <f>VLOOKUP(Tableau411[[#This Row],[Player id]],Tableau18[[Player id]:[Clocko fruit]],4,0)</f>
        <v>0</v>
      </c>
      <c r="Q50">
        <v>10402145</v>
      </c>
      <c r="R50" s="6">
        <f>VLOOKUP(Tableau512[[#This Row],[Player id]],Tableau18[[Player id]:[Clocko fruit]],5,0)</f>
        <v>0</v>
      </c>
      <c r="S50">
        <v>10402145</v>
      </c>
      <c r="T50" s="6">
        <f>VLOOKUP(Tableau613[[#This Row],[Player id]],Tableau18[[Player id]:[Clocko fruit]],5,0)</f>
        <v>0</v>
      </c>
      <c r="U50">
        <v>10402145</v>
      </c>
      <c r="V50" s="6">
        <f>VLOOKUP(Tableau61314[[#This Row],[Player id]],Tableau18[[Player id]:[Clocko fruit]],6,0)</f>
        <v>0</v>
      </c>
      <c r="AO50">
        <v>10402145</v>
      </c>
      <c r="AP50">
        <v>63</v>
      </c>
      <c r="AQ50">
        <v>66</v>
      </c>
      <c r="AR50">
        <v>66</v>
      </c>
      <c r="AS50">
        <v>55</v>
      </c>
      <c r="AT50">
        <v>53</v>
      </c>
      <c r="AU50">
        <f>AVERAGE(Tableau1[[#This Row],[Dragon fruit]:[Clocko fruit]])</f>
        <v>60.6</v>
      </c>
      <c r="AW50">
        <v>10201365</v>
      </c>
      <c r="AX50" s="6">
        <v>64</v>
      </c>
      <c r="AY50">
        <v>10214454</v>
      </c>
      <c r="AZ50" s="6">
        <v>64</v>
      </c>
      <c r="BA50">
        <v>10284645</v>
      </c>
      <c r="BB50" s="5">
        <v>66</v>
      </c>
      <c r="BC50">
        <v>10303958</v>
      </c>
      <c r="BD50" s="6">
        <v>46</v>
      </c>
      <c r="BE50">
        <v>10649142</v>
      </c>
      <c r="BF50" s="6">
        <v>53</v>
      </c>
    </row>
    <row r="51" spans="2:58" x14ac:dyDescent="0.2">
      <c r="B51">
        <v>10294719</v>
      </c>
      <c r="C51" s="11">
        <v>0</v>
      </c>
      <c r="D51" s="11"/>
      <c r="E51" s="11"/>
      <c r="F51" s="11"/>
      <c r="G51" s="11"/>
      <c r="H51" s="11"/>
      <c r="I51" s="11">
        <f>AVERAGE(Tableau18[[#This Row],[Bamboo shoot]:[Clocko fruit]])</f>
        <v>0</v>
      </c>
      <c r="K51">
        <v>10294719</v>
      </c>
      <c r="L51" s="6">
        <f>VLOOKUP(Tableau29[[#This Row],[Player id]],Tableau18[[Player id]:[Clocko fruit]],2,0)</f>
        <v>0</v>
      </c>
      <c r="M51">
        <v>10294719</v>
      </c>
      <c r="N51" s="5">
        <f>VLOOKUP(Tableau310[[#This Row],[Player id]],Tableau18[[Player id]:[Clocko fruit]],3,0)</f>
        <v>0</v>
      </c>
      <c r="O51">
        <v>10294719</v>
      </c>
      <c r="P51" s="6">
        <f>VLOOKUP(Tableau411[[#This Row],[Player id]],Tableau18[[Player id]:[Clocko fruit]],4,0)</f>
        <v>0</v>
      </c>
      <c r="Q51">
        <v>10294719</v>
      </c>
      <c r="R51" s="6">
        <f>VLOOKUP(Tableau512[[#This Row],[Player id]],Tableau18[[Player id]:[Clocko fruit]],5,0)</f>
        <v>0</v>
      </c>
      <c r="S51">
        <v>10294719</v>
      </c>
      <c r="T51" s="5">
        <f>VLOOKUP(Tableau613[[#This Row],[Player id]],Tableau18[[Player id]:[Clocko fruit]],5,0)</f>
        <v>0</v>
      </c>
      <c r="U51">
        <v>10294719</v>
      </c>
      <c r="V51" s="5">
        <f>VLOOKUP(Tableau61314[[#This Row],[Player id]],Tableau18[[Player id]:[Clocko fruit]],6,0)</f>
        <v>0</v>
      </c>
      <c r="AO51">
        <v>10294719</v>
      </c>
      <c r="AP51">
        <v>64</v>
      </c>
      <c r="AQ51">
        <v>64</v>
      </c>
      <c r="AR51">
        <v>53</v>
      </c>
      <c r="AS51">
        <v>63</v>
      </c>
      <c r="AT51">
        <v>54</v>
      </c>
      <c r="AU51">
        <f>AVERAGE(Tableau1[[#This Row],[Dragon fruit]:[Clocko fruit]])</f>
        <v>59.6</v>
      </c>
      <c r="AW51">
        <v>11417755</v>
      </c>
      <c r="AX51" s="6">
        <v>63</v>
      </c>
      <c r="AY51">
        <v>10101668</v>
      </c>
      <c r="AZ51" s="5">
        <v>64</v>
      </c>
      <c r="BA51">
        <v>10402145</v>
      </c>
      <c r="BB51" s="6">
        <v>66</v>
      </c>
      <c r="BC51">
        <v>10922998</v>
      </c>
      <c r="BD51" s="6">
        <v>45</v>
      </c>
      <c r="BE51">
        <v>10066347</v>
      </c>
      <c r="BF51" s="5">
        <v>52</v>
      </c>
    </row>
    <row r="52" spans="2:58" x14ac:dyDescent="0.2">
      <c r="B52">
        <v>10649142</v>
      </c>
      <c r="C52" s="11">
        <v>0</v>
      </c>
      <c r="D52" s="11"/>
      <c r="E52" s="11"/>
      <c r="F52" s="11"/>
      <c r="G52" s="11"/>
      <c r="H52" s="11"/>
      <c r="I52" s="11">
        <f>AVERAGE(Tableau18[[#This Row],[Bamboo shoot]:[Clocko fruit]])</f>
        <v>0</v>
      </c>
      <c r="K52">
        <v>10649142</v>
      </c>
      <c r="L52" s="5">
        <f>VLOOKUP(Tableau29[[#This Row],[Player id]],Tableau18[[Player id]:[Clocko fruit]],2,0)</f>
        <v>0</v>
      </c>
      <c r="M52">
        <v>10649142</v>
      </c>
      <c r="N52" s="6">
        <f>VLOOKUP(Tableau310[[#This Row],[Player id]],Tableau18[[Player id]:[Clocko fruit]],3,0)</f>
        <v>0</v>
      </c>
      <c r="O52">
        <v>10649142</v>
      </c>
      <c r="P52" s="6">
        <f>VLOOKUP(Tableau411[[#This Row],[Player id]],Tableau18[[Player id]:[Clocko fruit]],4,0)</f>
        <v>0</v>
      </c>
      <c r="Q52">
        <v>10649142</v>
      </c>
      <c r="R52" s="5">
        <f>VLOOKUP(Tableau512[[#This Row],[Player id]],Tableau18[[Player id]:[Clocko fruit]],5,0)</f>
        <v>0</v>
      </c>
      <c r="S52">
        <v>10649142</v>
      </c>
      <c r="T52" s="5">
        <f>VLOOKUP(Tableau613[[#This Row],[Player id]],Tableau18[[Player id]:[Clocko fruit]],5,0)</f>
        <v>0</v>
      </c>
      <c r="U52">
        <v>10649142</v>
      </c>
      <c r="V52" s="5">
        <f>VLOOKUP(Tableau61314[[#This Row],[Player id]],Tableau18[[Player id]:[Clocko fruit]],6,0)</f>
        <v>0</v>
      </c>
      <c r="AO52">
        <v>10649142</v>
      </c>
      <c r="AP52">
        <v>73</v>
      </c>
      <c r="AQ52">
        <v>65</v>
      </c>
      <c r="AR52">
        <v>66</v>
      </c>
      <c r="AS52">
        <v>41</v>
      </c>
      <c r="AT52">
        <v>53</v>
      </c>
      <c r="AU52">
        <f>AVERAGE(Tableau1[[#This Row],[Dragon fruit]:[Clocko fruit]])</f>
        <v>59.6</v>
      </c>
      <c r="AW52">
        <v>10657966</v>
      </c>
      <c r="AX52" s="5">
        <v>63</v>
      </c>
      <c r="AY52">
        <v>10054910</v>
      </c>
      <c r="AZ52" s="6">
        <v>64</v>
      </c>
      <c r="BA52">
        <v>10649142</v>
      </c>
      <c r="BB52" s="6">
        <v>66</v>
      </c>
      <c r="BC52">
        <v>10654816</v>
      </c>
      <c r="BD52" s="5">
        <v>42</v>
      </c>
      <c r="BE52">
        <v>10066347</v>
      </c>
      <c r="BF52" s="5">
        <v>52</v>
      </c>
    </row>
    <row r="53" spans="2:58" x14ac:dyDescent="0.2">
      <c r="B53">
        <v>10654816</v>
      </c>
      <c r="C53" s="11">
        <v>0</v>
      </c>
      <c r="D53" s="11"/>
      <c r="E53" s="11"/>
      <c r="F53" s="11"/>
      <c r="G53" s="11"/>
      <c r="H53" s="11"/>
      <c r="I53" s="11">
        <f>AVERAGE(Tableau18[[#This Row],[Bamboo shoot]:[Clocko fruit]])</f>
        <v>0</v>
      </c>
      <c r="K53">
        <v>10654816</v>
      </c>
      <c r="L53" s="5">
        <f>VLOOKUP(Tableau29[[#This Row],[Player id]],Tableau18[[Player id]:[Clocko fruit]],2,0)</f>
        <v>0</v>
      </c>
      <c r="M53">
        <v>10654816</v>
      </c>
      <c r="N53" s="6">
        <f>VLOOKUP(Tableau310[[#This Row],[Player id]],Tableau18[[Player id]:[Clocko fruit]],3,0)</f>
        <v>0</v>
      </c>
      <c r="O53">
        <v>10654816</v>
      </c>
      <c r="P53" s="5">
        <f>VLOOKUP(Tableau411[[#This Row],[Player id]],Tableau18[[Player id]:[Clocko fruit]],4,0)</f>
        <v>0</v>
      </c>
      <c r="Q53">
        <v>10654816</v>
      </c>
      <c r="R53" s="6">
        <f>VLOOKUP(Tableau512[[#This Row],[Player id]],Tableau18[[Player id]:[Clocko fruit]],5,0)</f>
        <v>0</v>
      </c>
      <c r="S53">
        <v>10654816</v>
      </c>
      <c r="T53" s="6">
        <f>VLOOKUP(Tableau613[[#This Row],[Player id]],Tableau18[[Player id]:[Clocko fruit]],5,0)</f>
        <v>0</v>
      </c>
      <c r="U53">
        <v>10654816</v>
      </c>
      <c r="V53" s="6">
        <f>VLOOKUP(Tableau61314[[#This Row],[Player id]],Tableau18[[Player id]:[Clocko fruit]],6,0)</f>
        <v>0</v>
      </c>
      <c r="AO53">
        <v>10654816</v>
      </c>
      <c r="AP53">
        <v>66</v>
      </c>
      <c r="AQ53">
        <v>65</v>
      </c>
      <c r="AR53">
        <v>66</v>
      </c>
      <c r="AS53">
        <v>42</v>
      </c>
      <c r="AT53">
        <v>59</v>
      </c>
      <c r="AU53">
        <f>AVERAGE(Tableau1[[#This Row],[Dragon fruit]:[Clocko fruit]])</f>
        <v>59.6</v>
      </c>
      <c r="AW53">
        <v>10284645</v>
      </c>
      <c r="AX53" s="5">
        <v>63</v>
      </c>
      <c r="AY53">
        <v>18469277</v>
      </c>
      <c r="AZ53" s="6">
        <v>63</v>
      </c>
      <c r="BA53">
        <v>10654816</v>
      </c>
      <c r="BB53" s="5">
        <v>66</v>
      </c>
      <c r="BC53">
        <v>10214454</v>
      </c>
      <c r="BD53" s="6">
        <v>41</v>
      </c>
      <c r="BE53">
        <v>11639694</v>
      </c>
      <c r="BF53" s="6">
        <v>52</v>
      </c>
    </row>
    <row r="54" spans="2:58" x14ac:dyDescent="0.2">
      <c r="B54">
        <v>10932485</v>
      </c>
      <c r="C54" s="11">
        <v>0</v>
      </c>
      <c r="D54" s="11"/>
      <c r="E54" s="11"/>
      <c r="F54" s="11"/>
      <c r="G54" s="11"/>
      <c r="H54" s="11"/>
      <c r="I54" s="11">
        <f>AVERAGE(Tableau18[[#This Row],[Bamboo shoot]:[Clocko fruit]])</f>
        <v>0</v>
      </c>
      <c r="K54">
        <v>10932485</v>
      </c>
      <c r="L54" s="6">
        <f>VLOOKUP(Tableau29[[#This Row],[Player id]],Tableau18[[Player id]:[Clocko fruit]],2,0)</f>
        <v>0</v>
      </c>
      <c r="M54">
        <v>10932485</v>
      </c>
      <c r="N54" s="5">
        <f>VLOOKUP(Tableau310[[#This Row],[Player id]],Tableau18[[Player id]:[Clocko fruit]],3,0)</f>
        <v>0</v>
      </c>
      <c r="O54">
        <v>10932485</v>
      </c>
      <c r="P54" s="6">
        <f>VLOOKUP(Tableau411[[#This Row],[Player id]],Tableau18[[Player id]:[Clocko fruit]],4,0)</f>
        <v>0</v>
      </c>
      <c r="Q54">
        <v>10932485</v>
      </c>
      <c r="R54" s="6">
        <f>VLOOKUP(Tableau512[[#This Row],[Player id]],Tableau18[[Player id]:[Clocko fruit]],5,0)</f>
        <v>0</v>
      </c>
      <c r="S54">
        <v>10932485</v>
      </c>
      <c r="T54" s="5">
        <f>VLOOKUP(Tableau613[[#This Row],[Player id]],Tableau18[[Player id]:[Clocko fruit]],5,0)</f>
        <v>0</v>
      </c>
      <c r="U54">
        <v>10932485</v>
      </c>
      <c r="V54" s="5">
        <f>VLOOKUP(Tableau61314[[#This Row],[Player id]],Tableau18[[Player id]:[Clocko fruit]],6,0)</f>
        <v>0</v>
      </c>
      <c r="AO54">
        <v>10932485</v>
      </c>
      <c r="AP54">
        <v>61</v>
      </c>
      <c r="AQ54">
        <v>63</v>
      </c>
      <c r="AR54">
        <v>66</v>
      </c>
      <c r="AS54">
        <v>50</v>
      </c>
      <c r="AT54">
        <v>58</v>
      </c>
      <c r="AU54">
        <f>AVERAGE(Tableau1[[#This Row],[Dragon fruit]:[Clocko fruit]])</f>
        <v>59.6</v>
      </c>
      <c r="AW54">
        <v>10402145</v>
      </c>
      <c r="AX54" s="6">
        <v>63</v>
      </c>
      <c r="AY54">
        <v>17424686</v>
      </c>
      <c r="AZ54" s="5">
        <v>63</v>
      </c>
      <c r="BA54">
        <v>10932485</v>
      </c>
      <c r="BB54" s="6">
        <v>66</v>
      </c>
      <c r="BC54">
        <v>10649142</v>
      </c>
      <c r="BD54" s="6">
        <v>41</v>
      </c>
      <c r="BE54">
        <v>10544332</v>
      </c>
      <c r="BF54" s="5">
        <v>51</v>
      </c>
    </row>
    <row r="55" spans="2:58" x14ac:dyDescent="0.2">
      <c r="B55">
        <v>10544332</v>
      </c>
      <c r="C55" s="11">
        <v>0</v>
      </c>
      <c r="D55" s="11"/>
      <c r="E55" s="11"/>
      <c r="F55" s="11"/>
      <c r="G55" s="11"/>
      <c r="H55" s="11"/>
      <c r="I55" s="11">
        <f>AVERAGE(Tableau18[[#This Row],[Bamboo shoot]:[Clocko fruit]])</f>
        <v>0</v>
      </c>
      <c r="K55">
        <v>10544332</v>
      </c>
      <c r="L55" s="5">
        <f>VLOOKUP(Tableau29[[#This Row],[Player id]],Tableau18[[Player id]:[Clocko fruit]],2,0)</f>
        <v>0</v>
      </c>
      <c r="M55">
        <v>10544332</v>
      </c>
      <c r="N55" s="6">
        <f>VLOOKUP(Tableau310[[#This Row],[Player id]],Tableau18[[Player id]:[Clocko fruit]],3,0)</f>
        <v>0</v>
      </c>
      <c r="O55">
        <v>10544332</v>
      </c>
      <c r="P55" s="5">
        <f>VLOOKUP(Tableau411[[#This Row],[Player id]],Tableau18[[Player id]:[Clocko fruit]],4,0)</f>
        <v>0</v>
      </c>
      <c r="Q55">
        <v>10544332</v>
      </c>
      <c r="R55" s="5">
        <f>VLOOKUP(Tableau512[[#This Row],[Player id]],Tableau18[[Player id]:[Clocko fruit]],5,0)</f>
        <v>0</v>
      </c>
      <c r="S55">
        <v>10544332</v>
      </c>
      <c r="T55" s="6">
        <f>VLOOKUP(Tableau613[[#This Row],[Player id]],Tableau18[[Player id]:[Clocko fruit]],5,0)</f>
        <v>0</v>
      </c>
      <c r="U55">
        <v>10544332</v>
      </c>
      <c r="V55" s="6">
        <f>VLOOKUP(Tableau61314[[#This Row],[Player id]],Tableau18[[Player id]:[Clocko fruit]],6,0)</f>
        <v>0</v>
      </c>
      <c r="AO55">
        <v>10544332</v>
      </c>
      <c r="AP55">
        <v>63</v>
      </c>
      <c r="AQ55">
        <v>64</v>
      </c>
      <c r="AR55">
        <v>66</v>
      </c>
      <c r="AS55">
        <v>39</v>
      </c>
      <c r="AT55">
        <v>51</v>
      </c>
      <c r="AU55">
        <f>AVERAGE(Tableau1[[#This Row],[Dragon fruit]:[Clocko fruit]])</f>
        <v>56.6</v>
      </c>
      <c r="AW55">
        <v>10544332</v>
      </c>
      <c r="AX55" s="5">
        <v>63</v>
      </c>
      <c r="AY55">
        <v>11354842</v>
      </c>
      <c r="AZ55" s="6">
        <v>63</v>
      </c>
      <c r="BA55">
        <v>10544332</v>
      </c>
      <c r="BB55" s="5">
        <v>66</v>
      </c>
      <c r="BC55">
        <v>10065853</v>
      </c>
      <c r="BD55" s="5">
        <v>40</v>
      </c>
      <c r="BE55">
        <v>10080156</v>
      </c>
      <c r="BF55" s="6">
        <v>50</v>
      </c>
    </row>
    <row r="56" spans="2:58" x14ac:dyDescent="0.2">
      <c r="B56">
        <v>11639694</v>
      </c>
      <c r="C56" s="11">
        <v>0</v>
      </c>
      <c r="D56" s="11"/>
      <c r="E56" s="11"/>
      <c r="F56" s="11"/>
      <c r="G56" s="11"/>
      <c r="H56" s="11"/>
      <c r="I56" s="11">
        <f>AVERAGE(Tableau18[[#This Row],[Bamboo shoot]:[Clocko fruit]])</f>
        <v>0</v>
      </c>
      <c r="K56">
        <v>11639694</v>
      </c>
      <c r="L56" s="5">
        <f>VLOOKUP(Tableau29[[#This Row],[Player id]],Tableau18[[Player id]:[Clocko fruit]],2,0)</f>
        <v>0</v>
      </c>
      <c r="M56">
        <v>11639694</v>
      </c>
      <c r="N56" s="6">
        <f>VLOOKUP(Tableau310[[#This Row],[Player id]],Tableau18[[Player id]:[Clocko fruit]],3,0)</f>
        <v>0</v>
      </c>
      <c r="O56">
        <v>11639694</v>
      </c>
      <c r="P56" s="5">
        <f>VLOOKUP(Tableau411[[#This Row],[Player id]],Tableau18[[Player id]:[Clocko fruit]],4,0)</f>
        <v>0</v>
      </c>
      <c r="Q56">
        <v>11639694</v>
      </c>
      <c r="R56" s="6">
        <f>VLOOKUP(Tableau512[[#This Row],[Player id]],Tableau18[[Player id]:[Clocko fruit]],5,0)</f>
        <v>0</v>
      </c>
      <c r="S56">
        <v>11639694</v>
      </c>
      <c r="T56" s="5">
        <f>VLOOKUP(Tableau613[[#This Row],[Player id]],Tableau18[[Player id]:[Clocko fruit]],5,0)</f>
        <v>0</v>
      </c>
      <c r="U56">
        <v>11639694</v>
      </c>
      <c r="V56" s="5">
        <f>VLOOKUP(Tableau61314[[#This Row],[Player id]],Tableau18[[Player id]:[Clocko fruit]],6,0)</f>
        <v>0</v>
      </c>
      <c r="AO56">
        <v>11639694</v>
      </c>
      <c r="AP56">
        <v>61</v>
      </c>
      <c r="AQ56">
        <v>52</v>
      </c>
      <c r="AR56">
        <v>65</v>
      </c>
      <c r="AS56">
        <v>49</v>
      </c>
      <c r="AT56">
        <v>52</v>
      </c>
      <c r="AU56">
        <f>AVERAGE(Tableau1[[#This Row],[Dragon fruit]:[Clocko fruit]])</f>
        <v>55.8</v>
      </c>
      <c r="AW56">
        <v>10219371</v>
      </c>
      <c r="AX56" s="5">
        <v>63</v>
      </c>
      <c r="AY56">
        <v>10932485</v>
      </c>
      <c r="AZ56" s="6">
        <v>63</v>
      </c>
      <c r="BA56">
        <v>10219371</v>
      </c>
      <c r="BB56" s="5">
        <v>66</v>
      </c>
      <c r="BC56">
        <v>18469277</v>
      </c>
      <c r="BD56" s="6">
        <v>39</v>
      </c>
      <c r="BE56">
        <v>17424686</v>
      </c>
      <c r="BF56" s="5">
        <v>49</v>
      </c>
    </row>
    <row r="57" spans="2:58" x14ac:dyDescent="0.2">
      <c r="B57">
        <v>10219371</v>
      </c>
      <c r="C57" s="11">
        <v>0</v>
      </c>
      <c r="D57" s="11"/>
      <c r="E57" s="11"/>
      <c r="F57" s="11"/>
      <c r="G57" s="11"/>
      <c r="H57" s="11"/>
      <c r="I57" s="11">
        <f>AVERAGE(Tableau18[[#This Row],[Bamboo shoot]:[Clocko fruit]])</f>
        <v>0</v>
      </c>
      <c r="K57">
        <v>10219371</v>
      </c>
      <c r="L57" s="5">
        <f>VLOOKUP(Tableau29[[#This Row],[Player id]],Tableau18[[Player id]:[Clocko fruit]],2,0)</f>
        <v>0</v>
      </c>
      <c r="M57">
        <v>10219371</v>
      </c>
      <c r="N57" s="6">
        <f>VLOOKUP(Tableau310[[#This Row],[Player id]],Tableau18[[Player id]:[Clocko fruit]],3,0)</f>
        <v>0</v>
      </c>
      <c r="O57">
        <v>10219371</v>
      </c>
      <c r="P57" s="6">
        <f>VLOOKUP(Tableau411[[#This Row],[Player id]],Tableau18[[Player id]:[Clocko fruit]],4,0)</f>
        <v>0</v>
      </c>
      <c r="Q57">
        <v>10219371</v>
      </c>
      <c r="R57" s="5">
        <f>VLOOKUP(Tableau512[[#This Row],[Player id]],Tableau18[[Player id]:[Clocko fruit]],5,0)</f>
        <v>0</v>
      </c>
      <c r="S57">
        <v>10219371</v>
      </c>
      <c r="T57" s="5">
        <f>VLOOKUP(Tableau613[[#This Row],[Player id]],Tableau18[[Player id]:[Clocko fruit]],5,0)</f>
        <v>0</v>
      </c>
      <c r="U57">
        <v>10219371</v>
      </c>
      <c r="V57" s="5">
        <f>VLOOKUP(Tableau61314[[#This Row],[Player id]],Tableau18[[Player id]:[Clocko fruit]],6,0)</f>
        <v>0</v>
      </c>
      <c r="AO57">
        <v>10219371</v>
      </c>
      <c r="AP57">
        <v>63</v>
      </c>
      <c r="AQ57">
        <v>64</v>
      </c>
      <c r="AR57">
        <v>66</v>
      </c>
      <c r="AS57">
        <v>37</v>
      </c>
      <c r="AT57">
        <v>48</v>
      </c>
      <c r="AU57">
        <f>AVERAGE(Tableau1[[#This Row],[Dragon fruit]:[Clocko fruit]])</f>
        <v>55.6</v>
      </c>
      <c r="AW57">
        <v>13682526</v>
      </c>
      <c r="AX57" s="5">
        <v>62</v>
      </c>
      <c r="AY57">
        <v>10063379</v>
      </c>
      <c r="AZ57" s="6">
        <v>61</v>
      </c>
      <c r="BA57">
        <v>11639694</v>
      </c>
      <c r="BB57" s="6">
        <v>65</v>
      </c>
      <c r="BC57">
        <v>10544332</v>
      </c>
      <c r="BD57" s="5">
        <v>39</v>
      </c>
      <c r="BE57">
        <v>10219371</v>
      </c>
      <c r="BF57" s="5">
        <v>48</v>
      </c>
    </row>
    <row r="58" spans="2:58" x14ac:dyDescent="0.2">
      <c r="B58">
        <v>10016173</v>
      </c>
      <c r="C58" s="11">
        <v>0</v>
      </c>
      <c r="D58" s="11"/>
      <c r="E58" s="11"/>
      <c r="F58" s="11"/>
      <c r="G58" s="11"/>
      <c r="H58" s="11"/>
      <c r="I58" s="11">
        <f>AVERAGE(Tableau18[[#This Row],[Bamboo shoot]:[Clocko fruit]])</f>
        <v>0</v>
      </c>
      <c r="K58">
        <v>10016173</v>
      </c>
      <c r="L58" s="5">
        <f>VLOOKUP(Tableau29[[#This Row],[Player id]],Tableau18[[Player id]:[Clocko fruit]],2,0)</f>
        <v>0</v>
      </c>
      <c r="M58">
        <v>10016173</v>
      </c>
      <c r="N58" s="5">
        <f>VLOOKUP(Tableau310[[#This Row],[Player id]],Tableau18[[Player id]:[Clocko fruit]],3,0)</f>
        <v>0</v>
      </c>
      <c r="O58">
        <v>10016173</v>
      </c>
      <c r="P58" s="5">
        <f>VLOOKUP(Tableau411[[#This Row],[Player id]],Tableau18[[Player id]:[Clocko fruit]],4,0)</f>
        <v>0</v>
      </c>
      <c r="Q58">
        <v>10016173</v>
      </c>
      <c r="R58" s="6">
        <f>VLOOKUP(Tableau512[[#This Row],[Player id]],Tableau18[[Player id]:[Clocko fruit]],5,0)</f>
        <v>0</v>
      </c>
      <c r="S58">
        <v>10016173</v>
      </c>
      <c r="T58" s="5">
        <f>VLOOKUP(Tableau613[[#This Row],[Player id]],Tableau18[[Player id]:[Clocko fruit]],5,0)</f>
        <v>0</v>
      </c>
      <c r="U58">
        <v>10016173</v>
      </c>
      <c r="V58" s="5">
        <f>VLOOKUP(Tableau61314[[#This Row],[Player id]],Tableau18[[Player id]:[Clocko fruit]],6,0)</f>
        <v>0</v>
      </c>
      <c r="AO58">
        <v>10016173</v>
      </c>
      <c r="AP58">
        <v>68</v>
      </c>
      <c r="AQ58">
        <v>65</v>
      </c>
      <c r="AR58">
        <v>67</v>
      </c>
      <c r="AS58">
        <v>39</v>
      </c>
      <c r="AT58">
        <v>39</v>
      </c>
      <c r="AU58">
        <f>AVERAGE(Tableau1[[#This Row],[Dragon fruit]:[Clocko fruit]])</f>
        <v>55.6</v>
      </c>
      <c r="AW58">
        <v>16944319</v>
      </c>
      <c r="AX58" s="5">
        <v>62</v>
      </c>
      <c r="AY58">
        <v>10063379</v>
      </c>
      <c r="AZ58" s="5">
        <v>61</v>
      </c>
      <c r="BA58">
        <v>21007894</v>
      </c>
      <c r="BB58" s="5">
        <v>63</v>
      </c>
      <c r="BC58">
        <v>10016173</v>
      </c>
      <c r="BD58" s="6">
        <v>39</v>
      </c>
      <c r="BE58">
        <v>10048958</v>
      </c>
      <c r="BF58" s="5">
        <v>45</v>
      </c>
    </row>
    <row r="59" spans="2:58" x14ac:dyDescent="0.2">
      <c r="B59">
        <v>17424686</v>
      </c>
      <c r="C59" s="11">
        <v>0</v>
      </c>
      <c r="D59" s="11"/>
      <c r="E59" s="11"/>
      <c r="F59" s="11"/>
      <c r="G59" s="11"/>
      <c r="H59" s="11"/>
      <c r="I59" s="11">
        <f>AVERAGE(Tableau18[[#This Row],[Bamboo shoot]:[Clocko fruit]])</f>
        <v>0</v>
      </c>
      <c r="K59">
        <v>17424686</v>
      </c>
      <c r="L59" s="6">
        <f>VLOOKUP(Tableau29[[#This Row],[Player id]],Tableau18[[Player id]:[Clocko fruit]],2,0)</f>
        <v>0</v>
      </c>
      <c r="M59">
        <v>17424686</v>
      </c>
      <c r="N59" s="5">
        <f>VLOOKUP(Tableau310[[#This Row],[Player id]],Tableau18[[Player id]:[Clocko fruit]],3,0)</f>
        <v>0</v>
      </c>
      <c r="O59">
        <v>17424686</v>
      </c>
      <c r="P59" s="6">
        <f>VLOOKUP(Tableau411[[#This Row],[Player id]],Tableau18[[Player id]:[Clocko fruit]],4,0)</f>
        <v>0</v>
      </c>
      <c r="Q59">
        <v>17424686</v>
      </c>
      <c r="R59" s="6">
        <f>VLOOKUP(Tableau512[[#This Row],[Player id]],Tableau18[[Player id]:[Clocko fruit]],5,0)</f>
        <v>0</v>
      </c>
      <c r="S59">
        <v>17424686</v>
      </c>
      <c r="T59" s="6">
        <f>VLOOKUP(Tableau613[[#This Row],[Player id]],Tableau18[[Player id]:[Clocko fruit]],5,0)</f>
        <v>0</v>
      </c>
      <c r="U59">
        <v>17424686</v>
      </c>
      <c r="V59" s="6">
        <f>VLOOKUP(Tableau61314[[#This Row],[Player id]],Tableau18[[Player id]:[Clocko fruit]],6,0)</f>
        <v>0</v>
      </c>
      <c r="AO59">
        <v>17424686</v>
      </c>
      <c r="AP59">
        <v>71</v>
      </c>
      <c r="AQ59">
        <v>63</v>
      </c>
      <c r="AR59">
        <v>54</v>
      </c>
      <c r="AS59">
        <v>38</v>
      </c>
      <c r="AT59">
        <v>49</v>
      </c>
      <c r="AU59">
        <f>AVERAGE(Tableau1[[#This Row],[Dragon fruit]:[Clocko fruit]])</f>
        <v>55</v>
      </c>
      <c r="AW59">
        <v>10430602</v>
      </c>
      <c r="AX59" s="6">
        <v>62</v>
      </c>
      <c r="AY59">
        <v>10388368</v>
      </c>
      <c r="AZ59" s="5">
        <v>56</v>
      </c>
      <c r="BA59">
        <v>10922998</v>
      </c>
      <c r="BB59" s="6">
        <v>62</v>
      </c>
      <c r="BC59">
        <v>10201365</v>
      </c>
      <c r="BD59" s="6">
        <v>39</v>
      </c>
      <c r="BE59">
        <v>10264905</v>
      </c>
      <c r="BF59" s="6">
        <v>42</v>
      </c>
    </row>
    <row r="60" spans="2:58" x14ac:dyDescent="0.2">
      <c r="B60">
        <v>10201365</v>
      </c>
      <c r="C60" s="11">
        <v>0</v>
      </c>
      <c r="D60" s="11"/>
      <c r="E60" s="11"/>
      <c r="F60" s="11"/>
      <c r="G60" s="11"/>
      <c r="H60" s="11"/>
      <c r="I60" s="11">
        <f>AVERAGE(Tableau18[[#This Row],[Bamboo shoot]:[Clocko fruit]])</f>
        <v>0</v>
      </c>
      <c r="K60">
        <v>10201365</v>
      </c>
      <c r="L60" s="6">
        <f>VLOOKUP(Tableau29[[#This Row],[Player id]],Tableau18[[Player id]:[Clocko fruit]],2,0)</f>
        <v>0</v>
      </c>
      <c r="M60">
        <v>10201365</v>
      </c>
      <c r="N60" s="5">
        <f>VLOOKUP(Tableau310[[#This Row],[Player id]],Tableau18[[Player id]:[Clocko fruit]],3,0)</f>
        <v>0</v>
      </c>
      <c r="O60">
        <v>10201365</v>
      </c>
      <c r="P60" s="6">
        <f>VLOOKUP(Tableau411[[#This Row],[Player id]],Tableau18[[Player id]:[Clocko fruit]],4,0)</f>
        <v>0</v>
      </c>
      <c r="Q60">
        <v>10201365</v>
      </c>
      <c r="R60" s="5">
        <f>VLOOKUP(Tableau512[[#This Row],[Player id]],Tableau18[[Player id]:[Clocko fruit]],5,0)</f>
        <v>0</v>
      </c>
      <c r="S60">
        <v>10201365</v>
      </c>
      <c r="T60" s="6">
        <f>VLOOKUP(Tableau613[[#This Row],[Player id]],Tableau18[[Player id]:[Clocko fruit]],5,0)</f>
        <v>0</v>
      </c>
      <c r="U60">
        <v>10201365</v>
      </c>
      <c r="V60" s="6">
        <f>VLOOKUP(Tableau61314[[#This Row],[Player id]],Tableau18[[Player id]:[Clocko fruit]],6,0)</f>
        <v>0</v>
      </c>
      <c r="AO60">
        <v>10201365</v>
      </c>
      <c r="AP60">
        <v>64</v>
      </c>
      <c r="AQ60">
        <v>65</v>
      </c>
      <c r="AR60">
        <v>67</v>
      </c>
      <c r="AS60">
        <v>39</v>
      </c>
      <c r="AT60">
        <v>38</v>
      </c>
      <c r="AU60">
        <f>AVERAGE(Tableau1[[#This Row],[Dragon fruit]:[Clocko fruit]])</f>
        <v>54.6</v>
      </c>
      <c r="AW60">
        <v>10932485</v>
      </c>
      <c r="AX60" s="6">
        <v>61</v>
      </c>
      <c r="AY60">
        <v>10001407</v>
      </c>
      <c r="AZ60" s="5">
        <v>56</v>
      </c>
      <c r="BA60">
        <v>15276961</v>
      </c>
      <c r="BB60" s="6">
        <v>61</v>
      </c>
      <c r="BC60">
        <v>11704389</v>
      </c>
      <c r="BD60" s="5">
        <v>39</v>
      </c>
      <c r="BE60">
        <v>10016173</v>
      </c>
      <c r="BF60" s="6">
        <v>39</v>
      </c>
    </row>
    <row r="61" spans="2:58" x14ac:dyDescent="0.2">
      <c r="B61">
        <v>11704389</v>
      </c>
      <c r="C61" s="11">
        <v>0</v>
      </c>
      <c r="D61" s="11"/>
      <c r="E61" s="11"/>
      <c r="F61" s="11"/>
      <c r="G61" s="11"/>
      <c r="H61" s="11"/>
      <c r="I61" s="11">
        <f>AVERAGE(Tableau18[[#This Row],[Bamboo shoot]:[Clocko fruit]])</f>
        <v>0</v>
      </c>
      <c r="K61">
        <v>11704389</v>
      </c>
      <c r="L61" s="6">
        <f>VLOOKUP(Tableau29[[#This Row],[Player id]],Tableau18[[Player id]:[Clocko fruit]],2,0)</f>
        <v>0</v>
      </c>
      <c r="M61">
        <v>11704389</v>
      </c>
      <c r="N61" s="5">
        <f>VLOOKUP(Tableau310[[#This Row],[Player id]],Tableau18[[Player id]:[Clocko fruit]],3,0)</f>
        <v>0</v>
      </c>
      <c r="O61">
        <v>11704389</v>
      </c>
      <c r="P61" s="5">
        <f>VLOOKUP(Tableau411[[#This Row],[Player id]],Tableau18[[Player id]:[Clocko fruit]],4,0)</f>
        <v>0</v>
      </c>
      <c r="Q61">
        <v>11704389</v>
      </c>
      <c r="R61" s="5">
        <f>VLOOKUP(Tableau512[[#This Row],[Player id]],Tableau18[[Player id]:[Clocko fruit]],5,0)</f>
        <v>0</v>
      </c>
      <c r="S61">
        <v>11704389</v>
      </c>
      <c r="T61" s="6">
        <f>VLOOKUP(Tableau613[[#This Row],[Player id]],Tableau18[[Player id]:[Clocko fruit]],5,0)</f>
        <v>0</v>
      </c>
      <c r="U61">
        <v>11704389</v>
      </c>
      <c r="V61" s="6">
        <f>VLOOKUP(Tableau61314[[#This Row],[Player id]],Tableau18[[Player id]:[Clocko fruit]],6,0)</f>
        <v>0</v>
      </c>
      <c r="AO61">
        <v>11704389</v>
      </c>
      <c r="AP61">
        <v>61</v>
      </c>
      <c r="AQ61">
        <v>55</v>
      </c>
      <c r="AR61">
        <v>52</v>
      </c>
      <c r="AS61">
        <v>39</v>
      </c>
      <c r="AT61">
        <v>65</v>
      </c>
      <c r="AU61">
        <f>AVERAGE(Tableau1[[#This Row],[Dragon fruit]:[Clocko fruit]])</f>
        <v>54.4</v>
      </c>
      <c r="AW61">
        <v>11639694</v>
      </c>
      <c r="AX61" s="6">
        <v>61</v>
      </c>
      <c r="AY61">
        <v>11704389</v>
      </c>
      <c r="AZ61" s="5">
        <v>55</v>
      </c>
      <c r="BA61">
        <v>17424686</v>
      </c>
      <c r="BB61" s="5">
        <v>54</v>
      </c>
      <c r="BC61">
        <v>17424686</v>
      </c>
      <c r="BD61" s="5">
        <v>38</v>
      </c>
      <c r="BE61">
        <v>10201365</v>
      </c>
      <c r="BF61" s="6">
        <v>38</v>
      </c>
    </row>
    <row r="62" spans="2:58" x14ac:dyDescent="0.2">
      <c r="B62">
        <v>15276961</v>
      </c>
      <c r="C62" s="11">
        <v>0</v>
      </c>
      <c r="D62" s="11"/>
      <c r="E62" s="11"/>
      <c r="F62" s="11"/>
      <c r="G62" s="11"/>
      <c r="H62" s="11"/>
      <c r="I62" s="11">
        <f>AVERAGE(Tableau18[[#This Row],[Bamboo shoot]:[Clocko fruit]])</f>
        <v>0</v>
      </c>
      <c r="K62">
        <v>15276961</v>
      </c>
      <c r="L62" s="5">
        <f>VLOOKUP(Tableau29[[#This Row],[Player id]],Tableau18[[Player id]:[Clocko fruit]],2,0)</f>
        <v>0</v>
      </c>
      <c r="M62">
        <v>15276961</v>
      </c>
      <c r="N62" s="6">
        <f>VLOOKUP(Tableau310[[#This Row],[Player id]],Tableau18[[Player id]:[Clocko fruit]],3,0)</f>
        <v>0</v>
      </c>
      <c r="O62">
        <v>15276961</v>
      </c>
      <c r="P62" s="5">
        <f>VLOOKUP(Tableau411[[#This Row],[Player id]],Tableau18[[Player id]:[Clocko fruit]],4,0)</f>
        <v>0</v>
      </c>
      <c r="Q62">
        <v>15276961</v>
      </c>
      <c r="R62" s="5">
        <f>VLOOKUP(Tableau512[[#This Row],[Player id]],Tableau18[[Player id]:[Clocko fruit]],5,0)</f>
        <v>0</v>
      </c>
      <c r="S62">
        <v>15276961</v>
      </c>
      <c r="T62" s="6">
        <f>VLOOKUP(Tableau613[[#This Row],[Player id]],Tableau18[[Player id]:[Clocko fruit]],5,0)</f>
        <v>0</v>
      </c>
      <c r="U62">
        <v>15276961</v>
      </c>
      <c r="V62" s="6">
        <f>VLOOKUP(Tableau61314[[#This Row],[Player id]],Tableau18[[Player id]:[Clocko fruit]],6,0)</f>
        <v>0</v>
      </c>
      <c r="AO62">
        <v>15276961</v>
      </c>
      <c r="AP62">
        <v>72</v>
      </c>
      <c r="AQ62">
        <v>52</v>
      </c>
      <c r="AR62">
        <v>61</v>
      </c>
      <c r="AS62">
        <v>49</v>
      </c>
      <c r="AT62">
        <v>37</v>
      </c>
      <c r="AU62">
        <f>AVERAGE(Tableau1[[#This Row],[Dragon fruit]:[Clocko fruit]])</f>
        <v>54.2</v>
      </c>
      <c r="AW62">
        <v>11704389</v>
      </c>
      <c r="AX62" s="5">
        <v>61</v>
      </c>
      <c r="AY62">
        <v>15276961</v>
      </c>
      <c r="AZ62" s="6">
        <v>52</v>
      </c>
      <c r="BA62">
        <v>10294719</v>
      </c>
      <c r="BB62" s="5">
        <v>53</v>
      </c>
      <c r="BC62">
        <v>10219371</v>
      </c>
      <c r="BD62" s="5">
        <v>37</v>
      </c>
      <c r="BE62">
        <v>15276961</v>
      </c>
      <c r="BF62" s="6">
        <v>37</v>
      </c>
    </row>
    <row r="63" spans="2:58" x14ac:dyDescent="0.2">
      <c r="B63">
        <v>10001407</v>
      </c>
      <c r="C63" s="11">
        <v>0</v>
      </c>
      <c r="D63" s="11"/>
      <c r="E63" s="11"/>
      <c r="F63" s="11"/>
      <c r="G63" s="11"/>
      <c r="H63" s="11"/>
      <c r="I63" s="11">
        <f>AVERAGE(Tableau18[[#This Row],[Bamboo shoot]:[Clocko fruit]])</f>
        <v>0</v>
      </c>
      <c r="K63">
        <v>10001407</v>
      </c>
      <c r="L63" s="9">
        <f>VLOOKUP(Tableau29[[#This Row],[Player id]],Tableau18[[Player id]:[Clocko fruit]],2,0)</f>
        <v>0</v>
      </c>
      <c r="M63">
        <v>10001407</v>
      </c>
      <c r="N63" s="9">
        <f>VLOOKUP(Tableau310[[#This Row],[Player id]],Tableau18[[Player id]:[Clocko fruit]],3,0)</f>
        <v>0</v>
      </c>
      <c r="O63">
        <v>10001407</v>
      </c>
      <c r="P63" s="8">
        <f>VLOOKUP(Tableau411[[#This Row],[Player id]],Tableau18[[Player id]:[Clocko fruit]],4,0)</f>
        <v>0</v>
      </c>
      <c r="Q63">
        <v>10001407</v>
      </c>
      <c r="R63" s="8">
        <f>VLOOKUP(Tableau512[[#This Row],[Player id]],Tableau18[[Player id]:[Clocko fruit]],5,0)</f>
        <v>0</v>
      </c>
      <c r="S63">
        <v>10001407</v>
      </c>
      <c r="T63" s="8">
        <f>VLOOKUP(Tableau613[[#This Row],[Player id]],Tableau18[[Player id]:[Clocko fruit]],5,0)</f>
        <v>0</v>
      </c>
      <c r="U63">
        <v>10001407</v>
      </c>
      <c r="V63" s="8">
        <f>VLOOKUP(Tableau61314[[#This Row],[Player id]],Tableau18[[Player id]:[Clocko fruit]],6,0)</f>
        <v>0</v>
      </c>
      <c r="AO63">
        <v>10001407</v>
      </c>
      <c r="AP63">
        <v>71</v>
      </c>
      <c r="AQ63">
        <v>56</v>
      </c>
      <c r="AR63">
        <v>73</v>
      </c>
      <c r="AS63">
        <v>0</v>
      </c>
      <c r="AT63">
        <v>0</v>
      </c>
      <c r="AU63">
        <f>AVERAGE(Tableau1[[#This Row],[Dragon fruit]:[Clocko fruit]])</f>
        <v>40</v>
      </c>
      <c r="AW63">
        <v>18469277</v>
      </c>
      <c r="AX63" s="9">
        <v>53</v>
      </c>
      <c r="AY63">
        <v>11639694</v>
      </c>
      <c r="AZ63" s="9">
        <v>52</v>
      </c>
      <c r="BA63">
        <v>11704389</v>
      </c>
      <c r="BB63" s="8">
        <v>52</v>
      </c>
      <c r="BC63">
        <v>10001407</v>
      </c>
      <c r="BD63" s="8">
        <v>0</v>
      </c>
      <c r="BE63">
        <v>10001407</v>
      </c>
      <c r="BF63" s="8">
        <v>0</v>
      </c>
    </row>
  </sheetData>
  <conditionalFormatting sqref="C3:H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H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H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H6 C7:C3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:H3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:H39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H40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H4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H4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H4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H4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H4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H4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H4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:H4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H4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H5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:H5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:H5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:H5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H5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:H5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H5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H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:H5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H5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0:H6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:H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:H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:H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:H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H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:H9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:H1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:H1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H1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:H1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H1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H1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:H1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:H1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:H1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H1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H20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H2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H2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:H2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:H2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:H2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H2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:H2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:H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:H2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H3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:H3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:H3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:H3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:H3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H3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H36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H3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6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63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:P63 P3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6 R8:R63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4 T6:T63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4 V6:V63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:AP63 D66:D81 D64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:AQ63 E66:E81 E6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AR63 F66:F81 F64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63 G66:G81 G6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3:AT63 H66:H81 H6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3:AX63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3:AZ6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B63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3:BD63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3:BF6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1A4B-6058-BF43-8DD8-23920E9F0F43}">
  <dimension ref="B1:AD119"/>
  <sheetViews>
    <sheetView topLeftCell="F1" zoomScaleNormal="150" zoomScaleSheetLayoutView="100" workbookViewId="0">
      <selection activeCell="AA79" sqref="AA79"/>
    </sheetView>
  </sheetViews>
  <sheetFormatPr defaultColWidth="8.609375" defaultRowHeight="15" x14ac:dyDescent="0.2"/>
  <cols>
    <col min="2" max="2" width="9.14453125" bestFit="1" customWidth="1"/>
    <col min="3" max="3" width="9.14453125" hidden="1" customWidth="1"/>
    <col min="4" max="4" width="4.16796875" bestFit="1" customWidth="1"/>
    <col min="5" max="5" width="6.1875" bestFit="1" customWidth="1"/>
    <col min="6" max="6" width="3.8984375" bestFit="1" customWidth="1"/>
    <col min="7" max="7" width="4.83984375" bestFit="1" customWidth="1"/>
    <col min="8" max="8" width="4.70703125" bestFit="1" customWidth="1"/>
    <col min="9" max="9" width="5.24609375" bestFit="1" customWidth="1"/>
    <col min="10" max="10" width="3.8984375" bestFit="1" customWidth="1"/>
    <col min="11" max="11" width="11.703125" bestFit="1" customWidth="1"/>
    <col min="12" max="12" width="11.703125" customWidth="1"/>
    <col min="13" max="13" width="4.4375" customWidth="1"/>
    <col min="14" max="14" width="5.37890625" bestFit="1" customWidth="1"/>
    <col min="15" max="15" width="4.03515625" bestFit="1" customWidth="1"/>
    <col min="16" max="16" width="4.9765625" bestFit="1" customWidth="1"/>
    <col min="17" max="17" width="4.16796875" bestFit="1" customWidth="1"/>
    <col min="18" max="18" width="5.24609375" bestFit="1" customWidth="1"/>
    <col min="19" max="19" width="3.8984375" bestFit="1" customWidth="1"/>
    <col min="20" max="20" width="7.93359375" bestFit="1" customWidth="1"/>
    <col min="21" max="21" width="9.81640625" bestFit="1" customWidth="1"/>
    <col min="22" max="22" width="10.0859375" hidden="1" customWidth="1"/>
    <col min="23" max="23" width="3.8984375" bestFit="1" customWidth="1"/>
    <col min="24" max="24" width="4.9765625" bestFit="1" customWidth="1"/>
    <col min="25" max="25" width="3.62890625" bestFit="1" customWidth="1"/>
    <col min="26" max="26" width="4.5703125" bestFit="1" customWidth="1"/>
    <col min="27" max="27" width="4.3046875" bestFit="1" customWidth="1"/>
    <col min="28" max="28" width="5.24609375" bestFit="1" customWidth="1"/>
  </cols>
  <sheetData>
    <row r="1" spans="2:30" ht="15.75" thickBot="1" x14ac:dyDescent="0.25">
      <c r="B1" s="74" t="s">
        <v>55</v>
      </c>
      <c r="C1" s="75"/>
      <c r="D1" s="75"/>
      <c r="E1" s="75"/>
      <c r="F1" s="75"/>
      <c r="G1" s="75"/>
      <c r="H1" s="75"/>
      <c r="I1" s="75"/>
      <c r="K1" s="70" t="s">
        <v>69</v>
      </c>
      <c r="L1" s="71"/>
      <c r="M1" s="72"/>
      <c r="N1" s="72"/>
      <c r="O1" s="72"/>
      <c r="P1" s="72"/>
      <c r="Q1" s="72"/>
      <c r="R1" s="73"/>
      <c r="T1" s="70" t="s">
        <v>171</v>
      </c>
      <c r="U1" s="71"/>
      <c r="V1" s="71"/>
      <c r="W1" s="72"/>
      <c r="X1" s="72"/>
      <c r="Y1" s="72"/>
      <c r="Z1" s="72"/>
      <c r="AA1" s="72"/>
      <c r="AB1" s="73"/>
    </row>
    <row r="2" spans="2:30" ht="15.75" thickBot="1" x14ac:dyDescent="0.25">
      <c r="B2" s="43" t="s">
        <v>45</v>
      </c>
      <c r="C2" s="18"/>
      <c r="D2" s="16" t="s">
        <v>58</v>
      </c>
      <c r="E2" s="17" t="s">
        <v>57</v>
      </c>
      <c r="F2" s="17" t="s">
        <v>46</v>
      </c>
      <c r="G2" s="34" t="s">
        <v>56</v>
      </c>
      <c r="H2" s="34" t="s">
        <v>66</v>
      </c>
      <c r="I2" s="18" t="s">
        <v>67</v>
      </c>
      <c r="K2" s="40" t="s">
        <v>45</v>
      </c>
      <c r="L2" s="41"/>
      <c r="M2" s="16" t="s">
        <v>58</v>
      </c>
      <c r="N2" s="17" t="s">
        <v>57</v>
      </c>
      <c r="O2" s="17" t="s">
        <v>46</v>
      </c>
      <c r="P2" s="34" t="s">
        <v>56</v>
      </c>
      <c r="Q2" s="34" t="s">
        <v>66</v>
      </c>
      <c r="R2" s="18" t="s">
        <v>67</v>
      </c>
      <c r="T2" s="43" t="s">
        <v>45</v>
      </c>
      <c r="U2" s="48" t="s">
        <v>214</v>
      </c>
      <c r="V2" s="44" t="s">
        <v>166</v>
      </c>
      <c r="W2" s="16" t="s">
        <v>58</v>
      </c>
      <c r="X2" s="17" t="s">
        <v>57</v>
      </c>
      <c r="Y2" s="17" t="s">
        <v>46</v>
      </c>
      <c r="Z2" s="34" t="s">
        <v>56</v>
      </c>
      <c r="AA2" s="34" t="s">
        <v>66</v>
      </c>
      <c r="AB2" s="18" t="s">
        <v>67</v>
      </c>
    </row>
    <row r="3" spans="2:30" x14ac:dyDescent="0.2">
      <c r="B3" s="29">
        <v>1000</v>
      </c>
      <c r="C3" s="31"/>
      <c r="D3" s="35">
        <v>30</v>
      </c>
      <c r="E3" s="20">
        <f>D3</f>
        <v>30</v>
      </c>
      <c r="F3" s="20">
        <v>0</v>
      </c>
      <c r="G3" s="20">
        <f>F3</f>
        <v>0</v>
      </c>
      <c r="H3" s="20">
        <v>0</v>
      </c>
      <c r="I3" s="21"/>
      <c r="K3" s="13">
        <v>200000</v>
      </c>
      <c r="L3" s="42"/>
      <c r="M3" s="19">
        <v>30</v>
      </c>
      <c r="N3" s="20">
        <f>M3</f>
        <v>30</v>
      </c>
      <c r="O3" s="20">
        <v>0</v>
      </c>
      <c r="P3" s="20">
        <f>O3</f>
        <v>0</v>
      </c>
      <c r="Q3" s="20">
        <v>0</v>
      </c>
      <c r="R3" s="21"/>
      <c r="T3" s="29" t="s">
        <v>71</v>
      </c>
      <c r="U3" s="49">
        <f>_xlfn.TEXTBEFORE(T3,"k")*1000/(5*(1+_xlfn.TEXTBEFORE(_xlfn.TEXTAFTER(U$2,"+"),"%")/100)*1.25)</f>
        <v>8.2191780821917817</v>
      </c>
      <c r="V3" s="45">
        <f>_xlfn.TEXTBEFORE(T3,"k")*1000/5/(1+_xlfn.TEXTBEFORE(_xlfn.TEXTAFTER(V$2,"+"),"%")/100)/2/1.25/0.22</f>
        <v>15.026296018031557</v>
      </c>
      <c r="W3" s="19">
        <v>60</v>
      </c>
      <c r="X3" s="20">
        <f>W3</f>
        <v>60</v>
      </c>
      <c r="Y3" s="20">
        <v>0</v>
      </c>
      <c r="Z3" s="20">
        <f>Y3</f>
        <v>0</v>
      </c>
      <c r="AA3" s="20">
        <v>0</v>
      </c>
      <c r="AB3" s="21">
        <f>AA3</f>
        <v>0</v>
      </c>
    </row>
    <row r="4" spans="2:30" x14ac:dyDescent="0.2">
      <c r="B4" s="32">
        <v>5000</v>
      </c>
      <c r="C4" s="38"/>
      <c r="D4" s="36">
        <v>30</v>
      </c>
      <c r="E4" s="12">
        <f>E3+D4</f>
        <v>60</v>
      </c>
      <c r="F4" s="12">
        <v>0</v>
      </c>
      <c r="G4" s="12">
        <f>G3+F4</f>
        <v>0</v>
      </c>
      <c r="H4" s="12">
        <v>0</v>
      </c>
      <c r="I4" s="23"/>
      <c r="K4" s="14">
        <v>400000</v>
      </c>
      <c r="L4" s="38"/>
      <c r="M4" s="22">
        <v>30</v>
      </c>
      <c r="N4" s="12">
        <f>N3+M4</f>
        <v>60</v>
      </c>
      <c r="O4" s="12">
        <v>0</v>
      </c>
      <c r="P4" s="12">
        <f>P3+O4</f>
        <v>0</v>
      </c>
      <c r="Q4" s="12">
        <v>0</v>
      </c>
      <c r="R4" s="23"/>
      <c r="T4" s="32" t="s">
        <v>70</v>
      </c>
      <c r="U4" s="50">
        <f>_xlfn.TEXTBEFORE(T4,"k")*1000/(5*(1+_xlfn.TEXTBEFORE(_xlfn.TEXTAFTER(U$2,"+"),"%")/100)*1.25)</f>
        <v>109.58904109589041</v>
      </c>
      <c r="V4" s="46">
        <f>_xlfn.TEXTBEFORE(T4,"k")*1000/5/(1+_xlfn.TEXTBEFORE(_xlfn.TEXTAFTER(V$2,"+"),"%")/100)/2/1.25/0.22</f>
        <v>200.35061357375406</v>
      </c>
      <c r="W4" s="22">
        <v>0</v>
      </c>
      <c r="X4" s="12">
        <f>X3+W4</f>
        <v>60</v>
      </c>
      <c r="Y4" s="12">
        <v>1</v>
      </c>
      <c r="Z4" s="12">
        <f>Z3+Y4</f>
        <v>1</v>
      </c>
      <c r="AA4" s="12">
        <v>3</v>
      </c>
      <c r="AB4" s="12">
        <f>AB3+AA4</f>
        <v>3</v>
      </c>
    </row>
    <row r="5" spans="2:30" x14ac:dyDescent="0.2">
      <c r="B5" s="32">
        <v>10000</v>
      </c>
      <c r="C5" s="38"/>
      <c r="D5" s="36">
        <v>30</v>
      </c>
      <c r="E5" s="12">
        <f t="shared" ref="E5:E68" si="0">E4+D5</f>
        <v>90</v>
      </c>
      <c r="F5" s="12">
        <v>0</v>
      </c>
      <c r="G5" s="12">
        <f>G4+F5</f>
        <v>0</v>
      </c>
      <c r="H5" s="12"/>
      <c r="I5" s="23"/>
      <c r="K5" s="14">
        <v>800000</v>
      </c>
      <c r="L5" s="38"/>
      <c r="M5" s="22">
        <v>30</v>
      </c>
      <c r="N5" s="12">
        <f t="shared" ref="N5:N68" si="1">N4+M5</f>
        <v>90</v>
      </c>
      <c r="O5" s="12">
        <v>0</v>
      </c>
      <c r="P5" s="12">
        <f>P4+O5</f>
        <v>0</v>
      </c>
      <c r="Q5" s="12">
        <v>5</v>
      </c>
      <c r="R5" s="23"/>
      <c r="T5" s="32" t="s">
        <v>72</v>
      </c>
      <c r="U5" s="50">
        <f>_xlfn.TEXTBEFORE(T5,"k")*1000/(5*(1+_xlfn.TEXTBEFORE(_xlfn.TEXTAFTER(U$2,"+"),"%")/100)*1.25)</f>
        <v>175.34246575342465</v>
      </c>
      <c r="V5" s="46">
        <f t="shared" ref="V5:V68" si="2">_xlfn.TEXTBEFORE(T5,"k")*1000/5/(1+_xlfn.TEXTBEFORE(_xlfn.TEXTAFTER(V$2,"+"),"%")/100)/2/1.25/0.22</f>
        <v>320.56098171800653</v>
      </c>
      <c r="W5" s="22">
        <v>0</v>
      </c>
      <c r="X5" s="12">
        <f t="shared" ref="X5:X33" si="3">X4+W5</f>
        <v>60</v>
      </c>
      <c r="Y5" s="12">
        <v>0</v>
      </c>
      <c r="Z5" s="12">
        <f>Z4+Y5</f>
        <v>1</v>
      </c>
      <c r="AA5" s="12">
        <v>0</v>
      </c>
      <c r="AB5" s="12">
        <f t="shared" ref="AB5:AB33" si="4">AB4+AA5</f>
        <v>3</v>
      </c>
    </row>
    <row r="6" spans="2:30" x14ac:dyDescent="0.2">
      <c r="B6" s="32">
        <v>20000</v>
      </c>
      <c r="C6" s="38"/>
      <c r="D6" s="36">
        <v>30</v>
      </c>
      <c r="E6" s="12">
        <f t="shared" si="0"/>
        <v>120</v>
      </c>
      <c r="F6" s="12">
        <v>0</v>
      </c>
      <c r="G6" s="12">
        <f>G5+F6</f>
        <v>0</v>
      </c>
      <c r="H6" s="12"/>
      <c r="I6" s="23"/>
      <c r="K6" s="14">
        <v>1200000</v>
      </c>
      <c r="L6" s="38"/>
      <c r="M6" s="22">
        <v>30</v>
      </c>
      <c r="N6" s="12">
        <f t="shared" si="1"/>
        <v>120</v>
      </c>
      <c r="O6" s="12">
        <v>0</v>
      </c>
      <c r="P6" s="12">
        <f>P5+O6</f>
        <v>0</v>
      </c>
      <c r="Q6" s="12">
        <v>0</v>
      </c>
      <c r="R6" s="23"/>
      <c r="T6" s="32" t="s">
        <v>73</v>
      </c>
      <c r="U6" s="50">
        <f>_xlfn.TEXTBEFORE(T6,"k")*1000/(5*(1+_xlfn.TEXTBEFORE(_xlfn.TEXTAFTER(U$2,"+"),"%")/100)*1.25)</f>
        <v>230.13698630136986</v>
      </c>
      <c r="V6" s="46">
        <f t="shared" si="2"/>
        <v>420.73628850488359</v>
      </c>
      <c r="W6" s="22">
        <v>0</v>
      </c>
      <c r="X6" s="12">
        <f t="shared" si="3"/>
        <v>60</v>
      </c>
      <c r="Y6" s="12">
        <v>0</v>
      </c>
      <c r="Z6" s="12">
        <f t="shared" ref="Z6:Z69" si="5">Z5+Y6</f>
        <v>1</v>
      </c>
      <c r="AA6" s="12">
        <v>0</v>
      </c>
      <c r="AB6" s="12">
        <f t="shared" si="4"/>
        <v>3</v>
      </c>
    </row>
    <row r="7" spans="2:30" x14ac:dyDescent="0.2">
      <c r="B7" s="32">
        <v>50000</v>
      </c>
      <c r="C7" s="38"/>
      <c r="D7" s="36">
        <v>30</v>
      </c>
      <c r="E7" s="12">
        <f t="shared" si="0"/>
        <v>150</v>
      </c>
      <c r="F7" s="12">
        <v>0</v>
      </c>
      <c r="G7" s="12">
        <f>G6+F7</f>
        <v>0</v>
      </c>
      <c r="H7" s="12"/>
      <c r="I7" s="23"/>
      <c r="K7" s="14">
        <v>1600000</v>
      </c>
      <c r="L7" s="38"/>
      <c r="M7" s="22">
        <v>30</v>
      </c>
      <c r="N7" s="12">
        <f t="shared" si="1"/>
        <v>150</v>
      </c>
      <c r="O7" s="12">
        <v>0</v>
      </c>
      <c r="P7" s="12">
        <f>P6+O7</f>
        <v>0</v>
      </c>
      <c r="Q7" s="12">
        <v>0</v>
      </c>
      <c r="R7" s="23"/>
      <c r="T7" s="32" t="s">
        <v>74</v>
      </c>
      <c r="U7" s="50">
        <f>_xlfn.TEXTBEFORE(T7,"k")*1000/(5*(1+_xlfn.TEXTBEFORE(_xlfn.TEXTAFTER(U$2,"+"),"%")/100)*1.25)</f>
        <v>290.41095890410958</v>
      </c>
      <c r="V7" s="46">
        <f t="shared" si="2"/>
        <v>530.92912597044835</v>
      </c>
      <c r="W7" s="22">
        <v>0</v>
      </c>
      <c r="X7" s="12">
        <f t="shared" si="3"/>
        <v>60</v>
      </c>
      <c r="Y7" s="12">
        <v>0</v>
      </c>
      <c r="Z7" s="12">
        <f t="shared" si="5"/>
        <v>1</v>
      </c>
      <c r="AA7" s="12">
        <v>0</v>
      </c>
      <c r="AB7" s="12">
        <f t="shared" si="4"/>
        <v>3</v>
      </c>
      <c r="AD7">
        <f>_xlfn.TEXTBEFORE(T3,"k")*1000/((1+_xlfn.TEXTBEFORE(_xlfn.TEXTAFTER(V$2,"+"),"%")/100)*1.25)</f>
        <v>33.057851239669425</v>
      </c>
    </row>
    <row r="8" spans="2:30" x14ac:dyDescent="0.2">
      <c r="B8" s="32">
        <v>100000</v>
      </c>
      <c r="C8" s="38"/>
      <c r="D8" s="36">
        <v>60</v>
      </c>
      <c r="E8" s="12">
        <f t="shared" si="0"/>
        <v>210</v>
      </c>
      <c r="F8" s="12">
        <v>0</v>
      </c>
      <c r="G8" s="12">
        <f>G7+F8</f>
        <v>0</v>
      </c>
      <c r="H8" s="12"/>
      <c r="I8" s="23"/>
      <c r="K8" s="14">
        <v>2000000</v>
      </c>
      <c r="L8" s="38"/>
      <c r="M8" s="22">
        <v>30</v>
      </c>
      <c r="N8" s="12">
        <f t="shared" si="1"/>
        <v>180</v>
      </c>
      <c r="O8" s="12">
        <v>0</v>
      </c>
      <c r="P8" s="12">
        <f>P7+O8</f>
        <v>0</v>
      </c>
      <c r="Q8" s="12">
        <v>5</v>
      </c>
      <c r="R8" s="23"/>
      <c r="T8" s="32" t="s">
        <v>75</v>
      </c>
      <c r="U8" s="50">
        <f>_xlfn.TEXTBEFORE(T8,"k")*1000/(5*(1+_xlfn.TEXTBEFORE(_xlfn.TEXTAFTER(U$2,"+"),"%")/100)*1.25)</f>
        <v>345.20547945205482</v>
      </c>
      <c r="V8" s="46">
        <f t="shared" si="2"/>
        <v>631.10443275732541</v>
      </c>
      <c r="W8" s="22">
        <v>60</v>
      </c>
      <c r="X8" s="12">
        <f t="shared" si="3"/>
        <v>120</v>
      </c>
      <c r="Y8" s="12">
        <v>0</v>
      </c>
      <c r="Z8" s="12">
        <f t="shared" si="5"/>
        <v>1</v>
      </c>
      <c r="AA8" s="12">
        <v>0</v>
      </c>
      <c r="AB8" s="12">
        <f t="shared" si="4"/>
        <v>3</v>
      </c>
    </row>
    <row r="9" spans="2:30" x14ac:dyDescent="0.2">
      <c r="B9" s="32">
        <v>200000</v>
      </c>
      <c r="C9" s="38"/>
      <c r="D9" s="36">
        <v>30</v>
      </c>
      <c r="E9" s="12">
        <f t="shared" si="0"/>
        <v>240</v>
      </c>
      <c r="F9" s="12">
        <v>0</v>
      </c>
      <c r="G9" s="12">
        <f>G8+F9</f>
        <v>0</v>
      </c>
      <c r="H9" s="12"/>
      <c r="I9" s="23"/>
      <c r="K9" s="14">
        <v>2400000</v>
      </c>
      <c r="L9" s="38"/>
      <c r="M9" s="22">
        <v>30</v>
      </c>
      <c r="N9" s="12">
        <f t="shared" si="1"/>
        <v>210</v>
      </c>
      <c r="O9" s="12">
        <v>0</v>
      </c>
      <c r="P9" s="12">
        <f>P8+O9</f>
        <v>0</v>
      </c>
      <c r="Q9" s="12">
        <v>0</v>
      </c>
      <c r="R9" s="23"/>
      <c r="T9" s="32" t="s">
        <v>76</v>
      </c>
      <c r="U9" s="50">
        <f>_xlfn.TEXTBEFORE(T9,"k")*1000/(5*(1+_xlfn.TEXTBEFORE(_xlfn.TEXTAFTER(U$2,"+"),"%")/100)*1.25)</f>
        <v>405.47945205479454</v>
      </c>
      <c r="V9" s="46">
        <f t="shared" si="2"/>
        <v>741.29727022289012</v>
      </c>
      <c r="W9" s="22">
        <v>0</v>
      </c>
      <c r="X9" s="12">
        <f t="shared" si="3"/>
        <v>120</v>
      </c>
      <c r="Y9" s="12">
        <v>0</v>
      </c>
      <c r="Z9" s="12">
        <f t="shared" si="5"/>
        <v>1</v>
      </c>
      <c r="AA9" s="12">
        <v>3</v>
      </c>
      <c r="AB9" s="12">
        <f t="shared" si="4"/>
        <v>6</v>
      </c>
    </row>
    <row r="10" spans="2:30" x14ac:dyDescent="0.2">
      <c r="B10" s="32">
        <v>300000</v>
      </c>
      <c r="C10" s="38"/>
      <c r="D10" s="36">
        <v>30</v>
      </c>
      <c r="E10" s="12">
        <f t="shared" si="0"/>
        <v>270</v>
      </c>
      <c r="F10" s="12">
        <v>2</v>
      </c>
      <c r="G10" s="12">
        <f>G9+F10</f>
        <v>2</v>
      </c>
      <c r="H10" s="12"/>
      <c r="I10" s="23"/>
      <c r="K10" s="14">
        <v>2800000</v>
      </c>
      <c r="L10" s="38"/>
      <c r="M10" s="22">
        <v>30</v>
      </c>
      <c r="N10" s="12">
        <f t="shared" si="1"/>
        <v>240</v>
      </c>
      <c r="O10" s="12">
        <v>0</v>
      </c>
      <c r="P10" s="12">
        <f>P9+O10</f>
        <v>0</v>
      </c>
      <c r="Q10" s="12">
        <v>0</v>
      </c>
      <c r="R10" s="23"/>
      <c r="T10" s="32" t="s">
        <v>77</v>
      </c>
      <c r="U10" s="50">
        <f>_xlfn.TEXTBEFORE(T10,"k")*1000/(5*(1+_xlfn.TEXTBEFORE(_xlfn.TEXTAFTER(U$2,"+"),"%")/100)*1.25)</f>
        <v>460.27397260273972</v>
      </c>
      <c r="V10" s="46">
        <f t="shared" si="2"/>
        <v>841.47257700976718</v>
      </c>
      <c r="W10" s="22">
        <v>0</v>
      </c>
      <c r="X10" s="12">
        <f t="shared" si="3"/>
        <v>120</v>
      </c>
      <c r="Y10" s="12">
        <v>1</v>
      </c>
      <c r="Z10" s="12">
        <f t="shared" si="5"/>
        <v>2</v>
      </c>
      <c r="AA10" s="12">
        <v>0</v>
      </c>
      <c r="AB10" s="12">
        <f t="shared" si="4"/>
        <v>6</v>
      </c>
    </row>
    <row r="11" spans="2:30" x14ac:dyDescent="0.2">
      <c r="B11" s="32">
        <v>400000</v>
      </c>
      <c r="C11" s="38"/>
      <c r="D11" s="36">
        <v>30</v>
      </c>
      <c r="E11" s="12">
        <f t="shared" si="0"/>
        <v>300</v>
      </c>
      <c r="F11" s="12">
        <v>0</v>
      </c>
      <c r="G11" s="12">
        <f>G10+F11</f>
        <v>2</v>
      </c>
      <c r="H11" s="12"/>
      <c r="I11" s="23"/>
      <c r="K11" s="14">
        <v>3200000</v>
      </c>
      <c r="L11" s="38"/>
      <c r="M11" s="22">
        <v>30</v>
      </c>
      <c r="N11" s="12">
        <f t="shared" si="1"/>
        <v>270</v>
      </c>
      <c r="O11" s="12">
        <v>2</v>
      </c>
      <c r="P11" s="12">
        <f>P10+O11</f>
        <v>2</v>
      </c>
      <c r="Q11" s="12"/>
      <c r="R11" s="23"/>
      <c r="T11" s="32" t="s">
        <v>78</v>
      </c>
      <c r="U11" s="50">
        <f>_xlfn.TEXTBEFORE(T11,"k")*1000/(5*(1+_xlfn.TEXTBEFORE(_xlfn.TEXTAFTER(U$2,"+"),"%")/100)*1.25)</f>
        <v>526.02739726027403</v>
      </c>
      <c r="V11" s="46">
        <f t="shared" si="2"/>
        <v>961.68294515401965</v>
      </c>
      <c r="W11" s="22">
        <v>60</v>
      </c>
      <c r="X11" s="12">
        <f t="shared" si="3"/>
        <v>180</v>
      </c>
      <c r="Y11" s="12">
        <v>0</v>
      </c>
      <c r="Z11" s="12">
        <f t="shared" si="5"/>
        <v>2</v>
      </c>
      <c r="AA11" s="12">
        <v>0</v>
      </c>
      <c r="AB11" s="12">
        <f t="shared" si="4"/>
        <v>6</v>
      </c>
    </row>
    <row r="12" spans="2:30" x14ac:dyDescent="0.2">
      <c r="B12" s="32">
        <f>B11+100000</f>
        <v>500000</v>
      </c>
      <c r="C12" s="38"/>
      <c r="D12" s="36">
        <v>30</v>
      </c>
      <c r="E12" s="12">
        <f t="shared" si="0"/>
        <v>330</v>
      </c>
      <c r="F12" s="12">
        <v>0</v>
      </c>
      <c r="G12" s="12">
        <f>G11+F12</f>
        <v>2</v>
      </c>
      <c r="H12" s="12"/>
      <c r="I12" s="23"/>
      <c r="K12" s="14">
        <v>3600000</v>
      </c>
      <c r="L12" s="38"/>
      <c r="M12" s="22">
        <v>30</v>
      </c>
      <c r="N12" s="12">
        <f t="shared" si="1"/>
        <v>300</v>
      </c>
      <c r="O12" s="12">
        <v>0</v>
      </c>
      <c r="P12" s="12">
        <f>P11+O12</f>
        <v>2</v>
      </c>
      <c r="Q12" s="12"/>
      <c r="R12" s="23"/>
      <c r="T12" s="32" t="s">
        <v>79</v>
      </c>
      <c r="U12" s="50">
        <f>_xlfn.TEXTBEFORE(T12,"k")*1000/(5*(1+_xlfn.TEXTBEFORE(_xlfn.TEXTAFTER(U$2,"+"),"%")/100)*1.25)</f>
        <v>580.82191780821915</v>
      </c>
      <c r="V12" s="46">
        <f t="shared" si="2"/>
        <v>1061.8582519408967</v>
      </c>
      <c r="W12" s="22">
        <v>0</v>
      </c>
      <c r="X12" s="12">
        <f t="shared" si="3"/>
        <v>180</v>
      </c>
      <c r="Y12" s="12">
        <v>0</v>
      </c>
      <c r="Z12" s="12">
        <f t="shared" si="5"/>
        <v>2</v>
      </c>
      <c r="AA12" s="12">
        <v>4</v>
      </c>
      <c r="AB12" s="12">
        <f t="shared" si="4"/>
        <v>10</v>
      </c>
    </row>
    <row r="13" spans="2:30" x14ac:dyDescent="0.2">
      <c r="B13" s="32">
        <f t="shared" ref="B13" si="6">B12+100000</f>
        <v>600000</v>
      </c>
      <c r="C13" s="38"/>
      <c r="D13" s="36">
        <v>90</v>
      </c>
      <c r="E13" s="12">
        <f t="shared" si="0"/>
        <v>420</v>
      </c>
      <c r="F13" s="12">
        <v>0</v>
      </c>
      <c r="G13" s="12">
        <f>G12+F13</f>
        <v>2</v>
      </c>
      <c r="H13" s="12"/>
      <c r="I13" s="23"/>
      <c r="K13" s="14">
        <v>4000000</v>
      </c>
      <c r="L13" s="38"/>
      <c r="M13" s="22">
        <v>90</v>
      </c>
      <c r="N13" s="12">
        <f t="shared" si="1"/>
        <v>390</v>
      </c>
      <c r="O13" s="12">
        <v>0</v>
      </c>
      <c r="P13" s="12">
        <f>P12+O13</f>
        <v>2</v>
      </c>
      <c r="Q13" s="12"/>
      <c r="R13" s="23"/>
      <c r="T13" s="32" t="s">
        <v>80</v>
      </c>
      <c r="U13" s="50">
        <f>_xlfn.TEXTBEFORE(T13,"k")*1000/(5*(1+_xlfn.TEXTBEFORE(_xlfn.TEXTAFTER(U$2,"+"),"%")/100)*1.25)</f>
        <v>646.57534246575347</v>
      </c>
      <c r="V13" s="46">
        <f t="shared" si="2"/>
        <v>1182.068620085149</v>
      </c>
      <c r="W13" s="22">
        <v>60</v>
      </c>
      <c r="X13" s="12">
        <f t="shared" si="3"/>
        <v>240</v>
      </c>
      <c r="Y13" s="12">
        <v>0</v>
      </c>
      <c r="Z13" s="12">
        <f t="shared" si="5"/>
        <v>2</v>
      </c>
      <c r="AA13" s="12">
        <v>0</v>
      </c>
      <c r="AB13" s="12">
        <f t="shared" si="4"/>
        <v>10</v>
      </c>
    </row>
    <row r="14" spans="2:30" x14ac:dyDescent="0.2">
      <c r="B14" s="32">
        <f>B13+200000</f>
        <v>800000</v>
      </c>
      <c r="C14" s="38"/>
      <c r="D14" s="36">
        <v>30</v>
      </c>
      <c r="E14" s="12">
        <f t="shared" si="0"/>
        <v>450</v>
      </c>
      <c r="F14" s="12">
        <v>0</v>
      </c>
      <c r="G14" s="12">
        <f>G13+F14</f>
        <v>2</v>
      </c>
      <c r="H14" s="12"/>
      <c r="I14" s="23"/>
      <c r="K14" s="14">
        <v>5000000</v>
      </c>
      <c r="L14" s="38"/>
      <c r="M14" s="22">
        <v>30</v>
      </c>
      <c r="N14" s="12">
        <f t="shared" si="1"/>
        <v>420</v>
      </c>
      <c r="O14" s="12">
        <v>0</v>
      </c>
      <c r="P14" s="12">
        <f>P13+O14</f>
        <v>2</v>
      </c>
      <c r="Q14" s="12"/>
      <c r="R14" s="23"/>
      <c r="T14" s="32" t="s">
        <v>81</v>
      </c>
      <c r="U14" s="50">
        <f>_xlfn.TEXTBEFORE(T14,"k")*1000/(5*(1+_xlfn.TEXTBEFORE(_xlfn.TEXTAFTER(U$2,"+"),"%")/100)*1.25)</f>
        <v>701.36986301369859</v>
      </c>
      <c r="V14" s="46">
        <f t="shared" si="2"/>
        <v>1282.2439268720261</v>
      </c>
      <c r="W14" s="22">
        <v>0</v>
      </c>
      <c r="X14" s="12">
        <f t="shared" si="3"/>
        <v>240</v>
      </c>
      <c r="Y14" s="12">
        <v>0</v>
      </c>
      <c r="Z14" s="12">
        <f t="shared" si="5"/>
        <v>2</v>
      </c>
      <c r="AA14" s="12">
        <v>4</v>
      </c>
      <c r="AB14" s="12">
        <f t="shared" si="4"/>
        <v>14</v>
      </c>
    </row>
    <row r="15" spans="2:30" x14ac:dyDescent="0.2">
      <c r="B15" s="32">
        <f t="shared" ref="B15:B45" si="7">B14+200000</f>
        <v>1000000</v>
      </c>
      <c r="C15" s="38"/>
      <c r="D15" s="36">
        <v>30</v>
      </c>
      <c r="E15" s="12">
        <f t="shared" si="0"/>
        <v>480</v>
      </c>
      <c r="F15" s="12">
        <v>0</v>
      </c>
      <c r="G15" s="12">
        <f>G14+F15</f>
        <v>2</v>
      </c>
      <c r="H15" s="12"/>
      <c r="I15" s="23"/>
      <c r="K15" s="14">
        <v>6000000</v>
      </c>
      <c r="L15" s="38"/>
      <c r="M15" s="22">
        <v>30</v>
      </c>
      <c r="N15" s="12">
        <f t="shared" si="1"/>
        <v>450</v>
      </c>
      <c r="O15" s="12">
        <v>0</v>
      </c>
      <c r="P15" s="12">
        <f>P14+O15</f>
        <v>2</v>
      </c>
      <c r="Q15" s="12"/>
      <c r="R15" s="23"/>
      <c r="T15" s="32" t="s">
        <v>82</v>
      </c>
      <c r="U15" s="50">
        <f>_xlfn.TEXTBEFORE(T15,"k")*1000/(5*(1+_xlfn.TEXTBEFORE(_xlfn.TEXTAFTER(U$2,"+"),"%")/100)*1.25)</f>
        <v>761.64383561643831</v>
      </c>
      <c r="V15" s="46">
        <f t="shared" si="2"/>
        <v>1392.4367643375908</v>
      </c>
      <c r="W15" s="22">
        <v>0</v>
      </c>
      <c r="X15" s="12">
        <f t="shared" si="3"/>
        <v>240</v>
      </c>
      <c r="Y15" s="12">
        <v>1</v>
      </c>
      <c r="Z15" s="12">
        <f t="shared" si="5"/>
        <v>3</v>
      </c>
      <c r="AA15" s="12">
        <v>0</v>
      </c>
      <c r="AB15" s="12">
        <f t="shared" si="4"/>
        <v>14</v>
      </c>
    </row>
    <row r="16" spans="2:30" x14ac:dyDescent="0.2">
      <c r="B16" s="32">
        <f t="shared" si="7"/>
        <v>1200000</v>
      </c>
      <c r="C16" s="38"/>
      <c r="D16" s="36">
        <v>60</v>
      </c>
      <c r="E16" s="12">
        <f t="shared" si="0"/>
        <v>540</v>
      </c>
      <c r="F16" s="12">
        <v>0</v>
      </c>
      <c r="G16" s="12">
        <f>G15+F16</f>
        <v>2</v>
      </c>
      <c r="H16" s="12"/>
      <c r="I16" s="23"/>
      <c r="K16" s="14">
        <v>7000000</v>
      </c>
      <c r="L16" s="38"/>
      <c r="M16" s="22">
        <v>60</v>
      </c>
      <c r="N16" s="12">
        <f t="shared" si="1"/>
        <v>510</v>
      </c>
      <c r="O16" s="12">
        <v>0</v>
      </c>
      <c r="P16" s="12">
        <f>P15+O16</f>
        <v>2</v>
      </c>
      <c r="Q16" s="12"/>
      <c r="R16" s="23"/>
      <c r="T16" s="32" t="s">
        <v>83</v>
      </c>
      <c r="U16" s="50">
        <f>_xlfn.TEXTBEFORE(T16,"k")*1000/(5*(1+_xlfn.TEXTBEFORE(_xlfn.TEXTAFTER(U$2,"+"),"%")/100)*1.25)</f>
        <v>827.39726027397262</v>
      </c>
      <c r="V16" s="46">
        <f t="shared" si="2"/>
        <v>1512.6471324818433</v>
      </c>
      <c r="W16" s="22">
        <v>60</v>
      </c>
      <c r="X16" s="12">
        <f t="shared" si="3"/>
        <v>300</v>
      </c>
      <c r="Y16" s="12">
        <v>0</v>
      </c>
      <c r="Z16" s="12">
        <f t="shared" si="5"/>
        <v>3</v>
      </c>
      <c r="AA16" s="12">
        <v>0</v>
      </c>
      <c r="AB16" s="12">
        <f t="shared" si="4"/>
        <v>14</v>
      </c>
    </row>
    <row r="17" spans="2:28" x14ac:dyDescent="0.2">
      <c r="B17" s="32">
        <f t="shared" si="7"/>
        <v>1400000</v>
      </c>
      <c r="C17" s="38"/>
      <c r="D17" s="36">
        <v>120</v>
      </c>
      <c r="E17" s="12">
        <f t="shared" si="0"/>
        <v>660</v>
      </c>
      <c r="F17" s="12">
        <v>3</v>
      </c>
      <c r="G17" s="12">
        <f>G16+F17</f>
        <v>5</v>
      </c>
      <c r="H17" s="12"/>
      <c r="I17" s="23"/>
      <c r="K17" s="14">
        <v>8000000</v>
      </c>
      <c r="L17" s="38"/>
      <c r="M17" s="22">
        <v>120</v>
      </c>
      <c r="N17" s="12">
        <f t="shared" si="1"/>
        <v>630</v>
      </c>
      <c r="O17" s="12">
        <v>3</v>
      </c>
      <c r="P17" s="12">
        <f>P16+O17</f>
        <v>5</v>
      </c>
      <c r="Q17" s="12"/>
      <c r="R17" s="23"/>
      <c r="T17" s="32" t="s">
        <v>84</v>
      </c>
      <c r="U17" s="50">
        <f>_xlfn.TEXTBEFORE(T17,"k")*1000/(5*(1+_xlfn.TEXTBEFORE(_xlfn.TEXTAFTER(U$2,"+"),"%")/100)*1.25)</f>
        <v>876.71232876712327</v>
      </c>
      <c r="V17" s="46">
        <f t="shared" si="2"/>
        <v>1602.8049085900325</v>
      </c>
      <c r="W17" s="22">
        <v>0</v>
      </c>
      <c r="X17" s="12">
        <f t="shared" si="3"/>
        <v>300</v>
      </c>
      <c r="Y17" s="12">
        <v>0</v>
      </c>
      <c r="Z17" s="12">
        <f t="shared" si="5"/>
        <v>3</v>
      </c>
      <c r="AA17" s="12">
        <v>4</v>
      </c>
      <c r="AB17" s="12">
        <f t="shared" si="4"/>
        <v>18</v>
      </c>
    </row>
    <row r="18" spans="2:28" x14ac:dyDescent="0.2">
      <c r="B18" s="32">
        <f t="shared" si="7"/>
        <v>1600000</v>
      </c>
      <c r="C18" s="38"/>
      <c r="D18" s="36">
        <v>120</v>
      </c>
      <c r="E18" s="12">
        <f t="shared" si="0"/>
        <v>780</v>
      </c>
      <c r="F18" s="12">
        <v>0</v>
      </c>
      <c r="G18" s="12">
        <f>G17+F18</f>
        <v>5</v>
      </c>
      <c r="H18" s="12"/>
      <c r="I18" s="23"/>
      <c r="K18" s="14">
        <v>8400000</v>
      </c>
      <c r="L18" s="38"/>
      <c r="M18" s="22">
        <v>120</v>
      </c>
      <c r="N18" s="12">
        <f t="shared" si="1"/>
        <v>750</v>
      </c>
      <c r="O18" s="12">
        <v>0</v>
      </c>
      <c r="P18" s="12">
        <f>P17+O18</f>
        <v>5</v>
      </c>
      <c r="Q18" s="12"/>
      <c r="R18" s="23"/>
      <c r="T18" s="32" t="s">
        <v>85</v>
      </c>
      <c r="U18" s="50">
        <f>_xlfn.TEXTBEFORE(T18,"k")*1000/(5*(1+_xlfn.TEXTBEFORE(_xlfn.TEXTAFTER(U$2,"+"),"%")/100)*1.25)</f>
        <v>389.04109589041099</v>
      </c>
      <c r="V18" s="46">
        <f t="shared" si="2"/>
        <v>711.24467818682706</v>
      </c>
      <c r="W18" s="22">
        <v>0</v>
      </c>
      <c r="X18" s="12">
        <f t="shared" si="3"/>
        <v>300</v>
      </c>
      <c r="Y18" s="12">
        <v>0</v>
      </c>
      <c r="Z18" s="12">
        <f t="shared" si="5"/>
        <v>3</v>
      </c>
      <c r="AA18" s="12">
        <v>0</v>
      </c>
      <c r="AB18" s="12">
        <f t="shared" si="4"/>
        <v>18</v>
      </c>
    </row>
    <row r="19" spans="2:28" x14ac:dyDescent="0.2">
      <c r="B19" s="32">
        <f t="shared" si="7"/>
        <v>1800000</v>
      </c>
      <c r="C19" s="38"/>
      <c r="D19" s="36">
        <v>120</v>
      </c>
      <c r="E19" s="12">
        <f t="shared" si="0"/>
        <v>900</v>
      </c>
      <c r="F19" s="12">
        <v>0</v>
      </c>
      <c r="G19" s="12">
        <f>G18+F19</f>
        <v>5</v>
      </c>
      <c r="H19" s="12"/>
      <c r="I19" s="23"/>
      <c r="K19" s="14">
        <v>8800000</v>
      </c>
      <c r="L19" s="38"/>
      <c r="M19" s="22">
        <v>120</v>
      </c>
      <c r="N19" s="12">
        <f t="shared" si="1"/>
        <v>870</v>
      </c>
      <c r="O19" s="12">
        <v>0</v>
      </c>
      <c r="P19" s="12">
        <f>P18+O19</f>
        <v>5</v>
      </c>
      <c r="Q19" s="12"/>
      <c r="R19" s="23"/>
      <c r="T19" s="32" t="s">
        <v>86</v>
      </c>
      <c r="U19" s="50">
        <f>_xlfn.TEXTBEFORE(T19,"k")*1000/(5*(1+_xlfn.TEXTBEFORE(_xlfn.TEXTAFTER(U$2,"+"),"%")/100)*1.25)</f>
        <v>997.2602739726027</v>
      </c>
      <c r="V19" s="46">
        <f t="shared" si="2"/>
        <v>1823.1905835211619</v>
      </c>
      <c r="W19" s="22">
        <v>60</v>
      </c>
      <c r="X19" s="12">
        <f t="shared" si="3"/>
        <v>360</v>
      </c>
      <c r="Y19" s="12">
        <v>0</v>
      </c>
      <c r="Z19" s="12">
        <f t="shared" si="5"/>
        <v>3</v>
      </c>
      <c r="AA19" s="12">
        <v>0</v>
      </c>
      <c r="AB19" s="12">
        <f t="shared" si="4"/>
        <v>18</v>
      </c>
    </row>
    <row r="20" spans="2:28" x14ac:dyDescent="0.2">
      <c r="B20" s="32">
        <f t="shared" si="7"/>
        <v>2000000</v>
      </c>
      <c r="C20" s="38"/>
      <c r="D20" s="36">
        <v>120</v>
      </c>
      <c r="E20" s="12">
        <f t="shared" si="0"/>
        <v>1020</v>
      </c>
      <c r="F20" s="12">
        <v>0</v>
      </c>
      <c r="G20" s="12">
        <f>G19+F20</f>
        <v>5</v>
      </c>
      <c r="H20" s="12"/>
      <c r="I20" s="23"/>
      <c r="K20" s="14">
        <v>9200000</v>
      </c>
      <c r="L20" s="38"/>
      <c r="M20" s="22">
        <v>120</v>
      </c>
      <c r="N20" s="12">
        <f t="shared" si="1"/>
        <v>990</v>
      </c>
      <c r="O20" s="12">
        <v>0</v>
      </c>
      <c r="P20" s="12">
        <f>P19+O20</f>
        <v>5</v>
      </c>
      <c r="Q20" s="12"/>
      <c r="R20" s="23"/>
      <c r="T20" s="32" t="s">
        <v>87</v>
      </c>
      <c r="U20" s="50">
        <f>_xlfn.TEXTBEFORE(T20,"k")*1000/(5*(1+_xlfn.TEXTBEFORE(_xlfn.TEXTAFTER(U$2,"+"),"%")/100)*1.25)</f>
        <v>1057.5342465753424</v>
      </c>
      <c r="V20" s="46">
        <f t="shared" si="2"/>
        <v>1933.3834209867266</v>
      </c>
      <c r="W20" s="22">
        <v>0</v>
      </c>
      <c r="X20" s="12">
        <f t="shared" si="3"/>
        <v>360</v>
      </c>
      <c r="Y20" s="12">
        <v>1</v>
      </c>
      <c r="Z20" s="12">
        <f t="shared" si="5"/>
        <v>4</v>
      </c>
      <c r="AA20" s="12">
        <v>0</v>
      </c>
      <c r="AB20" s="12">
        <f t="shared" si="4"/>
        <v>18</v>
      </c>
    </row>
    <row r="21" spans="2:28" x14ac:dyDescent="0.2">
      <c r="B21" s="32">
        <f t="shared" si="7"/>
        <v>2200000</v>
      </c>
      <c r="C21" s="38"/>
      <c r="D21" s="36">
        <v>150</v>
      </c>
      <c r="E21" s="12">
        <f t="shared" si="0"/>
        <v>1170</v>
      </c>
      <c r="F21" s="12">
        <v>0</v>
      </c>
      <c r="G21" s="12">
        <f>G20+F21</f>
        <v>5</v>
      </c>
      <c r="H21" s="12"/>
      <c r="I21" s="23"/>
      <c r="K21" s="14">
        <v>9600000</v>
      </c>
      <c r="L21" s="38"/>
      <c r="M21" s="22">
        <v>150</v>
      </c>
      <c r="N21" s="12">
        <f t="shared" si="1"/>
        <v>1140</v>
      </c>
      <c r="O21" s="12">
        <v>0</v>
      </c>
      <c r="P21" s="12">
        <f>P20+O21</f>
        <v>5</v>
      </c>
      <c r="Q21" s="12"/>
      <c r="R21" s="23"/>
      <c r="T21" s="32" t="s">
        <v>88</v>
      </c>
      <c r="U21" s="50">
        <f>_xlfn.TEXTBEFORE(T21,"k")*1000/(5*(1+_xlfn.TEXTBEFORE(_xlfn.TEXTAFTER(U$2,"+"),"%")/100)*1.25)</f>
        <v>1095.8904109589041</v>
      </c>
      <c r="V21" s="46">
        <f t="shared" si="2"/>
        <v>2003.5061357375407</v>
      </c>
      <c r="W21" s="22">
        <v>0</v>
      </c>
      <c r="X21" s="12">
        <f t="shared" si="3"/>
        <v>360</v>
      </c>
      <c r="Y21" s="12">
        <v>0</v>
      </c>
      <c r="Z21" s="12">
        <f t="shared" si="5"/>
        <v>4</v>
      </c>
      <c r="AA21" s="12">
        <v>4</v>
      </c>
      <c r="AB21" s="12">
        <f t="shared" si="4"/>
        <v>22</v>
      </c>
    </row>
    <row r="22" spans="2:28" x14ac:dyDescent="0.2">
      <c r="B22" s="32">
        <f t="shared" si="7"/>
        <v>2400000</v>
      </c>
      <c r="C22" s="38"/>
      <c r="D22" s="36">
        <v>150</v>
      </c>
      <c r="E22" s="12">
        <f t="shared" si="0"/>
        <v>1320</v>
      </c>
      <c r="F22" s="12">
        <v>0</v>
      </c>
      <c r="G22" s="12">
        <f>G21+F22</f>
        <v>5</v>
      </c>
      <c r="H22" s="12"/>
      <c r="I22" s="23"/>
      <c r="K22" s="14">
        <v>10000000</v>
      </c>
      <c r="L22" s="38"/>
      <c r="M22" s="22">
        <v>150</v>
      </c>
      <c r="N22" s="12">
        <f t="shared" si="1"/>
        <v>1290</v>
      </c>
      <c r="O22" s="12">
        <v>0</v>
      </c>
      <c r="P22" s="12">
        <f>P21+O22</f>
        <v>5</v>
      </c>
      <c r="Q22" s="12"/>
      <c r="R22" s="23"/>
      <c r="T22" s="32" t="s">
        <v>89</v>
      </c>
      <c r="U22" s="50">
        <f>_xlfn.TEXTBEFORE(T22,"k")*1000/(5*(1+_xlfn.TEXTBEFORE(_xlfn.TEXTAFTER(U$2,"+"),"%")/100)*1.25)</f>
        <v>1200</v>
      </c>
      <c r="V22" s="46">
        <f t="shared" si="2"/>
        <v>2193.8392186326073</v>
      </c>
      <c r="W22" s="22">
        <v>60</v>
      </c>
      <c r="X22" s="12">
        <f t="shared" si="3"/>
        <v>420</v>
      </c>
      <c r="Y22" s="12">
        <v>0</v>
      </c>
      <c r="Z22" s="12">
        <f t="shared" si="5"/>
        <v>4</v>
      </c>
      <c r="AA22" s="12">
        <v>0</v>
      </c>
      <c r="AB22" s="12">
        <f t="shared" si="4"/>
        <v>22</v>
      </c>
    </row>
    <row r="23" spans="2:28" x14ac:dyDescent="0.2">
      <c r="B23" s="32">
        <f t="shared" si="7"/>
        <v>2600000</v>
      </c>
      <c r="C23" s="38"/>
      <c r="D23" s="36">
        <v>240</v>
      </c>
      <c r="E23" s="12">
        <f t="shared" si="0"/>
        <v>1560</v>
      </c>
      <c r="F23" s="12">
        <v>0</v>
      </c>
      <c r="G23" s="12">
        <f>G22+F23</f>
        <v>5</v>
      </c>
      <c r="H23" s="12"/>
      <c r="I23" s="23"/>
      <c r="K23" s="14">
        <v>10400000</v>
      </c>
      <c r="L23" s="38"/>
      <c r="M23" s="22">
        <v>240</v>
      </c>
      <c r="N23" s="12">
        <f t="shared" si="1"/>
        <v>1530</v>
      </c>
      <c r="O23" s="12">
        <v>0</v>
      </c>
      <c r="P23" s="12">
        <f>P22+O23</f>
        <v>5</v>
      </c>
      <c r="Q23" s="12"/>
      <c r="R23" s="23"/>
      <c r="T23" s="32" t="s">
        <v>90</v>
      </c>
      <c r="U23" s="50">
        <f>_xlfn.TEXTBEFORE(T23,"k")*1000/(5*(1+_xlfn.TEXTBEFORE(_xlfn.TEXTAFTER(U$2,"+"),"%")/100)*1.25)</f>
        <v>1260.2739726027398</v>
      </c>
      <c r="V23" s="46">
        <f t="shared" si="2"/>
        <v>2304.0320560981718</v>
      </c>
      <c r="W23" s="22">
        <v>0</v>
      </c>
      <c r="X23" s="12">
        <f t="shared" si="3"/>
        <v>420</v>
      </c>
      <c r="Y23" s="12">
        <v>0</v>
      </c>
      <c r="Z23" s="12">
        <f t="shared" si="5"/>
        <v>4</v>
      </c>
      <c r="AA23" s="12">
        <v>4</v>
      </c>
      <c r="AB23" s="12">
        <f t="shared" si="4"/>
        <v>26</v>
      </c>
    </row>
    <row r="24" spans="2:28" x14ac:dyDescent="0.2">
      <c r="B24" s="32">
        <f t="shared" si="7"/>
        <v>2800000</v>
      </c>
      <c r="C24" s="38"/>
      <c r="D24" s="36">
        <v>120</v>
      </c>
      <c r="E24" s="12">
        <f t="shared" si="0"/>
        <v>1680</v>
      </c>
      <c r="F24" s="12">
        <v>0</v>
      </c>
      <c r="G24" s="12">
        <f>G23+F24</f>
        <v>5</v>
      </c>
      <c r="H24" s="12"/>
      <c r="I24" s="23"/>
      <c r="K24" s="14">
        <v>10800000</v>
      </c>
      <c r="L24" s="38"/>
      <c r="M24" s="22">
        <v>120</v>
      </c>
      <c r="N24" s="12">
        <f t="shared" si="1"/>
        <v>1650</v>
      </c>
      <c r="O24" s="12">
        <v>0</v>
      </c>
      <c r="P24" s="12">
        <f>P23+O24</f>
        <v>5</v>
      </c>
      <c r="Q24" s="12"/>
      <c r="R24" s="23"/>
      <c r="T24" s="32" t="s">
        <v>91</v>
      </c>
      <c r="U24" s="50">
        <f>_xlfn.TEXTBEFORE(T24,"k")*1000/(5*(1+_xlfn.TEXTBEFORE(_xlfn.TEXTAFTER(U$2,"+"),"%")/100)*1.25)</f>
        <v>1315.0684931506848</v>
      </c>
      <c r="V24" s="46">
        <f t="shared" si="2"/>
        <v>2404.207362885049</v>
      </c>
      <c r="W24" s="22">
        <v>60</v>
      </c>
      <c r="X24" s="12">
        <f t="shared" si="3"/>
        <v>480</v>
      </c>
      <c r="Y24" s="12">
        <v>0</v>
      </c>
      <c r="Z24" s="12">
        <f t="shared" si="5"/>
        <v>4</v>
      </c>
      <c r="AA24" s="12">
        <v>0</v>
      </c>
      <c r="AB24" s="12">
        <f t="shared" si="4"/>
        <v>26</v>
      </c>
    </row>
    <row r="25" spans="2:28" x14ac:dyDescent="0.2">
      <c r="B25" s="32">
        <f t="shared" si="7"/>
        <v>3000000</v>
      </c>
      <c r="C25" s="38"/>
      <c r="D25" s="36">
        <v>180</v>
      </c>
      <c r="E25" s="12">
        <f t="shared" si="0"/>
        <v>1860</v>
      </c>
      <c r="F25" s="12">
        <v>0</v>
      </c>
      <c r="G25" s="12">
        <f>G24+F25</f>
        <v>5</v>
      </c>
      <c r="H25" s="12"/>
      <c r="I25" s="23"/>
      <c r="K25" s="14">
        <v>11200000</v>
      </c>
      <c r="L25" s="38"/>
      <c r="M25" s="22">
        <v>180</v>
      </c>
      <c r="N25" s="12">
        <f t="shared" si="1"/>
        <v>1830</v>
      </c>
      <c r="O25" s="12">
        <v>0</v>
      </c>
      <c r="P25" s="12">
        <f>P24+O25</f>
        <v>5</v>
      </c>
      <c r="Q25" s="12"/>
      <c r="R25" s="23"/>
      <c r="T25" s="32" t="s">
        <v>92</v>
      </c>
      <c r="U25" s="50">
        <f>_xlfn.TEXTBEFORE(T25,"k")*1000/(5*(1+_xlfn.TEXTBEFORE(_xlfn.TEXTAFTER(U$2,"+"),"%")/100)*1.25)</f>
        <v>1375.3424657534247</v>
      </c>
      <c r="V25" s="46">
        <f t="shared" si="2"/>
        <v>2514.4002003506134</v>
      </c>
      <c r="W25" s="22">
        <v>0</v>
      </c>
      <c r="X25" s="12">
        <f t="shared" si="3"/>
        <v>480</v>
      </c>
      <c r="Y25" s="12">
        <v>1</v>
      </c>
      <c r="Z25" s="12">
        <f t="shared" si="5"/>
        <v>5</v>
      </c>
      <c r="AA25" s="12">
        <v>0</v>
      </c>
      <c r="AB25" s="12">
        <f t="shared" si="4"/>
        <v>26</v>
      </c>
    </row>
    <row r="26" spans="2:28" x14ac:dyDescent="0.2">
      <c r="B26" s="32">
        <f t="shared" si="7"/>
        <v>3200000</v>
      </c>
      <c r="C26" s="38"/>
      <c r="D26" s="36">
        <v>120</v>
      </c>
      <c r="E26" s="12">
        <f t="shared" si="0"/>
        <v>1980</v>
      </c>
      <c r="F26" s="12">
        <v>0</v>
      </c>
      <c r="G26" s="12">
        <f>G25+F26</f>
        <v>5</v>
      </c>
      <c r="H26" s="12"/>
      <c r="I26" s="23"/>
      <c r="K26" s="14">
        <v>11600000</v>
      </c>
      <c r="L26" s="38"/>
      <c r="M26" s="22">
        <v>120</v>
      </c>
      <c r="N26" s="12">
        <f t="shared" si="1"/>
        <v>1950</v>
      </c>
      <c r="O26" s="12">
        <v>0</v>
      </c>
      <c r="P26" s="12">
        <f>P25+O26</f>
        <v>5</v>
      </c>
      <c r="Q26" s="12"/>
      <c r="R26" s="23"/>
      <c r="T26" s="32" t="s">
        <v>93</v>
      </c>
      <c r="U26" s="50">
        <f>_xlfn.TEXTBEFORE(T26,"k")*1000/(5*(1+_xlfn.TEXTBEFORE(_xlfn.TEXTAFTER(U$2,"+"),"%")/100)*1.25)</f>
        <v>1424.6575342465753</v>
      </c>
      <c r="V26" s="46">
        <f t="shared" si="2"/>
        <v>2604.5579764588028</v>
      </c>
      <c r="W26" s="22">
        <v>0</v>
      </c>
      <c r="X26" s="12">
        <f t="shared" si="3"/>
        <v>480</v>
      </c>
      <c r="Y26" s="12">
        <v>0</v>
      </c>
      <c r="Z26" s="12">
        <f t="shared" si="5"/>
        <v>5</v>
      </c>
      <c r="AA26" s="12">
        <v>4</v>
      </c>
      <c r="AB26" s="12">
        <f t="shared" si="4"/>
        <v>30</v>
      </c>
    </row>
    <row r="27" spans="2:28" x14ac:dyDescent="0.2">
      <c r="B27" s="32">
        <f t="shared" si="7"/>
        <v>3400000</v>
      </c>
      <c r="C27" s="38"/>
      <c r="D27" s="36">
        <v>120</v>
      </c>
      <c r="E27" s="12">
        <f t="shared" si="0"/>
        <v>2100</v>
      </c>
      <c r="F27" s="12">
        <v>0</v>
      </c>
      <c r="G27" s="12">
        <f>G26+F27</f>
        <v>5</v>
      </c>
      <c r="H27" s="12"/>
      <c r="I27" s="23"/>
      <c r="K27" s="14">
        <v>12000000</v>
      </c>
      <c r="L27" s="38"/>
      <c r="M27" s="22">
        <v>120</v>
      </c>
      <c r="N27" s="12">
        <f t="shared" si="1"/>
        <v>2070</v>
      </c>
      <c r="O27" s="12">
        <v>0</v>
      </c>
      <c r="P27" s="12">
        <f>P26+O27</f>
        <v>5</v>
      </c>
      <c r="Q27" s="12"/>
      <c r="R27" s="23"/>
      <c r="T27" s="32" t="s">
        <v>94</v>
      </c>
      <c r="U27" s="50">
        <f>_xlfn.TEXTBEFORE(T27,"k")*1000/(5*(1+_xlfn.TEXTBEFORE(_xlfn.TEXTAFTER(U$2,"+"),"%")/100)*1.25)</f>
        <v>1479.4520547945206</v>
      </c>
      <c r="V27" s="46">
        <f t="shared" si="2"/>
        <v>2704.7332832456805</v>
      </c>
      <c r="W27" s="22">
        <v>60</v>
      </c>
      <c r="X27" s="12">
        <f t="shared" si="3"/>
        <v>540</v>
      </c>
      <c r="Y27" s="12">
        <v>0</v>
      </c>
      <c r="Z27" s="12">
        <f t="shared" si="5"/>
        <v>5</v>
      </c>
      <c r="AA27" s="12">
        <v>0</v>
      </c>
      <c r="AB27" s="12">
        <f t="shared" si="4"/>
        <v>30</v>
      </c>
    </row>
    <row r="28" spans="2:28" x14ac:dyDescent="0.2">
      <c r="B28" s="32">
        <f t="shared" si="7"/>
        <v>3600000</v>
      </c>
      <c r="C28" s="38"/>
      <c r="D28" s="36">
        <v>120</v>
      </c>
      <c r="E28" s="12">
        <f t="shared" si="0"/>
        <v>2220</v>
      </c>
      <c r="F28" s="12">
        <v>0</v>
      </c>
      <c r="G28" s="12">
        <f>G27+F28</f>
        <v>5</v>
      </c>
      <c r="H28" s="12"/>
      <c r="I28" s="23"/>
      <c r="K28" s="14">
        <v>12400000</v>
      </c>
      <c r="L28" s="38"/>
      <c r="M28" s="22">
        <v>120</v>
      </c>
      <c r="N28" s="12">
        <f t="shared" si="1"/>
        <v>2190</v>
      </c>
      <c r="O28" s="12">
        <v>0</v>
      </c>
      <c r="P28" s="12">
        <f>P27+O28</f>
        <v>5</v>
      </c>
      <c r="Q28" s="12"/>
      <c r="R28" s="23"/>
      <c r="T28" s="32" t="s">
        <v>95</v>
      </c>
      <c r="U28" s="50">
        <f>_xlfn.TEXTBEFORE(T28,"k")*1000/(5*(1+_xlfn.TEXTBEFORE(_xlfn.TEXTAFTER(U$2,"+"),"%")/100)*1.25)</f>
        <v>1819.1780821917807</v>
      </c>
      <c r="V28" s="46">
        <f t="shared" si="2"/>
        <v>3325.8201853243177</v>
      </c>
      <c r="W28" s="22">
        <v>75</v>
      </c>
      <c r="X28" s="12">
        <f t="shared" si="3"/>
        <v>615</v>
      </c>
      <c r="Y28" s="12">
        <v>0</v>
      </c>
      <c r="Z28" s="12">
        <f t="shared" si="5"/>
        <v>5</v>
      </c>
      <c r="AA28" s="12">
        <v>0</v>
      </c>
      <c r="AB28" s="12">
        <f t="shared" si="4"/>
        <v>30</v>
      </c>
    </row>
    <row r="29" spans="2:28" x14ac:dyDescent="0.2">
      <c r="B29" s="32">
        <f t="shared" si="7"/>
        <v>3800000</v>
      </c>
      <c r="C29" s="38"/>
      <c r="D29" s="36">
        <v>150</v>
      </c>
      <c r="E29" s="12">
        <f t="shared" si="0"/>
        <v>2370</v>
      </c>
      <c r="F29" s="12">
        <v>0</v>
      </c>
      <c r="G29" s="12">
        <f>G28+F29</f>
        <v>5</v>
      </c>
      <c r="H29" s="12"/>
      <c r="I29" s="23"/>
      <c r="K29" s="14">
        <v>12800000</v>
      </c>
      <c r="L29" s="38"/>
      <c r="M29" s="22">
        <v>150</v>
      </c>
      <c r="N29" s="12">
        <f t="shared" si="1"/>
        <v>2340</v>
      </c>
      <c r="O29" s="12">
        <v>0</v>
      </c>
      <c r="P29" s="12">
        <f>P28+O29</f>
        <v>5</v>
      </c>
      <c r="Q29" s="12"/>
      <c r="R29" s="23"/>
      <c r="T29" s="32" t="s">
        <v>96</v>
      </c>
      <c r="U29" s="50">
        <f>_xlfn.TEXTBEFORE(T29,"k")*1000/(5*(1+_xlfn.TEXTBEFORE(_xlfn.TEXTAFTER(U$2,"+"),"%")/100)*1.25)</f>
        <v>1923.2876712328766</v>
      </c>
      <c r="V29" s="46">
        <f t="shared" si="2"/>
        <v>3516.1532682193838</v>
      </c>
      <c r="W29" s="22">
        <v>0</v>
      </c>
      <c r="X29" s="12">
        <f t="shared" si="3"/>
        <v>615</v>
      </c>
      <c r="Y29" s="12">
        <v>1</v>
      </c>
      <c r="Z29" s="12">
        <f t="shared" si="5"/>
        <v>6</v>
      </c>
      <c r="AA29" s="12">
        <v>0</v>
      </c>
      <c r="AB29" s="12">
        <f t="shared" si="4"/>
        <v>30</v>
      </c>
    </row>
    <row r="30" spans="2:28" x14ac:dyDescent="0.2">
      <c r="B30" s="32">
        <f t="shared" si="7"/>
        <v>4000000</v>
      </c>
      <c r="C30" s="38"/>
      <c r="D30" s="36">
        <v>120</v>
      </c>
      <c r="E30" s="12">
        <f t="shared" si="0"/>
        <v>2490</v>
      </c>
      <c r="F30" s="12">
        <v>0</v>
      </c>
      <c r="G30" s="12">
        <f>G29+F30</f>
        <v>5</v>
      </c>
      <c r="H30" s="12"/>
      <c r="I30" s="23"/>
      <c r="K30" s="14">
        <v>13600000</v>
      </c>
      <c r="L30" s="38"/>
      <c r="M30" s="22">
        <v>120</v>
      </c>
      <c r="N30" s="12">
        <f t="shared" si="1"/>
        <v>2460</v>
      </c>
      <c r="O30" s="12">
        <v>0</v>
      </c>
      <c r="P30" s="12">
        <f>P29+O30</f>
        <v>5</v>
      </c>
      <c r="Q30" s="12"/>
      <c r="R30" s="23"/>
      <c r="T30" s="32" t="s">
        <v>97</v>
      </c>
      <c r="U30" s="50">
        <f>_xlfn.TEXTBEFORE(T30,"k")*1000/(5*(1+_xlfn.TEXTBEFORE(_xlfn.TEXTAFTER(U$2,"+"),"%")/100)*1.25)</f>
        <v>2027.3972602739725</v>
      </c>
      <c r="V30" s="46">
        <f t="shared" si="2"/>
        <v>3706.4863511144504</v>
      </c>
      <c r="W30" s="22">
        <v>0</v>
      </c>
      <c r="X30" s="12">
        <f t="shared" si="3"/>
        <v>615</v>
      </c>
      <c r="Y30" s="12">
        <v>0</v>
      </c>
      <c r="Z30" s="12">
        <f t="shared" si="5"/>
        <v>6</v>
      </c>
      <c r="AA30" s="12">
        <v>0</v>
      </c>
      <c r="AB30" s="12">
        <f t="shared" si="4"/>
        <v>30</v>
      </c>
    </row>
    <row r="31" spans="2:28" x14ac:dyDescent="0.2">
      <c r="B31" s="32">
        <f t="shared" si="7"/>
        <v>4200000</v>
      </c>
      <c r="C31" s="38"/>
      <c r="D31" s="36">
        <v>120</v>
      </c>
      <c r="E31" s="12">
        <f t="shared" si="0"/>
        <v>2610</v>
      </c>
      <c r="F31" s="12">
        <v>0</v>
      </c>
      <c r="G31" s="12">
        <f>G30+F31</f>
        <v>5</v>
      </c>
      <c r="H31" s="12"/>
      <c r="I31" s="23"/>
      <c r="K31" s="14">
        <v>14400000</v>
      </c>
      <c r="L31" s="38"/>
      <c r="M31" s="22">
        <v>120</v>
      </c>
      <c r="N31" s="12">
        <f t="shared" si="1"/>
        <v>2580</v>
      </c>
      <c r="O31" s="12">
        <v>0</v>
      </c>
      <c r="P31" s="12">
        <f>P30+O31</f>
        <v>5</v>
      </c>
      <c r="Q31" s="12"/>
      <c r="R31" s="23"/>
      <c r="T31" s="32" t="s">
        <v>98</v>
      </c>
      <c r="U31" s="50">
        <f>_xlfn.TEXTBEFORE(T31,"k")*1000/(5*(1+_xlfn.TEXTBEFORE(_xlfn.TEXTAFTER(U$2,"+"),"%")/100)*1.25)</f>
        <v>2252.0547945205481</v>
      </c>
      <c r="V31" s="46">
        <f t="shared" si="2"/>
        <v>4117.2051089406468</v>
      </c>
      <c r="W31" s="22">
        <v>75</v>
      </c>
      <c r="X31" s="12">
        <f t="shared" si="3"/>
        <v>690</v>
      </c>
      <c r="Y31" s="12">
        <v>0</v>
      </c>
      <c r="Z31" s="12">
        <f t="shared" si="5"/>
        <v>6</v>
      </c>
      <c r="AA31" s="12">
        <v>0</v>
      </c>
      <c r="AB31" s="12">
        <f t="shared" si="4"/>
        <v>30</v>
      </c>
    </row>
    <row r="32" spans="2:28" x14ac:dyDescent="0.2">
      <c r="B32" s="32">
        <f t="shared" si="7"/>
        <v>4400000</v>
      </c>
      <c r="C32" s="38"/>
      <c r="D32" s="36">
        <v>180</v>
      </c>
      <c r="E32" s="12">
        <f t="shared" si="0"/>
        <v>2790</v>
      </c>
      <c r="F32" s="12">
        <v>0</v>
      </c>
      <c r="G32" s="12">
        <f>G31+F32</f>
        <v>5</v>
      </c>
      <c r="H32" s="12"/>
      <c r="I32" s="23"/>
      <c r="K32" s="14">
        <v>15200000</v>
      </c>
      <c r="L32" s="38"/>
      <c r="M32" s="22">
        <v>180</v>
      </c>
      <c r="N32" s="12">
        <f t="shared" si="1"/>
        <v>2760</v>
      </c>
      <c r="O32" s="12">
        <v>0</v>
      </c>
      <c r="P32" s="12">
        <f>P31+O32</f>
        <v>5</v>
      </c>
      <c r="Q32" s="12"/>
      <c r="R32" s="23"/>
      <c r="T32" s="32" t="s">
        <v>99</v>
      </c>
      <c r="U32" s="50">
        <f>_xlfn.TEXTBEFORE(T32,"k")*1000/(5*(1+_xlfn.TEXTBEFORE(_xlfn.TEXTAFTER(U$2,"+"),"%")/100)*1.25)</f>
        <v>2350.6849315068494</v>
      </c>
      <c r="V32" s="46">
        <f t="shared" si="2"/>
        <v>4297.5206611570247</v>
      </c>
      <c r="W32" s="22">
        <v>90</v>
      </c>
      <c r="X32" s="12">
        <f t="shared" si="3"/>
        <v>780</v>
      </c>
      <c r="Y32" s="12">
        <v>0</v>
      </c>
      <c r="Z32" s="12">
        <f t="shared" si="5"/>
        <v>6</v>
      </c>
      <c r="AA32" s="12">
        <v>0</v>
      </c>
      <c r="AB32" s="12">
        <f t="shared" si="4"/>
        <v>30</v>
      </c>
    </row>
    <row r="33" spans="2:28" x14ac:dyDescent="0.2">
      <c r="B33" s="32">
        <f t="shared" si="7"/>
        <v>4600000</v>
      </c>
      <c r="C33" s="38"/>
      <c r="D33" s="36">
        <v>180</v>
      </c>
      <c r="E33" s="12">
        <f t="shared" si="0"/>
        <v>2970</v>
      </c>
      <c r="F33" s="12">
        <v>0</v>
      </c>
      <c r="G33" s="12">
        <f>G32+F33</f>
        <v>5</v>
      </c>
      <c r="H33" s="12"/>
      <c r="I33" s="23"/>
      <c r="K33" s="14">
        <v>16000000</v>
      </c>
      <c r="L33" s="38"/>
      <c r="M33" s="22">
        <v>180</v>
      </c>
      <c r="N33" s="12">
        <f t="shared" si="1"/>
        <v>2940</v>
      </c>
      <c r="O33" s="12">
        <v>0</v>
      </c>
      <c r="P33" s="12">
        <f>P32+O33</f>
        <v>5</v>
      </c>
      <c r="Q33" s="12"/>
      <c r="R33" s="23"/>
      <c r="T33" s="32" t="s">
        <v>100</v>
      </c>
      <c r="U33" s="50">
        <f>_xlfn.TEXTBEFORE(T33,"k")*1000/(5*(1+_xlfn.TEXTBEFORE(_xlfn.TEXTAFTER(U$2,"+"),"%")/100)*1.25)</f>
        <v>2449.3150684931506</v>
      </c>
      <c r="V33" s="46">
        <f t="shared" si="2"/>
        <v>4477.8362133734036</v>
      </c>
      <c r="W33" s="22">
        <v>0</v>
      </c>
      <c r="X33" s="12">
        <f t="shared" si="3"/>
        <v>780</v>
      </c>
      <c r="Y33" s="12">
        <v>1</v>
      </c>
      <c r="Z33" s="12">
        <f t="shared" si="5"/>
        <v>7</v>
      </c>
      <c r="AA33" s="12">
        <v>0</v>
      </c>
      <c r="AB33" s="12">
        <f t="shared" si="4"/>
        <v>30</v>
      </c>
    </row>
    <row r="34" spans="2:28" x14ac:dyDescent="0.2">
      <c r="B34" s="32">
        <f t="shared" si="7"/>
        <v>4800000</v>
      </c>
      <c r="C34" s="38"/>
      <c r="D34" s="36">
        <v>180</v>
      </c>
      <c r="E34" s="12">
        <f t="shared" si="0"/>
        <v>3150</v>
      </c>
      <c r="F34" s="12">
        <v>0</v>
      </c>
      <c r="G34" s="12">
        <f>G33+F34</f>
        <v>5</v>
      </c>
      <c r="H34" s="12"/>
      <c r="I34" s="23"/>
      <c r="K34" s="14">
        <v>16800000</v>
      </c>
      <c r="L34" s="38"/>
      <c r="M34" s="22">
        <v>180</v>
      </c>
      <c r="N34" s="12">
        <f t="shared" si="1"/>
        <v>3120</v>
      </c>
      <c r="O34" s="12">
        <v>0</v>
      </c>
      <c r="P34" s="12">
        <f>P33+O34</f>
        <v>5</v>
      </c>
      <c r="Q34" s="12"/>
      <c r="R34" s="23"/>
      <c r="T34" s="32" t="s">
        <v>170</v>
      </c>
      <c r="U34" s="50">
        <f>_xlfn.TEXTBEFORE(T34,"k")*1000/(5*(1+_xlfn.TEXTBEFORE(_xlfn.TEXTAFTER(U$2,"+"),"%")/100)*1.25)</f>
        <v>2657.5342465753424</v>
      </c>
      <c r="V34" s="46">
        <f t="shared" si="2"/>
        <v>4858.5023791635358</v>
      </c>
      <c r="W34" s="22">
        <v>90</v>
      </c>
      <c r="X34" s="12">
        <f t="shared" ref="X34" si="8">X33+W34</f>
        <v>870</v>
      </c>
      <c r="Y34" s="12">
        <v>1</v>
      </c>
      <c r="Z34" s="12">
        <f t="shared" si="5"/>
        <v>8</v>
      </c>
      <c r="AA34" s="12">
        <v>0</v>
      </c>
      <c r="AB34" s="12">
        <f t="shared" ref="AB34" si="9">AB33+AA34</f>
        <v>30</v>
      </c>
    </row>
    <row r="35" spans="2:28" x14ac:dyDescent="0.2">
      <c r="B35" s="32">
        <f t="shared" si="7"/>
        <v>5000000</v>
      </c>
      <c r="C35" s="38"/>
      <c r="D35" s="36">
        <v>240</v>
      </c>
      <c r="E35" s="12">
        <f t="shared" si="0"/>
        <v>3390</v>
      </c>
      <c r="F35" s="12">
        <v>0</v>
      </c>
      <c r="G35" s="12">
        <f>G34+F35</f>
        <v>5</v>
      </c>
      <c r="H35" s="12"/>
      <c r="I35" s="23"/>
      <c r="K35" s="14">
        <v>17600000</v>
      </c>
      <c r="L35" s="38"/>
      <c r="M35" s="22">
        <v>240</v>
      </c>
      <c r="N35" s="12">
        <f t="shared" si="1"/>
        <v>3360</v>
      </c>
      <c r="O35" s="12">
        <v>0</v>
      </c>
      <c r="P35" s="12">
        <f>P34+O35</f>
        <v>5</v>
      </c>
      <c r="Q35" s="12"/>
      <c r="R35" s="23"/>
      <c r="T35" s="32" t="s">
        <v>101</v>
      </c>
      <c r="U35" s="50">
        <f>_xlfn.TEXTBEFORE(T35,"k")*1000/(5*(1+_xlfn.TEXTBEFORE(_xlfn.TEXTAFTER(U$2,"+"),"%")/100)*1.25)</f>
        <v>2926.027397260274</v>
      </c>
      <c r="V35" s="46">
        <f t="shared" si="2"/>
        <v>5349.3613824192335</v>
      </c>
      <c r="W35" s="22">
        <v>135</v>
      </c>
      <c r="X35" s="12">
        <f>X33+W35</f>
        <v>915</v>
      </c>
      <c r="Y35" s="12">
        <v>0</v>
      </c>
      <c r="Z35" s="12">
        <f t="shared" si="5"/>
        <v>8</v>
      </c>
      <c r="AA35" s="12">
        <v>0</v>
      </c>
      <c r="AB35" s="12">
        <f>AB33+AA35</f>
        <v>30</v>
      </c>
    </row>
    <row r="36" spans="2:28" x14ac:dyDescent="0.2">
      <c r="B36" s="32">
        <f t="shared" si="7"/>
        <v>5200000</v>
      </c>
      <c r="C36" s="38"/>
      <c r="D36" s="36">
        <v>120</v>
      </c>
      <c r="E36" s="12">
        <f t="shared" si="0"/>
        <v>3510</v>
      </c>
      <c r="F36" s="12">
        <v>0</v>
      </c>
      <c r="G36" s="12">
        <f>G35+F36</f>
        <v>5</v>
      </c>
      <c r="H36" s="12"/>
      <c r="I36" s="23"/>
      <c r="K36" s="14">
        <v>18400000</v>
      </c>
      <c r="L36" s="38"/>
      <c r="M36" s="22">
        <v>120</v>
      </c>
      <c r="N36" s="12">
        <f t="shared" si="1"/>
        <v>3480</v>
      </c>
      <c r="O36" s="12">
        <v>0</v>
      </c>
      <c r="P36" s="12">
        <f>P35+O36</f>
        <v>5</v>
      </c>
      <c r="Q36" s="12"/>
      <c r="R36" s="23"/>
      <c r="T36" s="32" t="s">
        <v>102</v>
      </c>
      <c r="U36" s="50">
        <f>_xlfn.TEXTBEFORE(T36,"k")*1000/(5*(1+_xlfn.TEXTBEFORE(_xlfn.TEXTAFTER(U$2,"+"),"%")/100)*1.25)</f>
        <v>3156.1643835616437</v>
      </c>
      <c r="V36" s="46">
        <f t="shared" si="2"/>
        <v>5770.0976709241177</v>
      </c>
      <c r="W36" s="22">
        <v>0</v>
      </c>
      <c r="X36" s="12">
        <f>X35+W36</f>
        <v>915</v>
      </c>
      <c r="Y36" s="12">
        <v>0</v>
      </c>
      <c r="Z36" s="12">
        <f t="shared" si="5"/>
        <v>8</v>
      </c>
      <c r="AA36" s="12">
        <v>10</v>
      </c>
      <c r="AB36" s="12">
        <f>AB35+AA36</f>
        <v>40</v>
      </c>
    </row>
    <row r="37" spans="2:28" x14ac:dyDescent="0.2">
      <c r="B37" s="32">
        <f t="shared" si="7"/>
        <v>5400000</v>
      </c>
      <c r="C37" s="38"/>
      <c r="D37" s="36">
        <v>120</v>
      </c>
      <c r="E37" s="12">
        <f t="shared" si="0"/>
        <v>3630</v>
      </c>
      <c r="F37" s="12">
        <v>0</v>
      </c>
      <c r="G37" s="12">
        <f>G36+F37</f>
        <v>5</v>
      </c>
      <c r="H37" s="12"/>
      <c r="I37" s="23"/>
      <c r="K37" s="14">
        <v>19200000</v>
      </c>
      <c r="L37" s="38"/>
      <c r="M37" s="22">
        <v>120</v>
      </c>
      <c r="N37" s="12">
        <f t="shared" si="1"/>
        <v>3600</v>
      </c>
      <c r="O37" s="12">
        <v>0</v>
      </c>
      <c r="P37" s="12">
        <f>P36+O37</f>
        <v>5</v>
      </c>
      <c r="Q37" s="12"/>
      <c r="R37" s="23"/>
      <c r="T37" s="32" t="s">
        <v>103</v>
      </c>
      <c r="U37" s="50">
        <f>_xlfn.TEXTBEFORE(T37,"k")*1000/(5*(1+_xlfn.TEXTBEFORE(_xlfn.TEXTAFTER(U$2,"+"),"%")/100)*1.25)</f>
        <v>3276.7123287671234</v>
      </c>
      <c r="V37" s="46">
        <f t="shared" si="2"/>
        <v>5990.4833458552457</v>
      </c>
      <c r="W37" s="22">
        <v>0</v>
      </c>
      <c r="X37" s="12">
        <f>X36+W37</f>
        <v>915</v>
      </c>
      <c r="Y37" s="12">
        <v>1</v>
      </c>
      <c r="Z37" s="12">
        <f t="shared" si="5"/>
        <v>9</v>
      </c>
      <c r="AA37" s="12">
        <v>0</v>
      </c>
      <c r="AB37" s="12">
        <f>AB36+AA37</f>
        <v>40</v>
      </c>
    </row>
    <row r="38" spans="2:28" x14ac:dyDescent="0.2">
      <c r="B38" s="32">
        <f t="shared" si="7"/>
        <v>5600000</v>
      </c>
      <c r="C38" s="38"/>
      <c r="D38" s="36">
        <v>120</v>
      </c>
      <c r="E38" s="12">
        <f t="shared" si="0"/>
        <v>3750</v>
      </c>
      <c r="F38" s="12">
        <v>0</v>
      </c>
      <c r="G38" s="12">
        <f>G37+F38</f>
        <v>5</v>
      </c>
      <c r="H38" s="12"/>
      <c r="I38" s="23"/>
      <c r="K38" s="14">
        <v>20000000</v>
      </c>
      <c r="L38" s="38"/>
      <c r="M38" s="22">
        <v>120</v>
      </c>
      <c r="N38" s="12">
        <f t="shared" si="1"/>
        <v>3720</v>
      </c>
      <c r="O38" s="12">
        <v>0</v>
      </c>
      <c r="P38" s="12">
        <f>P37+O38</f>
        <v>5</v>
      </c>
      <c r="Q38" s="12"/>
      <c r="R38" s="23"/>
      <c r="T38" s="32" t="s">
        <v>169</v>
      </c>
      <c r="U38" s="50">
        <f>_xlfn.TEXTBEFORE(T38,"k")*1000/(5*(1+_xlfn.TEXTBEFORE(_xlfn.TEXTAFTER(U$2,"+"),"%")/100)*1.25)</f>
        <v>3511.7808219178082</v>
      </c>
      <c r="V38" s="46">
        <f t="shared" si="2"/>
        <v>6420.2354119709498</v>
      </c>
      <c r="W38" s="22">
        <v>0</v>
      </c>
      <c r="X38" s="12">
        <f>X37+W38</f>
        <v>915</v>
      </c>
      <c r="Y38" s="12">
        <v>0</v>
      </c>
      <c r="Z38" s="12">
        <f t="shared" si="5"/>
        <v>9</v>
      </c>
      <c r="AA38" s="12">
        <v>0</v>
      </c>
      <c r="AB38" s="12">
        <f>AB37+AA38</f>
        <v>40</v>
      </c>
    </row>
    <row r="39" spans="2:28" x14ac:dyDescent="0.2">
      <c r="B39" s="32">
        <f t="shared" si="7"/>
        <v>5800000</v>
      </c>
      <c r="C39" s="38"/>
      <c r="D39" s="36">
        <v>150</v>
      </c>
      <c r="E39" s="12">
        <f t="shared" si="0"/>
        <v>3900</v>
      </c>
      <c r="F39" s="12">
        <v>0</v>
      </c>
      <c r="G39" s="12">
        <f>G38+F39</f>
        <v>5</v>
      </c>
      <c r="H39" s="12"/>
      <c r="I39" s="23"/>
      <c r="K39" s="14">
        <v>20800000</v>
      </c>
      <c r="L39" s="38"/>
      <c r="M39" s="22">
        <v>150</v>
      </c>
      <c r="N39" s="12">
        <f t="shared" si="1"/>
        <v>3870</v>
      </c>
      <c r="O39" s="12">
        <v>0</v>
      </c>
      <c r="P39" s="12">
        <f>P38+O39</f>
        <v>5</v>
      </c>
      <c r="Q39" s="12"/>
      <c r="R39" s="23"/>
      <c r="T39" s="32" t="s">
        <v>104</v>
      </c>
      <c r="U39" s="50">
        <f>_xlfn.TEXTBEFORE(T39,"k")*1000/(5*(1+_xlfn.TEXTBEFORE(_xlfn.TEXTAFTER(U$2,"+"),"%")/100)*1.25)</f>
        <v>3621.3698630136987</v>
      </c>
      <c r="V39" s="46">
        <f t="shared" si="2"/>
        <v>6620.5860255447033</v>
      </c>
      <c r="W39" s="22">
        <v>135</v>
      </c>
      <c r="X39" s="12">
        <f>X38+W39</f>
        <v>1050</v>
      </c>
      <c r="Y39" s="12">
        <v>0</v>
      </c>
      <c r="Z39" s="12">
        <f t="shared" si="5"/>
        <v>9</v>
      </c>
      <c r="AA39" s="12">
        <v>0</v>
      </c>
      <c r="AB39" s="12">
        <f>AB38+AA39</f>
        <v>40</v>
      </c>
    </row>
    <row r="40" spans="2:28" x14ac:dyDescent="0.2">
      <c r="B40" s="32">
        <f t="shared" si="7"/>
        <v>6000000</v>
      </c>
      <c r="C40" s="38"/>
      <c r="D40" s="36">
        <v>150</v>
      </c>
      <c r="E40" s="12">
        <f t="shared" si="0"/>
        <v>4050</v>
      </c>
      <c r="F40" s="12">
        <v>0</v>
      </c>
      <c r="G40" s="12">
        <f>G39+F40</f>
        <v>5</v>
      </c>
      <c r="H40" s="12"/>
      <c r="I40" s="23"/>
      <c r="K40" s="14">
        <v>21600000</v>
      </c>
      <c r="L40" s="38"/>
      <c r="M40" s="22">
        <v>150</v>
      </c>
      <c r="N40" s="12">
        <f t="shared" si="1"/>
        <v>4020</v>
      </c>
      <c r="O40" s="12">
        <v>0</v>
      </c>
      <c r="P40" s="12">
        <f>P39+O40</f>
        <v>5</v>
      </c>
      <c r="Q40" s="12"/>
      <c r="R40" s="23"/>
      <c r="T40" s="32" t="s">
        <v>105</v>
      </c>
      <c r="U40" s="50">
        <f>_xlfn.TEXTBEFORE(T40,"k")*1000/(5*(1+_xlfn.TEXTBEFORE(_xlfn.TEXTAFTER(U$2,"+"),"%")/100)*1.25)</f>
        <v>3852.0547945205481</v>
      </c>
      <c r="V40" s="46">
        <f t="shared" si="2"/>
        <v>7042.3240671174563</v>
      </c>
      <c r="W40" s="22">
        <v>0</v>
      </c>
      <c r="X40" s="12">
        <f>X39+W40</f>
        <v>1050</v>
      </c>
      <c r="Y40" s="12">
        <v>0</v>
      </c>
      <c r="Z40" s="12">
        <f t="shared" si="5"/>
        <v>9</v>
      </c>
      <c r="AA40" s="12">
        <v>10</v>
      </c>
      <c r="AB40" s="12">
        <f>AB39+AA40</f>
        <v>50</v>
      </c>
    </row>
    <row r="41" spans="2:28" x14ac:dyDescent="0.2">
      <c r="B41" s="32">
        <f t="shared" si="7"/>
        <v>6200000</v>
      </c>
      <c r="C41" s="38"/>
      <c r="D41" s="36">
        <v>150</v>
      </c>
      <c r="E41" s="12">
        <f t="shared" si="0"/>
        <v>4200</v>
      </c>
      <c r="F41" s="12">
        <v>0</v>
      </c>
      <c r="G41" s="12">
        <f>G40+F41</f>
        <v>5</v>
      </c>
      <c r="H41" s="12"/>
      <c r="I41" s="23"/>
      <c r="K41" s="14">
        <v>22400000</v>
      </c>
      <c r="L41" s="38"/>
      <c r="M41" s="22">
        <v>150</v>
      </c>
      <c r="N41" s="12">
        <f t="shared" si="1"/>
        <v>4170</v>
      </c>
      <c r="O41" s="12">
        <v>0</v>
      </c>
      <c r="P41" s="12">
        <f>P40+O41</f>
        <v>5</v>
      </c>
      <c r="Q41" s="12"/>
      <c r="R41" s="23"/>
      <c r="T41" s="32" t="s">
        <v>106</v>
      </c>
      <c r="U41" s="50">
        <f>_xlfn.TEXTBEFORE(T41,"k")*1000/(5*(1+_xlfn.TEXTBEFORE(_xlfn.TEXTAFTER(U$2,"+"),"%")/100)*1.25)</f>
        <v>4082.1917808219177</v>
      </c>
      <c r="V41" s="46">
        <f t="shared" si="2"/>
        <v>7463.0603556223386</v>
      </c>
      <c r="W41" s="22">
        <v>0</v>
      </c>
      <c r="X41" s="12">
        <f>X40+W41</f>
        <v>1050</v>
      </c>
      <c r="Y41" s="12">
        <v>1</v>
      </c>
      <c r="Z41" s="12">
        <f t="shared" si="5"/>
        <v>10</v>
      </c>
      <c r="AA41" s="12">
        <v>0</v>
      </c>
      <c r="AB41" s="12">
        <f>AB40+AA41</f>
        <v>50</v>
      </c>
    </row>
    <row r="42" spans="2:28" x14ac:dyDescent="0.2">
      <c r="B42" s="32">
        <f t="shared" si="7"/>
        <v>6400000</v>
      </c>
      <c r="C42" s="38"/>
      <c r="D42" s="36">
        <v>180</v>
      </c>
      <c r="E42" s="12">
        <f t="shared" si="0"/>
        <v>4380</v>
      </c>
      <c r="F42" s="12">
        <v>0</v>
      </c>
      <c r="G42" s="12">
        <f>G41+F42</f>
        <v>5</v>
      </c>
      <c r="H42" s="12"/>
      <c r="I42" s="23"/>
      <c r="K42" s="14">
        <v>23200000</v>
      </c>
      <c r="L42" s="38"/>
      <c r="M42" s="22">
        <v>180</v>
      </c>
      <c r="N42" s="12">
        <f t="shared" si="1"/>
        <v>4350</v>
      </c>
      <c r="O42" s="12">
        <v>0</v>
      </c>
      <c r="P42" s="12">
        <f>P41+O42</f>
        <v>5</v>
      </c>
      <c r="Q42" s="12"/>
      <c r="R42" s="23"/>
      <c r="T42" s="32" t="s">
        <v>107</v>
      </c>
      <c r="U42" s="50">
        <f>_xlfn.TEXTBEFORE(T42,"k")*1000/(5*(1+_xlfn.TEXTBEFORE(_xlfn.TEXTAFTER(U$2,"+"),"%")/100)*1.25)</f>
        <v>4169.3150684931506</v>
      </c>
      <c r="V42" s="46">
        <f t="shared" si="2"/>
        <v>7622.3390934134741</v>
      </c>
      <c r="W42" s="22">
        <v>150</v>
      </c>
      <c r="X42" s="12">
        <f>X41+W42</f>
        <v>1200</v>
      </c>
      <c r="Y42" s="12">
        <v>0</v>
      </c>
      <c r="Z42" s="12">
        <f t="shared" si="5"/>
        <v>10</v>
      </c>
      <c r="AA42" s="12">
        <v>0</v>
      </c>
      <c r="AB42" s="12">
        <f>AB41+AA42</f>
        <v>50</v>
      </c>
    </row>
    <row r="43" spans="2:28" x14ac:dyDescent="0.2">
      <c r="B43" s="32">
        <f t="shared" si="7"/>
        <v>6600000</v>
      </c>
      <c r="C43" s="38"/>
      <c r="D43" s="36">
        <v>240</v>
      </c>
      <c r="E43" s="12">
        <f t="shared" si="0"/>
        <v>4620</v>
      </c>
      <c r="F43" s="12">
        <v>5</v>
      </c>
      <c r="G43" s="12">
        <f>G42+F43</f>
        <v>10</v>
      </c>
      <c r="H43" s="12"/>
      <c r="I43" s="23"/>
      <c r="K43" s="14">
        <v>24000000</v>
      </c>
      <c r="L43" s="38"/>
      <c r="M43" s="22">
        <v>240</v>
      </c>
      <c r="N43" s="12">
        <f t="shared" si="1"/>
        <v>4590</v>
      </c>
      <c r="O43" s="12">
        <v>0</v>
      </c>
      <c r="P43" s="12">
        <f>P42+O43</f>
        <v>5</v>
      </c>
      <c r="Q43" s="12"/>
      <c r="R43" s="23"/>
      <c r="T43" s="32" t="s">
        <v>108</v>
      </c>
      <c r="U43" s="50">
        <f>_xlfn.TEXTBEFORE(T43,"k")*1000/(5*(1+_xlfn.TEXTBEFORE(_xlfn.TEXTAFTER(U$2,"+"),"%")/100)*1.25)</f>
        <v>4821.9178082191784</v>
      </c>
      <c r="V43" s="46">
        <f t="shared" si="2"/>
        <v>8815.4269972451802</v>
      </c>
      <c r="W43" s="22">
        <v>150</v>
      </c>
      <c r="X43" s="12">
        <f>X42+W43</f>
        <v>1350</v>
      </c>
      <c r="Y43" s="12">
        <v>0</v>
      </c>
      <c r="Z43" s="12">
        <f t="shared" si="5"/>
        <v>10</v>
      </c>
      <c r="AA43" s="12">
        <v>0</v>
      </c>
      <c r="AB43" s="12">
        <f>AB42+AA43</f>
        <v>50</v>
      </c>
    </row>
    <row r="44" spans="2:28" x14ac:dyDescent="0.2">
      <c r="B44" s="32">
        <f t="shared" si="7"/>
        <v>6800000</v>
      </c>
      <c r="C44" s="38"/>
      <c r="D44" s="36">
        <v>180</v>
      </c>
      <c r="E44" s="12">
        <f t="shared" si="0"/>
        <v>4800</v>
      </c>
      <c r="F44" s="12">
        <v>0</v>
      </c>
      <c r="G44" s="12">
        <f>G43+F44</f>
        <v>10</v>
      </c>
      <c r="H44" s="12"/>
      <c r="I44" s="23"/>
      <c r="K44" s="14">
        <v>26000000</v>
      </c>
      <c r="L44" s="38"/>
      <c r="M44" s="22">
        <v>180</v>
      </c>
      <c r="N44" s="12">
        <f t="shared" si="1"/>
        <v>4770</v>
      </c>
      <c r="O44" s="12">
        <v>0</v>
      </c>
      <c r="P44" s="12">
        <f>P43+O44</f>
        <v>5</v>
      </c>
      <c r="Q44" s="12"/>
      <c r="R44" s="23"/>
      <c r="T44" s="32" t="s">
        <v>109</v>
      </c>
      <c r="U44" s="50">
        <f>_xlfn.TEXTBEFORE(T44,"k")*1000/(5*(1+_xlfn.TEXTBEFORE(_xlfn.TEXTAFTER(U$2,"+"),"%")/100)*1.25)</f>
        <v>5205.4794520547948</v>
      </c>
      <c r="V44" s="46">
        <f t="shared" si="2"/>
        <v>9516.6541447533182</v>
      </c>
      <c r="W44" s="22">
        <v>0</v>
      </c>
      <c r="X44" s="12">
        <f>X43+W44</f>
        <v>1350</v>
      </c>
      <c r="Y44" s="12">
        <v>0</v>
      </c>
      <c r="Z44" s="12">
        <f t="shared" si="5"/>
        <v>10</v>
      </c>
      <c r="AA44" s="12">
        <v>7</v>
      </c>
      <c r="AB44" s="12">
        <f>AB43+AA44</f>
        <v>57</v>
      </c>
    </row>
    <row r="45" spans="2:28" x14ac:dyDescent="0.2">
      <c r="B45" s="32">
        <f t="shared" si="7"/>
        <v>7000000</v>
      </c>
      <c r="C45" s="38"/>
      <c r="D45" s="36">
        <v>180</v>
      </c>
      <c r="E45" s="12">
        <f t="shared" si="0"/>
        <v>4980</v>
      </c>
      <c r="F45" s="12">
        <v>0</v>
      </c>
      <c r="G45" s="12">
        <f>G44+F45</f>
        <v>10</v>
      </c>
      <c r="H45" s="12"/>
      <c r="I45" s="23"/>
      <c r="K45" s="14">
        <v>28000000</v>
      </c>
      <c r="L45" s="38"/>
      <c r="M45" s="22">
        <v>180</v>
      </c>
      <c r="N45" s="12">
        <f t="shared" si="1"/>
        <v>4950</v>
      </c>
      <c r="O45" s="12">
        <v>0</v>
      </c>
      <c r="P45" s="12">
        <f>P44+O45</f>
        <v>5</v>
      </c>
      <c r="Q45" s="12"/>
      <c r="R45" s="23"/>
      <c r="T45" s="32" t="s">
        <v>167</v>
      </c>
      <c r="U45" s="50">
        <f>_xlfn.TEXTBEFORE(T45,"k")*1000/(5*(1+_xlfn.TEXTBEFORE(_xlfn.TEXTAFTER(U$2,"+"),"%")/100)*1.25)</f>
        <v>5424.6575342465758</v>
      </c>
      <c r="V45" s="46">
        <f t="shared" si="2"/>
        <v>9917.3553719008269</v>
      </c>
      <c r="W45" s="22">
        <v>0</v>
      </c>
      <c r="X45" s="12">
        <f>X44+W45</f>
        <v>1350</v>
      </c>
      <c r="Y45" s="12">
        <v>1</v>
      </c>
      <c r="Z45" s="12">
        <f t="shared" si="5"/>
        <v>11</v>
      </c>
      <c r="AA45" s="12">
        <v>0</v>
      </c>
      <c r="AB45" s="12">
        <f>AB44+AA45</f>
        <v>57</v>
      </c>
    </row>
    <row r="46" spans="2:28" x14ac:dyDescent="0.2">
      <c r="B46" s="32">
        <f>B45+200000</f>
        <v>7200000</v>
      </c>
      <c r="C46" s="38"/>
      <c r="D46" s="36">
        <v>300</v>
      </c>
      <c r="E46" s="12">
        <f t="shared" si="0"/>
        <v>5280</v>
      </c>
      <c r="F46" s="12">
        <v>0</v>
      </c>
      <c r="G46" s="12">
        <f>G45+F46</f>
        <v>10</v>
      </c>
      <c r="H46" s="12"/>
      <c r="I46" s="23"/>
      <c r="K46" s="14">
        <v>30000000</v>
      </c>
      <c r="L46" s="38"/>
      <c r="M46" s="22">
        <v>300</v>
      </c>
      <c r="N46" s="12">
        <f t="shared" si="1"/>
        <v>5250</v>
      </c>
      <c r="O46" s="12">
        <v>0</v>
      </c>
      <c r="P46" s="12">
        <f>P45+O46</f>
        <v>5</v>
      </c>
      <c r="Q46" s="12"/>
      <c r="R46" s="23"/>
      <c r="T46" s="32" t="s">
        <v>110</v>
      </c>
      <c r="U46" s="50">
        <f>_xlfn.TEXTBEFORE(T46,"k")*1000/(5*(1+_xlfn.TEXTBEFORE(_xlfn.TEXTAFTER(U$2,"+"),"%")/100)*1.25)</f>
        <v>5753.4246575342468</v>
      </c>
      <c r="V46" s="46">
        <f t="shared" si="2"/>
        <v>10518.407212622089</v>
      </c>
      <c r="W46" s="22">
        <v>150</v>
      </c>
      <c r="X46" s="12">
        <f t="shared" ref="X46:X102" si="10">X45+W46</f>
        <v>1500</v>
      </c>
      <c r="Y46" s="12">
        <v>0</v>
      </c>
      <c r="Z46" s="12">
        <f t="shared" si="5"/>
        <v>11</v>
      </c>
      <c r="AA46" s="12">
        <v>0</v>
      </c>
      <c r="AB46" s="12">
        <f>AB45+AA46</f>
        <v>57</v>
      </c>
    </row>
    <row r="47" spans="2:28" x14ac:dyDescent="0.2">
      <c r="B47" s="32">
        <f>B46+300000</f>
        <v>7500000</v>
      </c>
      <c r="C47" s="38"/>
      <c r="D47" s="36">
        <v>180</v>
      </c>
      <c r="E47" s="12">
        <f t="shared" si="0"/>
        <v>5460</v>
      </c>
      <c r="F47" s="12">
        <v>0</v>
      </c>
      <c r="G47" s="12">
        <f>G46+F47</f>
        <v>10</v>
      </c>
      <c r="H47" s="12"/>
      <c r="I47" s="23"/>
      <c r="K47" s="14"/>
      <c r="L47" s="38"/>
      <c r="M47" s="22"/>
      <c r="N47" s="12">
        <f t="shared" si="1"/>
        <v>5250</v>
      </c>
      <c r="O47" s="12">
        <v>0</v>
      </c>
      <c r="P47" s="12">
        <f>P46+O47</f>
        <v>5</v>
      </c>
      <c r="Q47" s="12"/>
      <c r="R47" s="23"/>
      <c r="T47" s="32" t="s">
        <v>111</v>
      </c>
      <c r="U47" s="50">
        <f>_xlfn.TEXTBEFORE(T47,"k")*1000/(5*(1+_xlfn.TEXTBEFORE(_xlfn.TEXTAFTER(U$2,"+"),"%")/100)*1.25)</f>
        <v>6136.9863013698632</v>
      </c>
      <c r="V47" s="46">
        <f t="shared" si="2"/>
        <v>11219.634360130229</v>
      </c>
      <c r="W47" s="22">
        <v>120</v>
      </c>
      <c r="X47" s="12">
        <f t="shared" si="10"/>
        <v>1620</v>
      </c>
      <c r="Y47" s="12">
        <v>0</v>
      </c>
      <c r="Z47" s="12">
        <f t="shared" si="5"/>
        <v>11</v>
      </c>
      <c r="AA47" s="12">
        <v>0</v>
      </c>
      <c r="AB47" s="12">
        <f>AB46+AA47</f>
        <v>57</v>
      </c>
    </row>
    <row r="48" spans="2:28" x14ac:dyDescent="0.2">
      <c r="B48" s="32">
        <f>B47+500000</f>
        <v>8000000</v>
      </c>
      <c r="C48" s="38"/>
      <c r="D48" s="36">
        <v>360</v>
      </c>
      <c r="E48" s="12">
        <f t="shared" si="0"/>
        <v>5820</v>
      </c>
      <c r="F48" s="12">
        <v>5</v>
      </c>
      <c r="G48" s="12">
        <f>G47+F48</f>
        <v>15</v>
      </c>
      <c r="H48" s="12"/>
      <c r="I48" s="23"/>
      <c r="K48" s="14"/>
      <c r="L48" s="38"/>
      <c r="M48" s="22"/>
      <c r="N48" s="12">
        <f t="shared" si="1"/>
        <v>5250</v>
      </c>
      <c r="O48" s="12">
        <v>0</v>
      </c>
      <c r="P48" s="12">
        <f>P47+O48</f>
        <v>5</v>
      </c>
      <c r="Q48" s="12"/>
      <c r="R48" s="23"/>
      <c r="T48" s="32" t="s">
        <v>112</v>
      </c>
      <c r="U48" s="50">
        <f>_xlfn.TEXTBEFORE(T48,"k")*1000/(5*(1+_xlfn.TEXTBEFORE(_xlfn.TEXTAFTER(U$2,"+"),"%")/100)*1.25)</f>
        <v>6520.5479452054797</v>
      </c>
      <c r="V48" s="46">
        <f t="shared" si="2"/>
        <v>11920.861507638367</v>
      </c>
      <c r="W48" s="22">
        <v>0</v>
      </c>
      <c r="X48" s="12">
        <f t="shared" si="10"/>
        <v>1620</v>
      </c>
      <c r="Y48" s="12">
        <v>0</v>
      </c>
      <c r="Z48" s="12">
        <f t="shared" si="5"/>
        <v>11</v>
      </c>
      <c r="AA48" s="12">
        <v>7</v>
      </c>
      <c r="AB48" s="12">
        <f>AB47+AA48</f>
        <v>64</v>
      </c>
    </row>
    <row r="49" spans="2:28" x14ac:dyDescent="0.2">
      <c r="B49" s="32">
        <f t="shared" ref="B49:B72" si="11">B48+500000</f>
        <v>8500000</v>
      </c>
      <c r="C49" s="38"/>
      <c r="D49" s="36">
        <v>180</v>
      </c>
      <c r="E49" s="12">
        <f t="shared" si="0"/>
        <v>6000</v>
      </c>
      <c r="F49" s="12">
        <v>0</v>
      </c>
      <c r="G49" s="12">
        <f>G48+F49</f>
        <v>15</v>
      </c>
      <c r="H49" s="12"/>
      <c r="I49" s="23"/>
      <c r="K49" s="14"/>
      <c r="L49" s="38"/>
      <c r="M49" s="22"/>
      <c r="N49" s="12">
        <f t="shared" si="1"/>
        <v>5250</v>
      </c>
      <c r="O49" s="12">
        <v>0</v>
      </c>
      <c r="P49" s="12">
        <f>P48+O49</f>
        <v>5</v>
      </c>
      <c r="Q49" s="12"/>
      <c r="R49" s="23"/>
      <c r="T49" s="32" t="s">
        <v>113</v>
      </c>
      <c r="U49" s="50">
        <f>_xlfn.TEXTBEFORE(T49,"k")*1000/(5*(1+_xlfn.TEXTBEFORE(_xlfn.TEXTAFTER(U$2,"+"),"%")/100)*1.25)</f>
        <v>6849.3150684931506</v>
      </c>
      <c r="V49" s="46">
        <f t="shared" si="2"/>
        <v>12521.913348359629</v>
      </c>
      <c r="W49" s="22">
        <v>150</v>
      </c>
      <c r="X49" s="12">
        <f t="shared" si="10"/>
        <v>1770</v>
      </c>
      <c r="Y49" s="12">
        <v>0</v>
      </c>
      <c r="Z49" s="12">
        <f t="shared" si="5"/>
        <v>11</v>
      </c>
      <c r="AA49" s="12">
        <v>0</v>
      </c>
      <c r="AB49" s="12">
        <f>AB48+AA49</f>
        <v>64</v>
      </c>
    </row>
    <row r="50" spans="2:28" x14ac:dyDescent="0.2">
      <c r="B50" s="32">
        <f t="shared" si="11"/>
        <v>9000000</v>
      </c>
      <c r="C50" s="38"/>
      <c r="D50" s="36">
        <v>360</v>
      </c>
      <c r="E50" s="12">
        <f t="shared" si="0"/>
        <v>6360</v>
      </c>
      <c r="F50" s="12">
        <v>0</v>
      </c>
      <c r="G50" s="12">
        <f>G49+F50</f>
        <v>15</v>
      </c>
      <c r="H50" s="12"/>
      <c r="I50" s="23"/>
      <c r="K50" s="14"/>
      <c r="L50" s="38"/>
      <c r="M50" s="22"/>
      <c r="N50" s="12">
        <f t="shared" si="1"/>
        <v>5250</v>
      </c>
      <c r="O50" s="12">
        <v>0</v>
      </c>
      <c r="P50" s="12">
        <f>P49+O50</f>
        <v>5</v>
      </c>
      <c r="Q50" s="12"/>
      <c r="R50" s="23"/>
      <c r="T50" s="32" t="s">
        <v>114</v>
      </c>
      <c r="U50" s="50">
        <f>_xlfn.TEXTBEFORE(T50,"k")*1000/(5*(1+_xlfn.TEXTBEFORE(_xlfn.TEXTAFTER(U$2,"+"),"%")/100)*1.25)</f>
        <v>7123.2876712328771</v>
      </c>
      <c r="V50" s="46">
        <f t="shared" si="2"/>
        <v>13022.789882294015</v>
      </c>
      <c r="W50" s="22">
        <v>0</v>
      </c>
      <c r="X50" s="12">
        <f t="shared" si="10"/>
        <v>1770</v>
      </c>
      <c r="Y50" s="12">
        <v>1</v>
      </c>
      <c r="Z50" s="12">
        <f t="shared" si="5"/>
        <v>12</v>
      </c>
      <c r="AA50" s="12">
        <v>0</v>
      </c>
      <c r="AB50" s="12">
        <f>AB49+AA50</f>
        <v>64</v>
      </c>
    </row>
    <row r="51" spans="2:28" x14ac:dyDescent="0.2">
      <c r="B51" s="32">
        <f t="shared" si="11"/>
        <v>9500000</v>
      </c>
      <c r="C51" s="38"/>
      <c r="D51" s="36">
        <v>180</v>
      </c>
      <c r="E51" s="12">
        <f t="shared" si="0"/>
        <v>6540</v>
      </c>
      <c r="F51" s="12">
        <v>0</v>
      </c>
      <c r="G51" s="12">
        <f>G50+F51</f>
        <v>15</v>
      </c>
      <c r="H51" s="12"/>
      <c r="I51" s="23"/>
      <c r="K51" s="14"/>
      <c r="L51" s="38"/>
      <c r="M51" s="22"/>
      <c r="N51" s="12">
        <f t="shared" si="1"/>
        <v>5250</v>
      </c>
      <c r="O51" s="12">
        <v>0</v>
      </c>
      <c r="P51" s="12">
        <f>P50+O51</f>
        <v>5</v>
      </c>
      <c r="Q51" s="12"/>
      <c r="R51" s="23"/>
      <c r="T51" s="32" t="s">
        <v>115</v>
      </c>
      <c r="U51" s="50">
        <f>_xlfn.TEXTBEFORE(T51,"k")*1000/(5*(1+_xlfn.TEXTBEFORE(_xlfn.TEXTAFTER(U$2,"+"),"%")/100)*1.25)</f>
        <v>7452.0547945205481</v>
      </c>
      <c r="V51" s="46">
        <f t="shared" si="2"/>
        <v>13623.841723015279</v>
      </c>
      <c r="W51" s="22">
        <v>150</v>
      </c>
      <c r="X51" s="12">
        <f t="shared" si="10"/>
        <v>1920</v>
      </c>
      <c r="Y51" s="12">
        <v>0</v>
      </c>
      <c r="Z51" s="12">
        <f t="shared" si="5"/>
        <v>12</v>
      </c>
      <c r="AA51" s="12">
        <v>0</v>
      </c>
      <c r="AB51" s="12">
        <f>AB50+AA51</f>
        <v>64</v>
      </c>
    </row>
    <row r="52" spans="2:28" x14ac:dyDescent="0.2">
      <c r="B52" s="32">
        <f t="shared" si="11"/>
        <v>10000000</v>
      </c>
      <c r="C52" s="38"/>
      <c r="D52" s="36">
        <v>360</v>
      </c>
      <c r="E52" s="12">
        <f t="shared" si="0"/>
        <v>6900</v>
      </c>
      <c r="F52" s="12">
        <v>5</v>
      </c>
      <c r="G52" s="12">
        <f>G51+F52</f>
        <v>20</v>
      </c>
      <c r="H52" s="12"/>
      <c r="I52" s="23"/>
      <c r="K52" s="14"/>
      <c r="L52" s="38"/>
      <c r="M52" s="22"/>
      <c r="N52" s="12">
        <f t="shared" si="1"/>
        <v>5250</v>
      </c>
      <c r="O52" s="12">
        <v>0</v>
      </c>
      <c r="P52" s="12">
        <f>P51+O52</f>
        <v>5</v>
      </c>
      <c r="Q52" s="12"/>
      <c r="R52" s="23"/>
      <c r="T52" s="32" t="s">
        <v>116</v>
      </c>
      <c r="U52" s="50">
        <f>_xlfn.TEXTBEFORE(T52,"k")*1000/(5*(1+_xlfn.TEXTBEFORE(_xlfn.TEXTAFTER(U$2,"+"),"%")/100)*1.25)</f>
        <v>7780.821917808219</v>
      </c>
      <c r="V52" s="46">
        <f t="shared" si="2"/>
        <v>14224.893563736538</v>
      </c>
      <c r="W52" s="22">
        <v>0</v>
      </c>
      <c r="X52" s="12">
        <f t="shared" si="10"/>
        <v>1920</v>
      </c>
      <c r="Y52" s="12">
        <v>0</v>
      </c>
      <c r="Z52" s="12">
        <f t="shared" si="5"/>
        <v>12</v>
      </c>
      <c r="AA52" s="12">
        <v>7</v>
      </c>
      <c r="AB52" s="12">
        <f>AB51+AA52</f>
        <v>71</v>
      </c>
    </row>
    <row r="53" spans="2:28" x14ac:dyDescent="0.2">
      <c r="B53" s="32">
        <f t="shared" si="11"/>
        <v>10500000</v>
      </c>
      <c r="C53" s="38"/>
      <c r="D53" s="36">
        <v>180</v>
      </c>
      <c r="E53" s="12">
        <f t="shared" si="0"/>
        <v>7080</v>
      </c>
      <c r="F53" s="12">
        <v>0</v>
      </c>
      <c r="G53" s="12">
        <f>G52+F53</f>
        <v>20</v>
      </c>
      <c r="H53" s="12"/>
      <c r="I53" s="23"/>
      <c r="K53" s="14"/>
      <c r="L53" s="38"/>
      <c r="M53" s="22"/>
      <c r="N53" s="12">
        <f t="shared" si="1"/>
        <v>5250</v>
      </c>
      <c r="O53" s="12">
        <v>0</v>
      </c>
      <c r="P53" s="12">
        <f>P52+O53</f>
        <v>5</v>
      </c>
      <c r="Q53" s="12"/>
      <c r="R53" s="23"/>
      <c r="T53" s="32" t="s">
        <v>117</v>
      </c>
      <c r="U53" s="50">
        <f>_xlfn.TEXTBEFORE(T53,"k")*1000/(5*(1+_xlfn.TEXTBEFORE(_xlfn.TEXTAFTER(U$2,"+"),"%")/100)*1.25)</f>
        <v>8164.3835616438355</v>
      </c>
      <c r="V53" s="46">
        <f t="shared" si="2"/>
        <v>14926.120711244677</v>
      </c>
      <c r="W53" s="22">
        <v>150</v>
      </c>
      <c r="X53" s="12">
        <f t="shared" si="10"/>
        <v>2070</v>
      </c>
      <c r="Y53" s="12">
        <v>0</v>
      </c>
      <c r="Z53" s="12">
        <f t="shared" si="5"/>
        <v>12</v>
      </c>
      <c r="AA53" s="12">
        <v>0</v>
      </c>
      <c r="AB53" s="12">
        <f>AB52+AA53</f>
        <v>71</v>
      </c>
    </row>
    <row r="54" spans="2:28" x14ac:dyDescent="0.2">
      <c r="B54" s="32">
        <f t="shared" si="11"/>
        <v>11000000</v>
      </c>
      <c r="C54" s="38"/>
      <c r="D54" s="36">
        <v>180</v>
      </c>
      <c r="E54" s="12">
        <f t="shared" si="0"/>
        <v>7260</v>
      </c>
      <c r="F54" s="12">
        <v>0</v>
      </c>
      <c r="G54" s="12">
        <f>G53+F54</f>
        <v>20</v>
      </c>
      <c r="H54" s="12"/>
      <c r="I54" s="23"/>
      <c r="K54" s="14"/>
      <c r="L54" s="38"/>
      <c r="M54" s="22"/>
      <c r="N54" s="12">
        <f t="shared" si="1"/>
        <v>5250</v>
      </c>
      <c r="O54" s="12">
        <v>0</v>
      </c>
      <c r="P54" s="12">
        <f>P53+O54</f>
        <v>5</v>
      </c>
      <c r="Q54" s="12"/>
      <c r="R54" s="23"/>
      <c r="T54" s="32" t="s">
        <v>118</v>
      </c>
      <c r="U54" s="50">
        <f>_xlfn.TEXTBEFORE(T54,"k")*1000/(5*(1+_xlfn.TEXTBEFORE(_xlfn.TEXTAFTER(U$2,"+"),"%")/100)*1.25)</f>
        <v>8547.9452054794529</v>
      </c>
      <c r="V54" s="46">
        <f t="shared" si="2"/>
        <v>15627.347858752817</v>
      </c>
      <c r="W54" s="22">
        <v>150</v>
      </c>
      <c r="X54" s="12">
        <f t="shared" si="10"/>
        <v>2220</v>
      </c>
      <c r="Y54" s="12">
        <v>0</v>
      </c>
      <c r="Z54" s="12">
        <f t="shared" si="5"/>
        <v>12</v>
      </c>
      <c r="AA54" s="12">
        <v>0</v>
      </c>
      <c r="AB54" s="12">
        <f>AB53+AA54</f>
        <v>71</v>
      </c>
    </row>
    <row r="55" spans="2:28" x14ac:dyDescent="0.2">
      <c r="B55" s="32">
        <f t="shared" si="11"/>
        <v>11500000</v>
      </c>
      <c r="C55" s="38"/>
      <c r="D55" s="36">
        <v>180</v>
      </c>
      <c r="E55" s="12">
        <f t="shared" si="0"/>
        <v>7440</v>
      </c>
      <c r="F55" s="12">
        <v>0</v>
      </c>
      <c r="G55" s="12">
        <f>G54+F55</f>
        <v>20</v>
      </c>
      <c r="H55" s="12"/>
      <c r="I55" s="23"/>
      <c r="K55" s="14"/>
      <c r="L55" s="38"/>
      <c r="M55" s="22"/>
      <c r="N55" s="12">
        <f t="shared" si="1"/>
        <v>5250</v>
      </c>
      <c r="O55" s="12">
        <v>0</v>
      </c>
      <c r="P55" s="12">
        <f>P54+O55</f>
        <v>5</v>
      </c>
      <c r="Q55" s="12"/>
      <c r="R55" s="23"/>
      <c r="T55" s="32" t="s">
        <v>119</v>
      </c>
      <c r="U55" s="50">
        <f>_xlfn.TEXTBEFORE(T55,"k")*1000/(5*(1+_xlfn.TEXTBEFORE(_xlfn.TEXTAFTER(U$2,"+"),"%")/100)*1.25)</f>
        <v>8767.1232876712329</v>
      </c>
      <c r="V55" s="46">
        <f t="shared" si="2"/>
        <v>16028.049085900326</v>
      </c>
      <c r="W55" s="22">
        <v>0</v>
      </c>
      <c r="X55" s="12">
        <f t="shared" si="10"/>
        <v>2220</v>
      </c>
      <c r="Y55" s="12">
        <v>0</v>
      </c>
      <c r="Z55" s="12">
        <f t="shared" si="5"/>
        <v>12</v>
      </c>
      <c r="AA55" s="12">
        <v>7</v>
      </c>
      <c r="AB55" s="12">
        <f>AB54+AA55</f>
        <v>78</v>
      </c>
    </row>
    <row r="56" spans="2:28" x14ac:dyDescent="0.2">
      <c r="B56" s="32">
        <f t="shared" si="11"/>
        <v>12000000</v>
      </c>
      <c r="C56" s="38"/>
      <c r="D56" s="36">
        <v>240</v>
      </c>
      <c r="E56" s="12">
        <f t="shared" si="0"/>
        <v>7680</v>
      </c>
      <c r="F56" s="12">
        <v>0</v>
      </c>
      <c r="G56" s="12">
        <f>G55+F56</f>
        <v>20</v>
      </c>
      <c r="H56" s="12"/>
      <c r="I56" s="23"/>
      <c r="K56" s="14"/>
      <c r="L56" s="38"/>
      <c r="M56" s="22"/>
      <c r="N56" s="12">
        <f t="shared" si="1"/>
        <v>5250</v>
      </c>
      <c r="O56" s="12">
        <v>0</v>
      </c>
      <c r="P56" s="12">
        <f>P55+O56</f>
        <v>5</v>
      </c>
      <c r="Q56" s="12"/>
      <c r="R56" s="23"/>
      <c r="T56" s="32" t="s">
        <v>120</v>
      </c>
      <c r="U56" s="50">
        <f>_xlfn.TEXTBEFORE(T56,"k")*1000/(5*(1+_xlfn.TEXTBEFORE(_xlfn.TEXTAFTER(U$2,"+"),"%")/100)*1.25)</f>
        <v>9041.0958904109593</v>
      </c>
      <c r="V56" s="46">
        <f t="shared" si="2"/>
        <v>16528.925619834714</v>
      </c>
      <c r="W56" s="22">
        <v>0</v>
      </c>
      <c r="X56" s="12">
        <f t="shared" si="10"/>
        <v>2220</v>
      </c>
      <c r="Y56" s="12">
        <v>1</v>
      </c>
      <c r="Z56" s="12">
        <f t="shared" si="5"/>
        <v>13</v>
      </c>
      <c r="AA56" s="12">
        <v>0</v>
      </c>
      <c r="AB56" s="12">
        <f>AB55+AA56</f>
        <v>78</v>
      </c>
    </row>
    <row r="57" spans="2:28" x14ac:dyDescent="0.2">
      <c r="B57" s="32">
        <f t="shared" si="11"/>
        <v>12500000</v>
      </c>
      <c r="C57" s="38"/>
      <c r="D57" s="36">
        <v>180</v>
      </c>
      <c r="E57" s="12">
        <f t="shared" si="0"/>
        <v>7860</v>
      </c>
      <c r="F57" s="12">
        <v>0</v>
      </c>
      <c r="G57" s="12">
        <f>G56+F57</f>
        <v>20</v>
      </c>
      <c r="H57" s="12"/>
      <c r="I57" s="23"/>
      <c r="K57" s="14"/>
      <c r="L57" s="38"/>
      <c r="M57" s="22"/>
      <c r="N57" s="12">
        <f t="shared" si="1"/>
        <v>5250</v>
      </c>
      <c r="O57" s="12">
        <v>0</v>
      </c>
      <c r="P57" s="12">
        <f>P56+O57</f>
        <v>5</v>
      </c>
      <c r="Q57" s="12"/>
      <c r="R57" s="23"/>
      <c r="T57" s="32" t="s">
        <v>121</v>
      </c>
      <c r="U57" s="50">
        <f>_xlfn.TEXTBEFORE(T57,"k")*1000/(5*(1+_xlfn.TEXTBEFORE(_xlfn.TEXTAFTER(U$2,"+"),"%")/100)*1.25)</f>
        <v>9424.6575342465749</v>
      </c>
      <c r="V57" s="46">
        <f t="shared" si="2"/>
        <v>17230.15276734285</v>
      </c>
      <c r="W57" s="22">
        <v>150</v>
      </c>
      <c r="X57" s="12">
        <f t="shared" si="10"/>
        <v>2370</v>
      </c>
      <c r="Y57" s="12">
        <v>0</v>
      </c>
      <c r="Z57" s="12">
        <f t="shared" si="5"/>
        <v>13</v>
      </c>
      <c r="AA57" s="12">
        <v>0</v>
      </c>
      <c r="AB57" s="12">
        <f>AB56+AA57</f>
        <v>78</v>
      </c>
    </row>
    <row r="58" spans="2:28" x14ac:dyDescent="0.2">
      <c r="B58" s="32">
        <f t="shared" si="11"/>
        <v>13000000</v>
      </c>
      <c r="C58" s="38"/>
      <c r="D58" s="36">
        <v>180</v>
      </c>
      <c r="E58" s="12">
        <f t="shared" si="0"/>
        <v>8040</v>
      </c>
      <c r="F58" s="12">
        <v>0</v>
      </c>
      <c r="G58" s="12">
        <f>G57+F58</f>
        <v>20</v>
      </c>
      <c r="H58" s="12"/>
      <c r="I58" s="23"/>
      <c r="K58" s="14"/>
      <c r="L58" s="38"/>
      <c r="M58" s="22"/>
      <c r="N58" s="12">
        <f t="shared" si="1"/>
        <v>5250</v>
      </c>
      <c r="O58" s="12">
        <v>0</v>
      </c>
      <c r="P58" s="12">
        <f>P57+O58</f>
        <v>5</v>
      </c>
      <c r="Q58" s="12"/>
      <c r="R58" s="23"/>
      <c r="T58" s="32" t="s">
        <v>122</v>
      </c>
      <c r="U58" s="50">
        <f>_xlfn.TEXTBEFORE(T58,"k")*1000/(5*(1+_xlfn.TEXTBEFORE(_xlfn.TEXTAFTER(U$2,"+"),"%")/100)*1.25)</f>
        <v>9808.2191780821922</v>
      </c>
      <c r="V58" s="46">
        <f t="shared" si="2"/>
        <v>17931.37991485099</v>
      </c>
      <c r="W58" s="22">
        <v>150</v>
      </c>
      <c r="X58" s="12">
        <f t="shared" si="10"/>
        <v>2520</v>
      </c>
      <c r="Y58" s="12">
        <v>0</v>
      </c>
      <c r="Z58" s="12">
        <f t="shared" si="5"/>
        <v>13</v>
      </c>
      <c r="AA58" s="12">
        <v>0</v>
      </c>
      <c r="AB58" s="12">
        <f>AB57+AA58</f>
        <v>78</v>
      </c>
    </row>
    <row r="59" spans="2:28" x14ac:dyDescent="0.2">
      <c r="B59" s="32">
        <f t="shared" si="11"/>
        <v>13500000</v>
      </c>
      <c r="C59" s="38"/>
      <c r="D59" s="36">
        <v>180</v>
      </c>
      <c r="E59" s="12">
        <f t="shared" si="0"/>
        <v>8220</v>
      </c>
      <c r="F59" s="12">
        <v>0</v>
      </c>
      <c r="G59" s="12">
        <f>G58+F59</f>
        <v>20</v>
      </c>
      <c r="H59" s="12"/>
      <c r="I59" s="23"/>
      <c r="K59" s="14"/>
      <c r="L59" s="38"/>
      <c r="M59" s="22"/>
      <c r="N59" s="12">
        <f t="shared" si="1"/>
        <v>5250</v>
      </c>
      <c r="O59" s="12">
        <v>0</v>
      </c>
      <c r="P59" s="12">
        <f>P58+O59</f>
        <v>5</v>
      </c>
      <c r="Q59" s="12"/>
      <c r="R59" s="23"/>
      <c r="T59" s="32" t="s">
        <v>123</v>
      </c>
      <c r="U59" s="50">
        <f>_xlfn.TEXTBEFORE(T59,"k")*1000/(5*(1+_xlfn.TEXTBEFORE(_xlfn.TEXTAFTER(U$2,"+"),"%")/100)*1.25)</f>
        <v>10136.986301369863</v>
      </c>
      <c r="V59" s="46">
        <f t="shared" si="2"/>
        <v>18532.431755572252</v>
      </c>
      <c r="W59" s="22">
        <v>0</v>
      </c>
      <c r="X59" s="12">
        <f t="shared" si="10"/>
        <v>2520</v>
      </c>
      <c r="Y59" s="12">
        <v>0</v>
      </c>
      <c r="Z59" s="12">
        <f t="shared" si="5"/>
        <v>13</v>
      </c>
      <c r="AA59" s="12">
        <v>7</v>
      </c>
      <c r="AB59" s="12">
        <f>AB58+AA59</f>
        <v>85</v>
      </c>
    </row>
    <row r="60" spans="2:28" x14ac:dyDescent="0.2">
      <c r="B60" s="32">
        <f t="shared" si="11"/>
        <v>14000000</v>
      </c>
      <c r="C60" s="38"/>
      <c r="D60" s="36">
        <v>180</v>
      </c>
      <c r="E60" s="12">
        <f t="shared" si="0"/>
        <v>8400</v>
      </c>
      <c r="F60" s="12">
        <v>0</v>
      </c>
      <c r="G60" s="12">
        <f>G59+F60</f>
        <v>20</v>
      </c>
      <c r="H60" s="12"/>
      <c r="I60" s="23"/>
      <c r="K60" s="14"/>
      <c r="L60" s="38"/>
      <c r="M60" s="22"/>
      <c r="N60" s="12">
        <f t="shared" si="1"/>
        <v>5250</v>
      </c>
      <c r="O60" s="12">
        <v>0</v>
      </c>
      <c r="P60" s="12">
        <f>P59+O60</f>
        <v>5</v>
      </c>
      <c r="Q60" s="12"/>
      <c r="R60" s="23"/>
      <c r="T60" s="32" t="s">
        <v>124</v>
      </c>
      <c r="U60" s="50">
        <f>_xlfn.TEXTBEFORE(T60,"k")*1000/(5*(1+_xlfn.TEXTBEFORE(_xlfn.TEXTAFTER(U$2,"+"),"%")/100)*1.25)</f>
        <v>10356.164383561643</v>
      </c>
      <c r="V60" s="46">
        <f t="shared" si="2"/>
        <v>18933.132982719759</v>
      </c>
      <c r="W60" s="22">
        <v>150</v>
      </c>
      <c r="X60" s="12">
        <f t="shared" si="10"/>
        <v>2670</v>
      </c>
      <c r="Y60" s="12">
        <v>0</v>
      </c>
      <c r="Z60" s="12">
        <f t="shared" si="5"/>
        <v>13</v>
      </c>
      <c r="AA60" s="12">
        <v>0</v>
      </c>
      <c r="AB60" s="12">
        <f>AB59+AA60</f>
        <v>85</v>
      </c>
    </row>
    <row r="61" spans="2:28" x14ac:dyDescent="0.2">
      <c r="B61" s="32">
        <f t="shared" si="11"/>
        <v>14500000</v>
      </c>
      <c r="C61" s="38"/>
      <c r="D61" s="36">
        <v>180</v>
      </c>
      <c r="E61" s="12">
        <f t="shared" si="0"/>
        <v>8580</v>
      </c>
      <c r="F61" s="12">
        <v>0</v>
      </c>
      <c r="G61" s="12">
        <f>G60+F61</f>
        <v>20</v>
      </c>
      <c r="H61" s="12"/>
      <c r="I61" s="23"/>
      <c r="K61" s="14"/>
      <c r="L61" s="38"/>
      <c r="M61" s="22"/>
      <c r="N61" s="12">
        <f t="shared" si="1"/>
        <v>5250</v>
      </c>
      <c r="O61" s="12">
        <v>0</v>
      </c>
      <c r="P61" s="12">
        <f>P60+O61</f>
        <v>5</v>
      </c>
      <c r="Q61" s="12"/>
      <c r="R61" s="23"/>
      <c r="T61" s="32" t="s">
        <v>125</v>
      </c>
      <c r="U61" s="50">
        <f>_xlfn.TEXTBEFORE(T61,"k")*1000/(5*(1+_xlfn.TEXTBEFORE(_xlfn.TEXTAFTER(U$2,"+"),"%")/100)*1.25)</f>
        <v>12438.356164383562</v>
      </c>
      <c r="V61" s="46">
        <f t="shared" si="2"/>
        <v>22739.79464062109</v>
      </c>
      <c r="W61" s="22">
        <v>375</v>
      </c>
      <c r="X61" s="12">
        <f t="shared" si="10"/>
        <v>3045</v>
      </c>
      <c r="Y61" s="12">
        <v>0</v>
      </c>
      <c r="Z61" s="12">
        <f t="shared" si="5"/>
        <v>13</v>
      </c>
      <c r="AA61" s="12">
        <v>0</v>
      </c>
      <c r="AB61" s="12">
        <f>AB60+AA61</f>
        <v>85</v>
      </c>
    </row>
    <row r="62" spans="2:28" x14ac:dyDescent="0.2">
      <c r="B62" s="32">
        <f t="shared" si="11"/>
        <v>15000000</v>
      </c>
      <c r="C62" s="38"/>
      <c r="D62" s="36">
        <v>300</v>
      </c>
      <c r="E62" s="12">
        <f t="shared" si="0"/>
        <v>8880</v>
      </c>
      <c r="F62" s="12">
        <v>0</v>
      </c>
      <c r="G62" s="12">
        <f>G61+F62</f>
        <v>20</v>
      </c>
      <c r="H62" s="12"/>
      <c r="I62" s="23"/>
      <c r="K62" s="14"/>
      <c r="L62" s="38"/>
      <c r="M62" s="22"/>
      <c r="N62" s="12">
        <f t="shared" si="1"/>
        <v>5250</v>
      </c>
      <c r="O62" s="12">
        <v>0</v>
      </c>
      <c r="P62" s="12">
        <f>P61+O62</f>
        <v>5</v>
      </c>
      <c r="Q62" s="12"/>
      <c r="R62" s="23"/>
      <c r="T62" s="32" t="s">
        <v>126</v>
      </c>
      <c r="U62" s="50">
        <f>_xlfn.TEXTBEFORE(T62,"k")*1000/(5*(1+_xlfn.TEXTBEFORE(_xlfn.TEXTAFTER(U$2,"+"),"%")/100)*1.25)</f>
        <v>14246.575342465754</v>
      </c>
      <c r="V62" s="46">
        <f t="shared" si="2"/>
        <v>26045.57976458803</v>
      </c>
      <c r="W62" s="22">
        <v>0</v>
      </c>
      <c r="X62" s="12">
        <f t="shared" si="10"/>
        <v>3045</v>
      </c>
      <c r="Y62" s="12">
        <v>0</v>
      </c>
      <c r="Z62" s="12">
        <f t="shared" si="5"/>
        <v>13</v>
      </c>
      <c r="AA62" s="12">
        <v>10</v>
      </c>
      <c r="AB62" s="12">
        <f>AB61+AA62</f>
        <v>95</v>
      </c>
    </row>
    <row r="63" spans="2:28" x14ac:dyDescent="0.2">
      <c r="B63" s="32">
        <f t="shared" si="11"/>
        <v>15500000</v>
      </c>
      <c r="C63" s="38"/>
      <c r="D63" s="36">
        <v>180</v>
      </c>
      <c r="E63" s="12">
        <f t="shared" si="0"/>
        <v>9060</v>
      </c>
      <c r="F63" s="12">
        <v>0</v>
      </c>
      <c r="G63" s="12">
        <f>G62+F63</f>
        <v>20</v>
      </c>
      <c r="H63" s="12"/>
      <c r="I63" s="23"/>
      <c r="K63" s="14"/>
      <c r="L63" s="38"/>
      <c r="M63" s="22"/>
      <c r="N63" s="12">
        <f t="shared" si="1"/>
        <v>5250</v>
      </c>
      <c r="O63" s="12">
        <v>0</v>
      </c>
      <c r="P63" s="12">
        <f>P62+O63</f>
        <v>5</v>
      </c>
      <c r="Q63" s="12"/>
      <c r="R63" s="23"/>
      <c r="T63" s="32" t="s">
        <v>127</v>
      </c>
      <c r="U63" s="50">
        <f>_xlfn.TEXTBEFORE(T63,"k")*1000/(5*(1+_xlfn.TEXTBEFORE(_xlfn.TEXTAFTER(U$2,"+"),"%")/100)*1.25)</f>
        <v>15945.205479452055</v>
      </c>
      <c r="V63" s="46">
        <f t="shared" si="2"/>
        <v>29151.014274981215</v>
      </c>
      <c r="W63" s="22">
        <v>0</v>
      </c>
      <c r="X63" s="12">
        <f t="shared" si="10"/>
        <v>3045</v>
      </c>
      <c r="Y63" s="12">
        <v>2</v>
      </c>
      <c r="Z63" s="12">
        <f t="shared" si="5"/>
        <v>15</v>
      </c>
      <c r="AA63" s="12">
        <v>0</v>
      </c>
      <c r="AB63" s="12">
        <f>AB62+AA63</f>
        <v>95</v>
      </c>
    </row>
    <row r="64" spans="2:28" x14ac:dyDescent="0.2">
      <c r="B64" s="32">
        <f t="shared" si="11"/>
        <v>16000000</v>
      </c>
      <c r="C64" s="38"/>
      <c r="D64" s="36">
        <v>180</v>
      </c>
      <c r="E64" s="12">
        <f t="shared" si="0"/>
        <v>9240</v>
      </c>
      <c r="F64" s="12">
        <v>0</v>
      </c>
      <c r="G64" s="12">
        <f>G63+F64</f>
        <v>20</v>
      </c>
      <c r="H64" s="12"/>
      <c r="I64" s="23"/>
      <c r="K64" s="14"/>
      <c r="L64" s="38"/>
      <c r="M64" s="22"/>
      <c r="N64" s="12">
        <f t="shared" si="1"/>
        <v>5250</v>
      </c>
      <c r="O64" s="12">
        <v>0</v>
      </c>
      <c r="P64" s="12">
        <f>P63+O64</f>
        <v>5</v>
      </c>
      <c r="Q64" s="12"/>
      <c r="R64" s="23"/>
      <c r="T64" s="32" t="s">
        <v>128</v>
      </c>
      <c r="U64" s="50">
        <f>_xlfn.TEXTBEFORE(T64,"k")*1000/(5*(1+_xlfn.TEXTBEFORE(_xlfn.TEXTAFTER(U$2,"+"),"%")/100)*1.25)</f>
        <v>17643.835616438355</v>
      </c>
      <c r="V64" s="46">
        <f t="shared" si="2"/>
        <v>32256.448785374407</v>
      </c>
      <c r="W64" s="22">
        <v>0</v>
      </c>
      <c r="X64" s="12">
        <f t="shared" si="10"/>
        <v>3045</v>
      </c>
      <c r="Y64" s="12">
        <v>0</v>
      </c>
      <c r="Z64" s="12">
        <f t="shared" si="5"/>
        <v>15</v>
      </c>
      <c r="AA64" s="12">
        <v>0</v>
      </c>
      <c r="AB64" s="12">
        <f>AB63+AA64</f>
        <v>95</v>
      </c>
    </row>
    <row r="65" spans="2:28" x14ac:dyDescent="0.2">
      <c r="B65" s="32">
        <f t="shared" si="11"/>
        <v>16500000</v>
      </c>
      <c r="C65" s="38"/>
      <c r="D65" s="36">
        <v>180</v>
      </c>
      <c r="E65" s="12">
        <f t="shared" si="0"/>
        <v>9420</v>
      </c>
      <c r="F65" s="12">
        <v>0</v>
      </c>
      <c r="G65" s="12">
        <f>G64+F65</f>
        <v>20</v>
      </c>
      <c r="H65" s="12"/>
      <c r="I65" s="23"/>
      <c r="K65" s="14"/>
      <c r="L65" s="38"/>
      <c r="M65" s="22"/>
      <c r="N65" s="12">
        <f t="shared" si="1"/>
        <v>5250</v>
      </c>
      <c r="O65" s="12">
        <v>0</v>
      </c>
      <c r="P65" s="12">
        <f>P64+O65</f>
        <v>5</v>
      </c>
      <c r="Q65" s="12"/>
      <c r="R65" s="23"/>
      <c r="T65" s="32" t="s">
        <v>129</v>
      </c>
      <c r="U65" s="50">
        <f>_xlfn.TEXTBEFORE(T65,"k")*1000/(5*(1+_xlfn.TEXTBEFORE(_xlfn.TEXTAFTER(U$2,"+"),"%")/100)*1.25)</f>
        <v>19342.465753424658</v>
      </c>
      <c r="V65" s="46">
        <f t="shared" si="2"/>
        <v>35361.883295767599</v>
      </c>
      <c r="W65" s="22">
        <v>0</v>
      </c>
      <c r="X65" s="12">
        <f t="shared" si="10"/>
        <v>3045</v>
      </c>
      <c r="Y65" s="12">
        <v>0</v>
      </c>
      <c r="Z65" s="12">
        <f t="shared" si="5"/>
        <v>15</v>
      </c>
      <c r="AA65" s="12">
        <v>0</v>
      </c>
      <c r="AB65" s="12">
        <f>AB64+AA65</f>
        <v>95</v>
      </c>
    </row>
    <row r="66" spans="2:28" x14ac:dyDescent="0.2">
      <c r="B66" s="32">
        <f t="shared" si="11"/>
        <v>17000000</v>
      </c>
      <c r="C66" s="38"/>
      <c r="D66" s="36">
        <v>180</v>
      </c>
      <c r="E66" s="12">
        <f t="shared" si="0"/>
        <v>9600</v>
      </c>
      <c r="F66" s="12">
        <v>0</v>
      </c>
      <c r="G66" s="12">
        <f>G65+F66</f>
        <v>20</v>
      </c>
      <c r="H66" s="12"/>
      <c r="I66" s="23"/>
      <c r="K66" s="14"/>
      <c r="L66" s="38"/>
      <c r="M66" s="22"/>
      <c r="N66" s="12">
        <f t="shared" si="1"/>
        <v>5250</v>
      </c>
      <c r="O66" s="12">
        <v>0</v>
      </c>
      <c r="P66" s="12">
        <f>P65+O66</f>
        <v>5</v>
      </c>
      <c r="Q66" s="12"/>
      <c r="R66" s="23"/>
      <c r="T66" s="32" t="s">
        <v>130</v>
      </c>
      <c r="U66" s="50">
        <f>_xlfn.TEXTBEFORE(T66,"k")*1000/(5*(1+_xlfn.TEXTBEFORE(_xlfn.TEXTAFTER(U$2,"+"),"%")/100)*1.25)</f>
        <v>21150.68493150685</v>
      </c>
      <c r="V66" s="46">
        <f t="shared" si="2"/>
        <v>38667.668419734538</v>
      </c>
      <c r="W66" s="22">
        <v>0</v>
      </c>
      <c r="X66" s="12">
        <f t="shared" si="10"/>
        <v>3045</v>
      </c>
      <c r="Y66" s="12">
        <v>0</v>
      </c>
      <c r="Z66" s="12">
        <f t="shared" si="5"/>
        <v>15</v>
      </c>
      <c r="AA66" s="12">
        <v>0</v>
      </c>
      <c r="AB66" s="12">
        <f>AB65+AA66</f>
        <v>95</v>
      </c>
    </row>
    <row r="67" spans="2:28" x14ac:dyDescent="0.2">
      <c r="B67" s="32">
        <f t="shared" si="11"/>
        <v>17500000</v>
      </c>
      <c r="C67" s="38"/>
      <c r="D67" s="36">
        <v>180</v>
      </c>
      <c r="E67" s="12">
        <f t="shared" si="0"/>
        <v>9780</v>
      </c>
      <c r="F67" s="12">
        <v>0</v>
      </c>
      <c r="G67" s="12">
        <f>G66+F67</f>
        <v>20</v>
      </c>
      <c r="H67" s="12"/>
      <c r="I67" s="23"/>
      <c r="K67" s="14"/>
      <c r="L67" s="38"/>
      <c r="M67" s="22"/>
      <c r="N67" s="12">
        <f t="shared" si="1"/>
        <v>5250</v>
      </c>
      <c r="O67" s="12">
        <v>0</v>
      </c>
      <c r="P67" s="12">
        <f>P66+O67</f>
        <v>5</v>
      </c>
      <c r="Q67" s="12"/>
      <c r="R67" s="23"/>
      <c r="T67" s="32" t="s">
        <v>131</v>
      </c>
      <c r="U67" s="50">
        <f>_xlfn.TEXTBEFORE(T67,"k")*1000/(5*(1+_xlfn.TEXTBEFORE(_xlfn.TEXTAFTER(U$2,"+"),"%")/100)*1.25)</f>
        <v>22904.109589041094</v>
      </c>
      <c r="V67" s="46">
        <f t="shared" si="2"/>
        <v>41873.278236914601</v>
      </c>
      <c r="W67" s="22">
        <v>375</v>
      </c>
      <c r="X67" s="12">
        <f t="shared" si="10"/>
        <v>3420</v>
      </c>
      <c r="Y67" s="12">
        <v>0</v>
      </c>
      <c r="Z67" s="12">
        <f t="shared" si="5"/>
        <v>15</v>
      </c>
      <c r="AA67" s="12">
        <v>0</v>
      </c>
      <c r="AB67" s="12">
        <f>AB66+AA67</f>
        <v>95</v>
      </c>
    </row>
    <row r="68" spans="2:28" x14ac:dyDescent="0.2">
      <c r="B68" s="32">
        <f t="shared" si="11"/>
        <v>18000000</v>
      </c>
      <c r="C68" s="38"/>
      <c r="D68" s="36">
        <v>450</v>
      </c>
      <c r="E68" s="12">
        <f t="shared" si="0"/>
        <v>10230</v>
      </c>
      <c r="F68" s="12">
        <v>0</v>
      </c>
      <c r="G68" s="12">
        <f>G67+F68</f>
        <v>20</v>
      </c>
      <c r="H68" s="12"/>
      <c r="I68" s="23"/>
      <c r="K68" s="14"/>
      <c r="L68" s="38"/>
      <c r="M68" s="22"/>
      <c r="N68" s="12">
        <f t="shared" si="1"/>
        <v>5250</v>
      </c>
      <c r="O68" s="12">
        <v>0</v>
      </c>
      <c r="P68" s="12">
        <f>P67+O68</f>
        <v>5</v>
      </c>
      <c r="Q68" s="12"/>
      <c r="R68" s="23"/>
      <c r="T68" s="32" t="s">
        <v>132</v>
      </c>
      <c r="U68" s="50">
        <f>_xlfn.TEXTBEFORE(T68,"k")*1000/(5*(1+_xlfn.TEXTBEFORE(_xlfn.TEXTAFTER(U$2,"+"),"%")/100)*1.25)</f>
        <v>24547.945205479453</v>
      </c>
      <c r="V68" s="46">
        <f t="shared" si="2"/>
        <v>44878.537440520915</v>
      </c>
      <c r="W68" s="22">
        <v>0</v>
      </c>
      <c r="X68" s="12">
        <f t="shared" si="10"/>
        <v>3420</v>
      </c>
      <c r="Y68" s="12">
        <v>0</v>
      </c>
      <c r="Z68" s="12">
        <f t="shared" si="5"/>
        <v>15</v>
      </c>
      <c r="AA68" s="12">
        <v>10</v>
      </c>
      <c r="AB68" s="12">
        <f>AB67+AA68</f>
        <v>105</v>
      </c>
    </row>
    <row r="69" spans="2:28" x14ac:dyDescent="0.2">
      <c r="B69" s="32">
        <f t="shared" si="11"/>
        <v>18500000</v>
      </c>
      <c r="C69" s="38"/>
      <c r="D69" s="36">
        <v>180</v>
      </c>
      <c r="E69" s="12">
        <f t="shared" ref="E69:E72" si="12">E68+D69</f>
        <v>10410</v>
      </c>
      <c r="F69" s="12">
        <v>0</v>
      </c>
      <c r="G69" s="12">
        <f>G68+F69</f>
        <v>20</v>
      </c>
      <c r="H69" s="12"/>
      <c r="I69" s="23"/>
      <c r="K69" s="14"/>
      <c r="L69" s="38"/>
      <c r="M69" s="22"/>
      <c r="N69" s="12">
        <f t="shared" ref="N69:N72" si="13">N68+M69</f>
        <v>5250</v>
      </c>
      <c r="O69" s="12">
        <v>0</v>
      </c>
      <c r="P69" s="12">
        <f>P68+O69</f>
        <v>5</v>
      </c>
      <c r="Q69" s="12"/>
      <c r="R69" s="23"/>
      <c r="T69" s="32" t="s">
        <v>133</v>
      </c>
      <c r="U69" s="50">
        <f>_xlfn.TEXTBEFORE(T69,"k")*1000/(5*(1+_xlfn.TEXTBEFORE(_xlfn.TEXTAFTER(U$2,"+"),"%")/100)*1.25)</f>
        <v>26246.575342465752</v>
      </c>
      <c r="V69" s="46">
        <f t="shared" ref="V69:V100" si="14">_xlfn.TEXTBEFORE(T69,"k")*1000/5/(1+_xlfn.TEXTBEFORE(_xlfn.TEXTAFTER(V$2,"+"),"%")/100)/2/1.25/0.22</f>
        <v>47983.9719509141</v>
      </c>
      <c r="W69" s="22">
        <v>375</v>
      </c>
      <c r="X69" s="12">
        <f t="shared" si="10"/>
        <v>3795</v>
      </c>
      <c r="Y69" s="12">
        <v>0</v>
      </c>
      <c r="Z69" s="12">
        <f t="shared" si="5"/>
        <v>15</v>
      </c>
      <c r="AA69" s="12">
        <v>0</v>
      </c>
      <c r="AB69" s="12">
        <f>AB68+AA69</f>
        <v>105</v>
      </c>
    </row>
    <row r="70" spans="2:28" x14ac:dyDescent="0.2">
      <c r="B70" s="32">
        <f t="shared" si="11"/>
        <v>19000000</v>
      </c>
      <c r="C70" s="38"/>
      <c r="D70" s="36">
        <v>180</v>
      </c>
      <c r="E70" s="12">
        <f t="shared" si="12"/>
        <v>10590</v>
      </c>
      <c r="F70" s="12">
        <v>0</v>
      </c>
      <c r="G70" s="12">
        <f>G69+F70</f>
        <v>20</v>
      </c>
      <c r="H70" s="12"/>
      <c r="I70" s="23"/>
      <c r="K70" s="14"/>
      <c r="L70" s="38"/>
      <c r="M70" s="22"/>
      <c r="N70" s="12">
        <f t="shared" si="13"/>
        <v>5250</v>
      </c>
      <c r="O70" s="12">
        <v>0</v>
      </c>
      <c r="P70" s="12">
        <f>P69+O70</f>
        <v>5</v>
      </c>
      <c r="Q70" s="12"/>
      <c r="R70" s="23"/>
      <c r="T70" s="32" t="s">
        <v>134</v>
      </c>
      <c r="U70" s="50">
        <f>_xlfn.TEXTBEFORE(T70,"k")*1000/(5*(1+_xlfn.TEXTBEFORE(_xlfn.TEXTAFTER(U$2,"+"),"%")/100)*1.25)</f>
        <v>28054.794520547945</v>
      </c>
      <c r="V70" s="46">
        <f t="shared" si="14"/>
        <v>51289.757074881039</v>
      </c>
      <c r="W70" s="22">
        <v>0</v>
      </c>
      <c r="X70" s="12">
        <f t="shared" si="10"/>
        <v>3795</v>
      </c>
      <c r="Y70" s="12">
        <v>0</v>
      </c>
      <c r="Z70" s="12">
        <f t="shared" ref="Z70:Z102" si="15">Z69+Y70</f>
        <v>15</v>
      </c>
      <c r="AA70" s="12">
        <v>10</v>
      </c>
      <c r="AB70" s="12">
        <f t="shared" ref="AB70:AB102" si="16">AB69+AA70</f>
        <v>115</v>
      </c>
    </row>
    <row r="71" spans="2:28" x14ac:dyDescent="0.2">
      <c r="B71" s="32">
        <f t="shared" si="11"/>
        <v>19500000</v>
      </c>
      <c r="C71" s="38"/>
      <c r="D71" s="36">
        <v>180</v>
      </c>
      <c r="E71" s="12">
        <f t="shared" si="12"/>
        <v>10770</v>
      </c>
      <c r="F71" s="12">
        <v>0</v>
      </c>
      <c r="G71" s="12">
        <f>G70+F71</f>
        <v>20</v>
      </c>
      <c r="H71" s="12"/>
      <c r="I71" s="23"/>
      <c r="K71" s="14"/>
      <c r="L71" s="38"/>
      <c r="M71" s="22"/>
      <c r="N71" s="12">
        <f t="shared" si="13"/>
        <v>5250</v>
      </c>
      <c r="O71" s="12">
        <v>0</v>
      </c>
      <c r="P71" s="12">
        <f>P70+O71</f>
        <v>5</v>
      </c>
      <c r="Q71" s="12"/>
      <c r="R71" s="23"/>
      <c r="T71" s="32" t="s">
        <v>135</v>
      </c>
      <c r="U71" s="50">
        <f>_xlfn.TEXTBEFORE(T71,"k")*1000/(5*(1+_xlfn.TEXTBEFORE(_xlfn.TEXTAFTER(U$2,"+"),"%")/100)*1.25)</f>
        <v>29698.630136986303</v>
      </c>
      <c r="V71" s="46">
        <f t="shared" si="14"/>
        <v>54295.016278487361</v>
      </c>
      <c r="W71" s="22">
        <v>0</v>
      </c>
      <c r="X71" s="12">
        <f t="shared" si="10"/>
        <v>3795</v>
      </c>
      <c r="Y71" s="12">
        <v>3</v>
      </c>
      <c r="Z71" s="12">
        <f t="shared" si="15"/>
        <v>18</v>
      </c>
      <c r="AA71" s="12">
        <v>0</v>
      </c>
      <c r="AB71" s="12">
        <f t="shared" si="16"/>
        <v>115</v>
      </c>
    </row>
    <row r="72" spans="2:28" ht="15.75" thickBot="1" x14ac:dyDescent="0.25">
      <c r="B72" s="28">
        <f t="shared" si="11"/>
        <v>20000000</v>
      </c>
      <c r="C72" s="39"/>
      <c r="D72" s="37">
        <v>600</v>
      </c>
      <c r="E72" s="25">
        <f t="shared" si="12"/>
        <v>11370</v>
      </c>
      <c r="F72" s="25">
        <v>5</v>
      </c>
      <c r="G72" s="25">
        <f>G71+F72</f>
        <v>25</v>
      </c>
      <c r="H72" s="25"/>
      <c r="I72" s="26"/>
      <c r="K72" s="15"/>
      <c r="L72" s="39"/>
      <c r="M72" s="24"/>
      <c r="N72" s="25">
        <f t="shared" si="13"/>
        <v>5250</v>
      </c>
      <c r="O72" s="25">
        <v>0</v>
      </c>
      <c r="P72" s="25">
        <f>P71+O72</f>
        <v>5</v>
      </c>
      <c r="Q72" s="25"/>
      <c r="R72" s="26"/>
      <c r="T72" s="32" t="s">
        <v>136</v>
      </c>
      <c r="U72" s="50">
        <f>_xlfn.TEXTBEFORE(T72,"k")*1000/(5*(1+_xlfn.TEXTBEFORE(_xlfn.TEXTAFTER(U$2,"+"),"%")/100)*1.25)</f>
        <v>31397.260273972603</v>
      </c>
      <c r="V72" s="46">
        <f t="shared" si="14"/>
        <v>57400.450788880538</v>
      </c>
      <c r="W72" s="22">
        <v>375</v>
      </c>
      <c r="X72" s="12">
        <f t="shared" si="10"/>
        <v>4170</v>
      </c>
      <c r="Y72" s="12">
        <v>0</v>
      </c>
      <c r="Z72" s="12">
        <f t="shared" si="15"/>
        <v>18</v>
      </c>
      <c r="AA72" s="12">
        <v>0</v>
      </c>
      <c r="AB72" s="12">
        <f t="shared" si="16"/>
        <v>115</v>
      </c>
    </row>
    <row r="73" spans="2:28" x14ac:dyDescent="0.2">
      <c r="T73" s="32" t="s">
        <v>137</v>
      </c>
      <c r="U73" s="50">
        <f>_xlfn.TEXTBEFORE(T73,"k")*1000/(5*(1+_xlfn.TEXTBEFORE(_xlfn.TEXTAFTER(U$2,"+"),"%")/100)*1.25)</f>
        <v>33041.095890410958</v>
      </c>
      <c r="V73" s="46">
        <f t="shared" si="14"/>
        <v>60405.709992486845</v>
      </c>
      <c r="W73" s="22">
        <v>0</v>
      </c>
      <c r="X73" s="12">
        <f t="shared" si="10"/>
        <v>4170</v>
      </c>
      <c r="Y73" s="12">
        <v>0</v>
      </c>
      <c r="Z73" s="12">
        <f t="shared" si="15"/>
        <v>18</v>
      </c>
      <c r="AA73" s="12">
        <v>10</v>
      </c>
      <c r="AB73" s="12">
        <f t="shared" si="16"/>
        <v>125</v>
      </c>
    </row>
    <row r="74" spans="2:28" x14ac:dyDescent="0.2">
      <c r="T74" s="32" t="s">
        <v>138</v>
      </c>
      <c r="U74" s="50">
        <f>_xlfn.TEXTBEFORE(T74,"k")*1000/(5*(1+_xlfn.TEXTBEFORE(_xlfn.TEXTAFTER(U$2,"+"),"%")/100)*1.25)</f>
        <v>34849.315068493153</v>
      </c>
      <c r="V74" s="46">
        <f t="shared" si="14"/>
        <v>63711.4951164538</v>
      </c>
      <c r="W74" s="22">
        <v>375</v>
      </c>
      <c r="X74" s="12">
        <f t="shared" si="10"/>
        <v>4545</v>
      </c>
      <c r="Y74" s="12">
        <v>0</v>
      </c>
      <c r="Z74" s="12">
        <f t="shared" si="15"/>
        <v>18</v>
      </c>
      <c r="AA74" s="12">
        <v>0</v>
      </c>
      <c r="AB74" s="12">
        <f t="shared" si="16"/>
        <v>125</v>
      </c>
    </row>
    <row r="75" spans="2:28" x14ac:dyDescent="0.2">
      <c r="K75" s="76"/>
      <c r="L75" s="76"/>
      <c r="M75" s="76"/>
      <c r="N75" s="76"/>
      <c r="T75" s="32" t="s">
        <v>139</v>
      </c>
      <c r="U75" s="50">
        <f>_xlfn.TEXTBEFORE(T75,"k")*1000/(5*(1+_xlfn.TEXTBEFORE(_xlfn.TEXTAFTER(U$2,"+"),"%")/100)*1.25)</f>
        <v>36493.150684931505</v>
      </c>
      <c r="V75" s="46">
        <f t="shared" si="14"/>
        <v>66716.754320060107</v>
      </c>
      <c r="W75" s="22">
        <v>0</v>
      </c>
      <c r="X75" s="12">
        <f t="shared" si="10"/>
        <v>4545</v>
      </c>
      <c r="Y75" s="12">
        <v>0</v>
      </c>
      <c r="Z75" s="12">
        <f t="shared" si="15"/>
        <v>18</v>
      </c>
      <c r="AA75" s="12">
        <v>10</v>
      </c>
      <c r="AB75" s="12">
        <f t="shared" si="16"/>
        <v>135</v>
      </c>
    </row>
    <row r="76" spans="2:28" x14ac:dyDescent="0.2">
      <c r="K76" t="s">
        <v>30</v>
      </c>
      <c r="L76" t="s">
        <v>31</v>
      </c>
      <c r="M76" t="s">
        <v>60</v>
      </c>
      <c r="N76" t="s">
        <v>68</v>
      </c>
      <c r="T76" s="32" t="s">
        <v>140</v>
      </c>
      <c r="U76" s="50">
        <f>_xlfn.TEXTBEFORE(T76,"k")*1000/(5*(1+_xlfn.TEXTBEFORE(_xlfn.TEXTAFTER(U$2,"+"),"%")/100)*1.25)</f>
        <v>38191.780821917811</v>
      </c>
      <c r="V76" s="46">
        <f t="shared" si="14"/>
        <v>69822.188830453306</v>
      </c>
      <c r="W76" s="22">
        <v>0</v>
      </c>
      <c r="X76" s="12">
        <f t="shared" si="10"/>
        <v>4545</v>
      </c>
      <c r="Y76" s="12">
        <v>0</v>
      </c>
      <c r="Z76" s="12">
        <f t="shared" si="15"/>
        <v>18</v>
      </c>
      <c r="AA76" s="12">
        <v>0</v>
      </c>
      <c r="AB76" s="12">
        <f t="shared" si="16"/>
        <v>135</v>
      </c>
    </row>
    <row r="77" spans="2:28" x14ac:dyDescent="0.2">
      <c r="K77" t="s">
        <v>0</v>
      </c>
      <c r="L77" s="1">
        <v>0.86960000000000004</v>
      </c>
      <c r="N77">
        <f>L77*M77</f>
        <v>0</v>
      </c>
      <c r="T77" s="32" t="s">
        <v>141</v>
      </c>
      <c r="U77" s="50">
        <f>_xlfn.TEXTBEFORE(T77,"k")*1000/(5*(1+_xlfn.TEXTBEFORE(_xlfn.TEXTAFTER(U$2,"+"),"%")/100)*1.25)</f>
        <v>39890.410958904111</v>
      </c>
      <c r="V77" s="46">
        <f t="shared" si="14"/>
        <v>72927.62334084649</v>
      </c>
      <c r="W77" s="22">
        <v>375</v>
      </c>
      <c r="X77" s="12">
        <f t="shared" si="10"/>
        <v>4920</v>
      </c>
      <c r="Y77" s="12">
        <v>0</v>
      </c>
      <c r="Z77" s="12">
        <f t="shared" si="15"/>
        <v>18</v>
      </c>
      <c r="AA77" s="12">
        <v>0</v>
      </c>
      <c r="AB77" s="12">
        <f t="shared" si="16"/>
        <v>135</v>
      </c>
    </row>
    <row r="78" spans="2:28" x14ac:dyDescent="0.2">
      <c r="K78" t="s">
        <v>1</v>
      </c>
      <c r="L78" s="1">
        <v>0.7248</v>
      </c>
      <c r="N78">
        <f>L78*M78</f>
        <v>0</v>
      </c>
      <c r="T78" s="32" t="s">
        <v>142</v>
      </c>
      <c r="U78" s="50">
        <f>_xlfn.TEXTBEFORE(T78,"k")*1000/(5*(1+_xlfn.TEXTBEFORE(_xlfn.TEXTAFTER(U$2,"+"),"%")/100)*1.25)</f>
        <v>41534.246575342462</v>
      </c>
      <c r="V78" s="46">
        <f t="shared" si="14"/>
        <v>75932.88254445279</v>
      </c>
      <c r="W78" s="22">
        <v>0</v>
      </c>
      <c r="X78" s="12">
        <f t="shared" si="10"/>
        <v>4920</v>
      </c>
      <c r="Y78" s="12">
        <v>0</v>
      </c>
      <c r="Z78" s="12">
        <f t="shared" si="15"/>
        <v>18</v>
      </c>
      <c r="AA78" s="12">
        <v>10</v>
      </c>
      <c r="AB78" s="12">
        <f t="shared" si="16"/>
        <v>145</v>
      </c>
    </row>
    <row r="79" spans="2:28" x14ac:dyDescent="0.2">
      <c r="K79" t="s">
        <v>2</v>
      </c>
      <c r="L79" s="1">
        <v>0.54349999999999998</v>
      </c>
      <c r="M79">
        <v>4</v>
      </c>
      <c r="N79">
        <f>L79*M79</f>
        <v>2.1739999999999999</v>
      </c>
      <c r="T79" s="32" t="s">
        <v>143</v>
      </c>
      <c r="U79" s="50">
        <f>_xlfn.TEXTBEFORE(T79,"k")*1000/(5*(1+_xlfn.TEXTBEFORE(_xlfn.TEXTAFTER(U$2,"+"),"%")/100)*1.25)</f>
        <v>43232.876712328769</v>
      </c>
      <c r="V79" s="46">
        <f t="shared" si="14"/>
        <v>79038.317054845989</v>
      </c>
      <c r="W79" s="22">
        <v>0</v>
      </c>
      <c r="X79" s="12">
        <f t="shared" si="10"/>
        <v>4920</v>
      </c>
      <c r="Y79" s="12">
        <v>3</v>
      </c>
      <c r="Z79" s="12">
        <f t="shared" si="15"/>
        <v>21</v>
      </c>
      <c r="AA79" s="12">
        <v>0</v>
      </c>
      <c r="AB79" s="12">
        <f t="shared" si="16"/>
        <v>145</v>
      </c>
    </row>
    <row r="80" spans="2:28" x14ac:dyDescent="0.2">
      <c r="K80" t="s">
        <v>3</v>
      </c>
      <c r="L80" s="1">
        <v>0.43480000000000002</v>
      </c>
      <c r="M80">
        <v>5</v>
      </c>
      <c r="N80">
        <f>L80*M80</f>
        <v>2.1739999999999999</v>
      </c>
      <c r="T80" s="32" t="s">
        <v>144</v>
      </c>
      <c r="U80" s="50">
        <f>_xlfn.TEXTBEFORE(T80,"k")*1000/(5*(1+_xlfn.TEXTBEFORE(_xlfn.TEXTAFTER(U$2,"+"),"%")/100)*1.25)</f>
        <v>44876.71232876712</v>
      </c>
      <c r="V80" s="46">
        <f t="shared" si="14"/>
        <v>82043.576258452304</v>
      </c>
      <c r="W80" s="22">
        <v>375</v>
      </c>
      <c r="X80" s="12">
        <f t="shared" si="10"/>
        <v>5295</v>
      </c>
      <c r="Y80" s="12">
        <v>0</v>
      </c>
      <c r="Z80" s="12">
        <f t="shared" si="15"/>
        <v>21</v>
      </c>
      <c r="AA80" s="12">
        <v>0</v>
      </c>
      <c r="AB80" s="12">
        <f t="shared" si="16"/>
        <v>145</v>
      </c>
    </row>
    <row r="81" spans="11:28" x14ac:dyDescent="0.2">
      <c r="K81" t="s">
        <v>4</v>
      </c>
      <c r="L81" s="1">
        <v>0.43480000000000002</v>
      </c>
      <c r="M81">
        <v>5</v>
      </c>
      <c r="N81">
        <f>L81*M81</f>
        <v>2.1739999999999999</v>
      </c>
      <c r="T81" s="32" t="s">
        <v>145</v>
      </c>
      <c r="U81" s="50">
        <f>_xlfn.TEXTBEFORE(T81,"k")*1000/(5*(1+_xlfn.TEXTBEFORE(_xlfn.TEXTAFTER(U$2,"+"),"%")/100)*1.25)</f>
        <v>46465.753424657538</v>
      </c>
      <c r="V81" s="46">
        <f t="shared" si="14"/>
        <v>84948.660155271733</v>
      </c>
      <c r="W81" s="22">
        <v>0</v>
      </c>
      <c r="X81" s="12">
        <f t="shared" si="10"/>
        <v>5295</v>
      </c>
      <c r="Y81" s="12">
        <v>0</v>
      </c>
      <c r="Z81" s="12">
        <f t="shared" si="15"/>
        <v>21</v>
      </c>
      <c r="AA81" s="12">
        <v>10</v>
      </c>
      <c r="AB81" s="12">
        <f t="shared" si="16"/>
        <v>155</v>
      </c>
    </row>
    <row r="82" spans="11:28" x14ac:dyDescent="0.2">
      <c r="K82" t="s">
        <v>5</v>
      </c>
      <c r="L82" s="1">
        <v>0.36230000000000001</v>
      </c>
      <c r="M82">
        <v>6</v>
      </c>
      <c r="N82">
        <f>L82*M82</f>
        <v>2.1738</v>
      </c>
      <c r="T82" s="32" t="s">
        <v>146</v>
      </c>
      <c r="U82" s="50">
        <f>_xlfn.TEXTBEFORE(T82,"k")*1000/(5*(1+_xlfn.TEXTBEFORE(_xlfn.TEXTAFTER(U$2,"+"),"%")/100)*1.25)</f>
        <v>48164.383561643837</v>
      </c>
      <c r="V82" s="46">
        <f t="shared" si="14"/>
        <v>88054.094665664918</v>
      </c>
      <c r="W82" s="22">
        <v>375</v>
      </c>
      <c r="X82" s="12">
        <f t="shared" si="10"/>
        <v>5670</v>
      </c>
      <c r="Y82" s="12">
        <v>0</v>
      </c>
      <c r="Z82" s="12">
        <f t="shared" si="15"/>
        <v>21</v>
      </c>
      <c r="AA82" s="12">
        <v>0</v>
      </c>
      <c r="AB82" s="12">
        <f t="shared" si="16"/>
        <v>155</v>
      </c>
    </row>
    <row r="83" spans="11:28" x14ac:dyDescent="0.2">
      <c r="K83" t="s">
        <v>6</v>
      </c>
      <c r="L83" s="1">
        <v>0.36230000000000001</v>
      </c>
      <c r="M83">
        <v>6</v>
      </c>
      <c r="N83">
        <f>L83*M83</f>
        <v>2.1738</v>
      </c>
      <c r="T83" s="32" t="s">
        <v>147</v>
      </c>
      <c r="U83" s="50">
        <f>_xlfn.TEXTBEFORE(T83,"k")*1000/(5*(1+_xlfn.TEXTBEFORE(_xlfn.TEXTAFTER(U$2,"+"),"%")/100)*1.25)</f>
        <v>49863.013698630137</v>
      </c>
      <c r="V83" s="46">
        <f t="shared" si="14"/>
        <v>91159.529176058117</v>
      </c>
      <c r="W83" s="22">
        <v>0</v>
      </c>
      <c r="X83" s="12">
        <f t="shared" si="10"/>
        <v>5670</v>
      </c>
      <c r="Y83" s="12">
        <v>0</v>
      </c>
      <c r="Z83" s="12">
        <f t="shared" si="15"/>
        <v>21</v>
      </c>
      <c r="AA83" s="12">
        <v>10</v>
      </c>
      <c r="AB83" s="12">
        <f t="shared" si="16"/>
        <v>165</v>
      </c>
    </row>
    <row r="84" spans="11:28" x14ac:dyDescent="0.2">
      <c r="K84" t="s">
        <v>7</v>
      </c>
      <c r="L84" s="1">
        <v>0.3105</v>
      </c>
      <c r="M84">
        <v>7</v>
      </c>
      <c r="N84">
        <f>L84*M84</f>
        <v>2.1734999999999998</v>
      </c>
      <c r="T84" s="32" t="s">
        <v>148</v>
      </c>
      <c r="U84" s="50">
        <f>_xlfn.TEXTBEFORE(T84,"k")*1000/(5*(1+_xlfn.TEXTBEFORE(_xlfn.TEXTAFTER(U$2,"+"),"%")/100)*1.25)</f>
        <v>51452.054794520547</v>
      </c>
      <c r="V84" s="46">
        <f t="shared" si="14"/>
        <v>94064.613072877532</v>
      </c>
      <c r="W84" s="22">
        <v>90</v>
      </c>
      <c r="X84" s="12">
        <f t="shared" si="10"/>
        <v>5760</v>
      </c>
      <c r="Y84" s="12">
        <v>0</v>
      </c>
      <c r="Z84" s="12">
        <f t="shared" si="15"/>
        <v>21</v>
      </c>
      <c r="AA84" s="12">
        <v>0</v>
      </c>
      <c r="AB84" s="12">
        <f t="shared" si="16"/>
        <v>165</v>
      </c>
    </row>
    <row r="85" spans="11:28" x14ac:dyDescent="0.2">
      <c r="K85" t="s">
        <v>8</v>
      </c>
      <c r="L85" s="1">
        <v>0.3105</v>
      </c>
      <c r="M85">
        <v>7</v>
      </c>
      <c r="N85">
        <f>L85*M85</f>
        <v>2.1734999999999998</v>
      </c>
      <c r="T85" s="32" t="s">
        <v>149</v>
      </c>
      <c r="U85" s="50">
        <f>_xlfn.TEXTBEFORE(T85,"k")*1000/(5*(1+_xlfn.TEXTBEFORE(_xlfn.TEXTAFTER(U$2,"+"),"%")/100)*1.25)</f>
        <v>53041.095890410958</v>
      </c>
      <c r="V85" s="46">
        <f t="shared" si="14"/>
        <v>96969.696969696975</v>
      </c>
      <c r="W85" s="22">
        <v>0</v>
      </c>
      <c r="X85" s="12">
        <f t="shared" si="10"/>
        <v>5760</v>
      </c>
      <c r="Y85" s="12">
        <v>0</v>
      </c>
      <c r="Z85" s="12">
        <f t="shared" si="15"/>
        <v>21</v>
      </c>
      <c r="AA85" s="12">
        <v>5</v>
      </c>
      <c r="AB85" s="12">
        <f t="shared" si="16"/>
        <v>170</v>
      </c>
    </row>
    <row r="86" spans="11:28" x14ac:dyDescent="0.2">
      <c r="K86" t="s">
        <v>9</v>
      </c>
      <c r="L86" s="1">
        <v>0.27179999999999999</v>
      </c>
      <c r="M86">
        <v>8</v>
      </c>
      <c r="N86">
        <f>L86*M86</f>
        <v>2.1743999999999999</v>
      </c>
      <c r="T86" s="32" t="s">
        <v>150</v>
      </c>
      <c r="U86" s="50">
        <f>_xlfn.TEXTBEFORE(T86,"k")*1000/(5*(1+_xlfn.TEXTBEFORE(_xlfn.TEXTAFTER(U$2,"+"),"%")/100)*1.25)</f>
        <v>54630.136986301368</v>
      </c>
      <c r="V86" s="46">
        <f t="shared" si="14"/>
        <v>99874.780866516405</v>
      </c>
      <c r="W86" s="22">
        <v>0</v>
      </c>
      <c r="X86" s="12">
        <f t="shared" si="10"/>
        <v>5760</v>
      </c>
      <c r="Y86" s="12">
        <v>2</v>
      </c>
      <c r="Z86" s="12">
        <f t="shared" si="15"/>
        <v>23</v>
      </c>
      <c r="AA86" s="12">
        <v>0</v>
      </c>
      <c r="AB86" s="12">
        <f t="shared" si="16"/>
        <v>170</v>
      </c>
    </row>
    <row r="87" spans="11:28" x14ac:dyDescent="0.2">
      <c r="K87" t="s">
        <v>10</v>
      </c>
      <c r="L87" s="1">
        <v>0.27179999999999999</v>
      </c>
      <c r="M87">
        <v>8</v>
      </c>
      <c r="N87">
        <f>L87*M87</f>
        <v>2.1743999999999999</v>
      </c>
      <c r="T87" s="32" t="s">
        <v>151</v>
      </c>
      <c r="U87" s="50">
        <f>_xlfn.TEXTBEFORE(T87,"k")*1000/(5*(1+_xlfn.TEXTBEFORE(_xlfn.TEXTAFTER(U$2,"+"),"%")/100)*1.25)</f>
        <v>55890.410958904111</v>
      </c>
      <c r="V87" s="46">
        <f t="shared" si="14"/>
        <v>102178.81292261458</v>
      </c>
      <c r="W87" s="22">
        <v>0</v>
      </c>
      <c r="X87" s="12">
        <f t="shared" si="10"/>
        <v>5760</v>
      </c>
      <c r="Y87" s="12">
        <v>0</v>
      </c>
      <c r="Z87" s="12">
        <f t="shared" si="15"/>
        <v>23</v>
      </c>
      <c r="AA87" s="12">
        <v>0</v>
      </c>
      <c r="AB87" s="12">
        <f t="shared" si="16"/>
        <v>170</v>
      </c>
    </row>
    <row r="88" spans="11:28" x14ac:dyDescent="0.2">
      <c r="K88" t="s">
        <v>11</v>
      </c>
      <c r="L88" s="1">
        <v>0.26100000000000001</v>
      </c>
      <c r="N88">
        <f>L88*M88</f>
        <v>0</v>
      </c>
      <c r="T88" s="32" t="s">
        <v>152</v>
      </c>
      <c r="U88" s="50">
        <f>_xlfn.TEXTBEFORE(T88,"k")*1000/(5*(1+_xlfn.TEXTBEFORE(_xlfn.TEXTAFTER(U$2,"+"),"%")/100)*1.25)</f>
        <v>57534.246575342462</v>
      </c>
      <c r="V88" s="46">
        <f t="shared" si="14"/>
        <v>105184.0721262209</v>
      </c>
      <c r="W88" s="22">
        <v>0</v>
      </c>
      <c r="X88" s="12">
        <f t="shared" si="10"/>
        <v>5760</v>
      </c>
      <c r="Y88" s="12">
        <v>0</v>
      </c>
      <c r="Z88" s="12">
        <f t="shared" si="15"/>
        <v>23</v>
      </c>
      <c r="AA88" s="12">
        <v>0</v>
      </c>
      <c r="AB88" s="12">
        <f t="shared" si="16"/>
        <v>170</v>
      </c>
    </row>
    <row r="89" spans="11:28" x14ac:dyDescent="0.2">
      <c r="K89" t="s">
        <v>12</v>
      </c>
      <c r="L89" s="1">
        <v>0.26100000000000001</v>
      </c>
      <c r="N89">
        <f>L89*M89</f>
        <v>0</v>
      </c>
      <c r="T89" s="32" t="s">
        <v>153</v>
      </c>
      <c r="U89" s="50">
        <f>_xlfn.TEXTBEFORE(T89,"k")*1000/(5*(1+_xlfn.TEXTBEFORE(_xlfn.TEXTAFTER(U$2,"+"),"%")/100)*1.25)</f>
        <v>59178.082191780821</v>
      </c>
      <c r="V89" s="46">
        <f t="shared" si="14"/>
        <v>108189.33132982721</v>
      </c>
      <c r="W89" s="22">
        <v>90</v>
      </c>
      <c r="X89" s="12">
        <f t="shared" si="10"/>
        <v>5850</v>
      </c>
      <c r="Y89" s="12">
        <v>0</v>
      </c>
      <c r="Z89" s="12">
        <f t="shared" si="15"/>
        <v>23</v>
      </c>
      <c r="AA89" s="12">
        <v>0</v>
      </c>
      <c r="AB89" s="12">
        <f t="shared" si="16"/>
        <v>170</v>
      </c>
    </row>
    <row r="90" spans="11:28" x14ac:dyDescent="0.2">
      <c r="K90" t="s">
        <v>13</v>
      </c>
      <c r="L90" s="1">
        <v>0.2175</v>
      </c>
      <c r="M90">
        <v>15</v>
      </c>
      <c r="N90">
        <f>L90*M90</f>
        <v>3.2625000000000002</v>
      </c>
      <c r="T90" s="32" t="s">
        <v>168</v>
      </c>
      <c r="U90" s="50">
        <f>_xlfn.TEXTBEFORE(T90,"k")*1000/(5*(1+_xlfn.TEXTBEFORE(_xlfn.TEXTAFTER(U$2,"+"),"%")/100)*1.25)</f>
        <v>60821.917808219179</v>
      </c>
      <c r="V90" s="46">
        <f t="shared" si="14"/>
        <v>111194.59053343351</v>
      </c>
      <c r="W90" s="22">
        <v>0</v>
      </c>
      <c r="X90" s="12">
        <f t="shared" si="10"/>
        <v>5850</v>
      </c>
      <c r="Y90" s="12">
        <v>0</v>
      </c>
      <c r="Z90" s="12">
        <f t="shared" si="15"/>
        <v>23</v>
      </c>
      <c r="AA90" s="12">
        <v>5</v>
      </c>
      <c r="AB90" s="12">
        <f t="shared" si="16"/>
        <v>175</v>
      </c>
    </row>
    <row r="91" spans="11:28" x14ac:dyDescent="0.2">
      <c r="K91" t="s">
        <v>14</v>
      </c>
      <c r="L91" s="1">
        <v>0.2175</v>
      </c>
      <c r="M91">
        <v>15</v>
      </c>
      <c r="N91">
        <f>L91*M91</f>
        <v>3.2625000000000002</v>
      </c>
      <c r="T91" s="32" t="s">
        <v>154</v>
      </c>
      <c r="U91" s="50">
        <f>_xlfn.TEXTBEFORE(T91,"k")*1000/(5*(1+_xlfn.TEXTBEFORE(_xlfn.TEXTAFTER(U$2,"+"),"%")/100)*1.25)</f>
        <v>61917.808219178085</v>
      </c>
      <c r="V91" s="46">
        <f t="shared" si="14"/>
        <v>113198.09666917106</v>
      </c>
      <c r="W91" s="22">
        <v>0</v>
      </c>
      <c r="X91" s="12">
        <f t="shared" si="10"/>
        <v>5850</v>
      </c>
      <c r="Y91" s="12">
        <v>2</v>
      </c>
      <c r="Z91" s="12">
        <f t="shared" si="15"/>
        <v>25</v>
      </c>
      <c r="AA91" s="12">
        <v>0</v>
      </c>
      <c r="AB91" s="12">
        <f t="shared" si="16"/>
        <v>175</v>
      </c>
    </row>
    <row r="92" spans="11:28" x14ac:dyDescent="0.2">
      <c r="K92" t="s">
        <v>15</v>
      </c>
      <c r="L92" s="1">
        <v>0.16980000000000001</v>
      </c>
      <c r="M92">
        <v>20</v>
      </c>
      <c r="N92">
        <f>L92*M92</f>
        <v>3.3959999999999999</v>
      </c>
      <c r="T92" s="32" t="s">
        <v>155</v>
      </c>
      <c r="U92" s="50">
        <f>_xlfn.TEXTBEFORE(T92,"k")*1000/(5*(1+_xlfn.TEXTBEFORE(_xlfn.TEXTAFTER(U$2,"+"),"%")/100)*1.25)</f>
        <v>63561.643835616436</v>
      </c>
      <c r="V92" s="46">
        <f t="shared" si="14"/>
        <v>116203.35587277735</v>
      </c>
      <c r="W92" s="22">
        <v>105</v>
      </c>
      <c r="X92" s="12">
        <f t="shared" si="10"/>
        <v>5955</v>
      </c>
      <c r="Y92" s="12">
        <v>0</v>
      </c>
      <c r="Z92" s="12">
        <f t="shared" si="15"/>
        <v>25</v>
      </c>
      <c r="AA92" s="12">
        <v>0</v>
      </c>
      <c r="AB92" s="12">
        <f t="shared" si="16"/>
        <v>175</v>
      </c>
    </row>
    <row r="93" spans="11:28" x14ac:dyDescent="0.2">
      <c r="K93" t="s">
        <v>16</v>
      </c>
      <c r="L93" s="1">
        <v>0.16980000000000001</v>
      </c>
      <c r="M93">
        <v>20</v>
      </c>
      <c r="N93">
        <f>L93*M93</f>
        <v>3.3959999999999999</v>
      </c>
      <c r="T93" s="32" t="s">
        <v>156</v>
      </c>
      <c r="U93" s="50">
        <f>_xlfn.TEXTBEFORE(T93,"k")*1000/(5*(1+_xlfn.TEXTBEFORE(_xlfn.TEXTAFTER(U$2,"+"),"%")/100)*1.25)</f>
        <v>65205.479452054795</v>
      </c>
      <c r="V93" s="46">
        <f t="shared" si="14"/>
        <v>119208.61507638368</v>
      </c>
      <c r="W93" s="22">
        <v>0</v>
      </c>
      <c r="X93" s="12">
        <f t="shared" si="10"/>
        <v>5955</v>
      </c>
      <c r="Y93" s="12">
        <v>0</v>
      </c>
      <c r="Z93" s="12">
        <f t="shared" si="15"/>
        <v>25</v>
      </c>
      <c r="AA93" s="12">
        <v>5</v>
      </c>
      <c r="AB93" s="12">
        <f t="shared" si="16"/>
        <v>180</v>
      </c>
    </row>
    <row r="94" spans="11:28" x14ac:dyDescent="0.2">
      <c r="K94" t="s">
        <v>17</v>
      </c>
      <c r="L94" s="1">
        <v>0.15160000000000001</v>
      </c>
      <c r="M94">
        <v>25</v>
      </c>
      <c r="N94">
        <f>L94*M94</f>
        <v>3.7900000000000005</v>
      </c>
      <c r="T94" s="32" t="s">
        <v>157</v>
      </c>
      <c r="U94" s="50">
        <f>_xlfn.TEXTBEFORE(T94,"k")*1000/(5*(1+_xlfn.TEXTBEFORE(_xlfn.TEXTAFTER(U$2,"+"),"%")/100)*1.25)</f>
        <v>66849.315068493146</v>
      </c>
      <c r="V94" s="46">
        <f t="shared" si="14"/>
        <v>122213.87427998998</v>
      </c>
      <c r="W94" s="22">
        <v>0</v>
      </c>
      <c r="X94" s="12">
        <f t="shared" si="10"/>
        <v>5955</v>
      </c>
      <c r="Y94" s="12">
        <v>2</v>
      </c>
      <c r="Z94" s="12">
        <f t="shared" si="15"/>
        <v>27</v>
      </c>
      <c r="AA94" s="12">
        <v>0</v>
      </c>
      <c r="AB94" s="12">
        <f t="shared" si="16"/>
        <v>180</v>
      </c>
    </row>
    <row r="95" spans="11:28" x14ac:dyDescent="0.2">
      <c r="K95" t="s">
        <v>18</v>
      </c>
      <c r="L95" s="1">
        <v>0.15160000000000001</v>
      </c>
      <c r="M95">
        <v>25</v>
      </c>
      <c r="N95">
        <f>L95*M95</f>
        <v>3.7900000000000005</v>
      </c>
      <c r="T95" s="32" t="s">
        <v>158</v>
      </c>
      <c r="U95" s="50">
        <f>_xlfn.TEXTBEFORE(T95,"k")*1000/(5*(1+_xlfn.TEXTBEFORE(_xlfn.TEXTAFTER(U$2,"+"),"%")/100)*1.25)</f>
        <v>68493.150684931505</v>
      </c>
      <c r="V95" s="46">
        <f t="shared" si="14"/>
        <v>125219.13348359631</v>
      </c>
      <c r="W95" s="22">
        <v>105</v>
      </c>
      <c r="X95" s="12">
        <f t="shared" si="10"/>
        <v>6060</v>
      </c>
      <c r="Y95" s="12">
        <v>0</v>
      </c>
      <c r="Z95" s="12">
        <f t="shared" si="15"/>
        <v>27</v>
      </c>
      <c r="AA95" s="12">
        <v>0</v>
      </c>
      <c r="AB95" s="12">
        <f t="shared" si="16"/>
        <v>180</v>
      </c>
    </row>
    <row r="96" spans="11:28" x14ac:dyDescent="0.2">
      <c r="K96" t="s">
        <v>19</v>
      </c>
      <c r="L96" s="1">
        <v>0.12809999999999999</v>
      </c>
      <c r="M96">
        <v>30</v>
      </c>
      <c r="N96">
        <f>L96*M96</f>
        <v>3.843</v>
      </c>
      <c r="T96" s="32" t="s">
        <v>159</v>
      </c>
      <c r="U96" s="50">
        <f>_xlfn.TEXTBEFORE(T96,"k")*1000/(5*(1+_xlfn.TEXTBEFORE(_xlfn.TEXTAFTER(U$2,"+"),"%")/100)*1.25)</f>
        <v>70136.986301369863</v>
      </c>
      <c r="V96" s="46">
        <f t="shared" si="14"/>
        <v>128224.39268720261</v>
      </c>
      <c r="W96" s="22">
        <v>0</v>
      </c>
      <c r="X96" s="12">
        <f t="shared" si="10"/>
        <v>6060</v>
      </c>
      <c r="Y96" s="12">
        <v>0</v>
      </c>
      <c r="Z96" s="12">
        <f t="shared" si="15"/>
        <v>27</v>
      </c>
      <c r="AA96" s="12">
        <v>5</v>
      </c>
      <c r="AB96" s="12">
        <f t="shared" si="16"/>
        <v>185</v>
      </c>
    </row>
    <row r="97" spans="11:28" x14ac:dyDescent="0.2">
      <c r="K97" t="s">
        <v>20</v>
      </c>
      <c r="L97" s="1">
        <v>0.12809999999999999</v>
      </c>
      <c r="M97">
        <v>30</v>
      </c>
      <c r="N97">
        <f>L97*M97</f>
        <v>3.843</v>
      </c>
      <c r="T97" s="32" t="s">
        <v>160</v>
      </c>
      <c r="U97" s="50">
        <f>_xlfn.TEXTBEFORE(T97,"k")*1000/(5*(1+_xlfn.TEXTBEFORE(_xlfn.TEXTAFTER(U$2,"+"),"%")/100)*1.25)</f>
        <v>71780.821917808222</v>
      </c>
      <c r="V97" s="46">
        <f t="shared" si="14"/>
        <v>131229.65189080892</v>
      </c>
      <c r="W97" s="22">
        <v>0</v>
      </c>
      <c r="X97" s="12">
        <f t="shared" si="10"/>
        <v>6060</v>
      </c>
      <c r="Y97" s="12">
        <v>2</v>
      </c>
      <c r="Z97" s="12">
        <f t="shared" si="15"/>
        <v>29</v>
      </c>
      <c r="AA97" s="12">
        <v>0</v>
      </c>
      <c r="AB97" s="12">
        <f t="shared" si="16"/>
        <v>185</v>
      </c>
    </row>
    <row r="98" spans="11:28" x14ac:dyDescent="0.2">
      <c r="K98" t="s">
        <v>21</v>
      </c>
      <c r="L98" s="1">
        <v>8.8800000000000004E-2</v>
      </c>
      <c r="M98">
        <v>45</v>
      </c>
      <c r="N98">
        <f>L98*M98</f>
        <v>3.996</v>
      </c>
      <c r="T98" s="32" t="s">
        <v>161</v>
      </c>
      <c r="U98" s="50">
        <f>_xlfn.TEXTBEFORE(T98,"k")*1000/(5*(1+_xlfn.TEXTBEFORE(_xlfn.TEXTAFTER(U$2,"+"),"%")/100)*1.25)</f>
        <v>72876.712328767127</v>
      </c>
      <c r="V98" s="46">
        <f t="shared" si="14"/>
        <v>133233.15802654644</v>
      </c>
      <c r="W98" s="22">
        <v>105</v>
      </c>
      <c r="X98" s="12">
        <f t="shared" si="10"/>
        <v>6165</v>
      </c>
      <c r="Y98" s="12">
        <v>0</v>
      </c>
      <c r="Z98" s="12">
        <f t="shared" si="15"/>
        <v>29</v>
      </c>
      <c r="AA98" s="12">
        <v>0</v>
      </c>
      <c r="AB98" s="12">
        <f t="shared" si="16"/>
        <v>185</v>
      </c>
    </row>
    <row r="99" spans="11:28" x14ac:dyDescent="0.2">
      <c r="K99" t="s">
        <v>22</v>
      </c>
      <c r="L99" s="1">
        <v>8.8800000000000004E-2</v>
      </c>
      <c r="M99">
        <v>45</v>
      </c>
      <c r="N99">
        <f>L99*M99</f>
        <v>3.996</v>
      </c>
      <c r="T99" s="32" t="s">
        <v>162</v>
      </c>
      <c r="U99" s="50">
        <f>_xlfn.TEXTBEFORE(T99,"k")*1000/(5*(1+_xlfn.TEXTBEFORE(_xlfn.TEXTAFTER(U$2,"+"),"%")/100)*1.25)</f>
        <v>74520.547945205486</v>
      </c>
      <c r="V99" s="46">
        <f t="shared" si="14"/>
        <v>136238.41723015279</v>
      </c>
      <c r="W99" s="22">
        <v>0</v>
      </c>
      <c r="X99" s="12">
        <f t="shared" si="10"/>
        <v>6165</v>
      </c>
      <c r="Y99" s="12">
        <v>0</v>
      </c>
      <c r="Z99" s="12">
        <f t="shared" si="15"/>
        <v>29</v>
      </c>
      <c r="AA99" s="12">
        <v>5</v>
      </c>
      <c r="AB99" s="12">
        <f t="shared" si="16"/>
        <v>190</v>
      </c>
    </row>
    <row r="100" spans="11:28" x14ac:dyDescent="0.2">
      <c r="K100" t="s">
        <v>23</v>
      </c>
      <c r="L100" s="1">
        <v>4.1500000000000002E-2</v>
      </c>
      <c r="M100">
        <v>100</v>
      </c>
      <c r="N100">
        <f>L100*M100</f>
        <v>4.1500000000000004</v>
      </c>
      <c r="T100" s="32" t="s">
        <v>163</v>
      </c>
      <c r="U100" s="50">
        <f>_xlfn.TEXTBEFORE(T100,"k")*1000/(5*(1+_xlfn.TEXTBEFORE(_xlfn.TEXTAFTER(U$2,"+"),"%")/100)*1.25)</f>
        <v>76164.38356164383</v>
      </c>
      <c r="V100" s="46">
        <f t="shared" si="14"/>
        <v>139243.67643375907</v>
      </c>
      <c r="W100" s="22">
        <v>0</v>
      </c>
      <c r="X100" s="12">
        <f t="shared" si="10"/>
        <v>6165</v>
      </c>
      <c r="Y100" s="12">
        <v>2</v>
      </c>
      <c r="Z100" s="12">
        <f t="shared" si="15"/>
        <v>31</v>
      </c>
      <c r="AA100" s="12">
        <v>0</v>
      </c>
      <c r="AB100" s="12">
        <f t="shared" si="16"/>
        <v>190</v>
      </c>
    </row>
    <row r="101" spans="11:28" x14ac:dyDescent="0.2">
      <c r="K101" t="s">
        <v>32</v>
      </c>
      <c r="L101" s="1">
        <v>3.7499999999999999E-2</v>
      </c>
      <c r="M101">
        <v>150</v>
      </c>
      <c r="N101">
        <f>L101*M101</f>
        <v>5.625</v>
      </c>
      <c r="T101" s="32" t="s">
        <v>164</v>
      </c>
      <c r="U101" s="50">
        <f>_xlfn.TEXTBEFORE(T101,"k")*1000/(5*(1+_xlfn.TEXTBEFORE(_xlfn.TEXTAFTER(U$2,"+"),"%")/100)*1.25)</f>
        <v>77808.219178082189</v>
      </c>
      <c r="V101" s="46">
        <f>_xlfn.TEXTBEFORE(T101,"k")*1000/5/(1+_xlfn.TEXTBEFORE(_xlfn.TEXTAFTER(V$2,"+"),"%")/100)/2/1.25/0.22</f>
        <v>142248.93563736542</v>
      </c>
      <c r="W101" s="22">
        <v>105</v>
      </c>
      <c r="X101" s="12">
        <f t="shared" si="10"/>
        <v>6270</v>
      </c>
      <c r="Y101" s="12">
        <v>0</v>
      </c>
      <c r="Z101" s="12">
        <f t="shared" si="15"/>
        <v>31</v>
      </c>
      <c r="AA101" s="12">
        <v>0</v>
      </c>
      <c r="AB101" s="12">
        <f t="shared" si="16"/>
        <v>190</v>
      </c>
    </row>
    <row r="102" spans="11:28" ht="15.75" thickBot="1" x14ac:dyDescent="0.25">
      <c r="K102" t="s">
        <v>24</v>
      </c>
      <c r="L102" s="1">
        <v>3.3500000000000002E-2</v>
      </c>
      <c r="M102">
        <v>200</v>
      </c>
      <c r="N102">
        <f>L102*M102</f>
        <v>6.7</v>
      </c>
      <c r="T102" s="28" t="s">
        <v>165</v>
      </c>
      <c r="U102" s="50">
        <f>_xlfn.TEXTBEFORE(T102,"k")*1000/(5*(1+_xlfn.TEXTBEFORE(_xlfn.TEXTAFTER(U$2,"+"),"%")/100)*1.25)</f>
        <v>79452.054794520547</v>
      </c>
      <c r="V102" s="47">
        <f>_xlfn.TEXTBEFORE(T102,"k")*1000/5/(1+_xlfn.TEXTBEFORE(_xlfn.TEXTAFTER(V$2,"+"),"%")/100)/2/1.25/0.22</f>
        <v>145254.1948409717</v>
      </c>
      <c r="W102" s="24">
        <v>0</v>
      </c>
      <c r="X102" s="12">
        <f t="shared" si="10"/>
        <v>6270</v>
      </c>
      <c r="Y102" s="25">
        <v>0</v>
      </c>
      <c r="Z102" s="12">
        <f t="shared" si="15"/>
        <v>31</v>
      </c>
      <c r="AA102" s="25">
        <v>0</v>
      </c>
      <c r="AB102" s="12">
        <f t="shared" si="16"/>
        <v>190</v>
      </c>
    </row>
    <row r="103" spans="11:28" x14ac:dyDescent="0.2">
      <c r="K103" t="s">
        <v>25</v>
      </c>
      <c r="L103" s="1">
        <v>2.9499999999999998E-2</v>
      </c>
      <c r="M103">
        <v>300</v>
      </c>
      <c r="N103">
        <f>L103*M103</f>
        <v>8.85</v>
      </c>
    </row>
    <row r="104" spans="11:28" x14ac:dyDescent="0.2">
      <c r="K104" t="s">
        <v>26</v>
      </c>
      <c r="L104" s="1">
        <v>2.5000000000000001E-2</v>
      </c>
      <c r="M104">
        <v>500</v>
      </c>
      <c r="N104">
        <f>L104*M104</f>
        <v>12.5</v>
      </c>
    </row>
    <row r="105" spans="11:28" x14ac:dyDescent="0.2">
      <c r="K105" t="s">
        <v>27</v>
      </c>
      <c r="L105" s="1">
        <v>2.0500000000000001E-2</v>
      </c>
      <c r="M105">
        <v>700</v>
      </c>
      <c r="N105">
        <f>L105*M105</f>
        <v>14.350000000000001</v>
      </c>
    </row>
    <row r="106" spans="11:28" x14ac:dyDescent="0.2">
      <c r="K106" t="s">
        <v>28</v>
      </c>
      <c r="L106" s="1">
        <v>1.6500000000000001E-2</v>
      </c>
      <c r="M106">
        <v>1000</v>
      </c>
      <c r="N106">
        <f>L106*M106</f>
        <v>16.5</v>
      </c>
    </row>
    <row r="107" spans="11:28" x14ac:dyDescent="0.2">
      <c r="K107" t="s">
        <v>29</v>
      </c>
      <c r="L107" s="1">
        <v>1.2500000000000001E-2</v>
      </c>
      <c r="M107">
        <v>1500</v>
      </c>
      <c r="N107">
        <f>L107*M107</f>
        <v>18.75</v>
      </c>
    </row>
    <row r="119" spans="15:15" x14ac:dyDescent="0.2">
      <c r="O119">
        <f>25000000/17.65/1.1</f>
        <v>1287664.1771825908</v>
      </c>
    </row>
  </sheetData>
  <mergeCells count="4">
    <mergeCell ref="K1:R1"/>
    <mergeCell ref="B1:I1"/>
    <mergeCell ref="T1:AB1"/>
    <mergeCell ref="K75:N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2770-128D-974A-9392-43FC6288388B}">
  <dimension ref="A1:P1010"/>
  <sheetViews>
    <sheetView tabSelected="1" topLeftCell="D1" zoomScaleNormal="150" zoomScaleSheetLayoutView="100" workbookViewId="0">
      <selection activeCell="N34" sqref="N34"/>
    </sheetView>
  </sheetViews>
  <sheetFormatPr defaultRowHeight="15" x14ac:dyDescent="0.2"/>
  <cols>
    <col min="8" max="8" width="7.53125" bestFit="1" customWidth="1"/>
    <col min="9" max="9" width="7.12890625" customWidth="1"/>
    <col min="10" max="10" width="7.3984375" style="80" bestFit="1" customWidth="1"/>
    <col min="11" max="11" width="10.0859375" customWidth="1"/>
    <col min="12" max="12" width="8.203125" customWidth="1"/>
    <col min="15" max="15" width="8.7421875" bestFit="1" customWidth="1"/>
  </cols>
  <sheetData>
    <row r="1" spans="1:16" x14ac:dyDescent="0.2">
      <c r="A1" s="27" t="s">
        <v>30</v>
      </c>
      <c r="B1" s="27" t="s">
        <v>31</v>
      </c>
      <c r="C1" s="27" t="s">
        <v>60</v>
      </c>
      <c r="D1" s="27" t="s">
        <v>68</v>
      </c>
      <c r="F1" s="27" t="s">
        <v>30</v>
      </c>
      <c r="G1" s="62" t="s">
        <v>216</v>
      </c>
      <c r="H1" s="27" t="s">
        <v>31</v>
      </c>
      <c r="I1" s="27" t="s">
        <v>60</v>
      </c>
      <c r="J1" s="77" t="s">
        <v>68</v>
      </c>
      <c r="K1" s="27" t="s">
        <v>215</v>
      </c>
      <c r="L1" s="27" t="s">
        <v>53</v>
      </c>
    </row>
    <row r="2" spans="1:16" x14ac:dyDescent="0.2">
      <c r="A2" s="27" t="s">
        <v>0</v>
      </c>
      <c r="B2" s="61">
        <v>0.86960000000000004</v>
      </c>
      <c r="C2" s="12">
        <v>2</v>
      </c>
      <c r="D2" s="12">
        <f>B2*C2</f>
        <v>1.7392000000000001</v>
      </c>
      <c r="F2" s="63" t="s">
        <v>0</v>
      </c>
      <c r="G2" s="62">
        <v>1</v>
      </c>
      <c r="H2" s="61">
        <f>VLOOKUP(F2,A2:D32,2,0)</f>
        <v>0.86960000000000004</v>
      </c>
      <c r="I2" s="12">
        <f>VLOOKUP(F2,A2:D32,3,0)</f>
        <v>2</v>
      </c>
      <c r="J2" s="78">
        <f>I2*H2</f>
        <v>1.7392000000000001</v>
      </c>
      <c r="K2" s="12">
        <f>I2^2*H2-J2^2</f>
        <v>0.4535833600000001</v>
      </c>
      <c r="L2" s="12">
        <f>K2^(1/2)</f>
        <v>0.67348597609749838</v>
      </c>
      <c r="N2" s="27"/>
      <c r="O2" s="27" t="s">
        <v>223</v>
      </c>
      <c r="P2" t="s">
        <v>225</v>
      </c>
    </row>
    <row r="3" spans="1:16" x14ac:dyDescent="0.2">
      <c r="A3" s="27" t="s">
        <v>1</v>
      </c>
      <c r="B3" s="61">
        <v>0.7248</v>
      </c>
      <c r="C3" s="12">
        <v>3</v>
      </c>
      <c r="D3" s="12">
        <f>B3*C3</f>
        <v>2.1743999999999999</v>
      </c>
      <c r="G3" s="27">
        <v>2</v>
      </c>
      <c r="H3" s="61">
        <f>H2*1.02</f>
        <v>0.886992</v>
      </c>
      <c r="I3" s="12">
        <f>I2</f>
        <v>2</v>
      </c>
      <c r="J3" s="78">
        <f t="shared" ref="J3:J5" si="0">I3*H3</f>
        <v>1.773984</v>
      </c>
      <c r="K3" s="12">
        <f t="shared" ref="K3:K5" si="1">I3^2*H3-J3^2</f>
        <v>0.40094876774400001</v>
      </c>
      <c r="L3" s="12">
        <f t="shared" ref="L3:L5" si="2">K3^(1/2)</f>
        <v>0.63320515454629711</v>
      </c>
      <c r="N3" s="27" t="s">
        <v>219</v>
      </c>
      <c r="O3" s="12">
        <v>1000</v>
      </c>
    </row>
    <row r="4" spans="1:16" x14ac:dyDescent="0.2">
      <c r="A4" s="27" t="s">
        <v>2</v>
      </c>
      <c r="B4" s="61">
        <v>0.54349999999999998</v>
      </c>
      <c r="C4" s="12">
        <v>4</v>
      </c>
      <c r="D4" s="12">
        <f>B4*C4</f>
        <v>2.1739999999999999</v>
      </c>
      <c r="G4" s="27">
        <v>3</v>
      </c>
      <c r="H4" s="61">
        <f>H2*1.05</f>
        <v>0.91308000000000011</v>
      </c>
      <c r="I4" s="12">
        <f t="shared" ref="I4:I5" si="3">I3</f>
        <v>2</v>
      </c>
      <c r="J4" s="78">
        <f t="shared" si="0"/>
        <v>1.8261600000000002</v>
      </c>
      <c r="K4" s="12">
        <f t="shared" si="1"/>
        <v>0.31745965439999946</v>
      </c>
      <c r="L4" s="12">
        <f t="shared" si="2"/>
        <v>0.56343558141104244</v>
      </c>
      <c r="N4" s="27" t="s">
        <v>221</v>
      </c>
      <c r="O4" s="12">
        <f ca="1">SUM(H11:H1010)</f>
        <v>955</v>
      </c>
    </row>
    <row r="5" spans="1:16" x14ac:dyDescent="0.2">
      <c r="A5" s="27" t="s">
        <v>3</v>
      </c>
      <c r="B5" s="61">
        <v>0.43480000000000002</v>
      </c>
      <c r="C5" s="12">
        <v>5</v>
      </c>
      <c r="D5" s="12">
        <f>B5*C5</f>
        <v>2.1739999999999999</v>
      </c>
      <c r="G5" s="64">
        <v>4</v>
      </c>
      <c r="H5" s="65">
        <f>H2*1.1</f>
        <v>0.95656000000000008</v>
      </c>
      <c r="I5" s="66">
        <f t="shared" si="3"/>
        <v>2</v>
      </c>
      <c r="J5" s="79">
        <f t="shared" si="0"/>
        <v>1.9131200000000002</v>
      </c>
      <c r="K5" s="66">
        <f t="shared" si="1"/>
        <v>0.16621186559999979</v>
      </c>
      <c r="L5" s="66">
        <f t="shared" si="2"/>
        <v>0.40769089467389358</v>
      </c>
      <c r="N5" s="27" t="s">
        <v>222</v>
      </c>
      <c r="O5" s="61">
        <f ca="1">O4/O3</f>
        <v>0.95499999999999996</v>
      </c>
    </row>
    <row r="6" spans="1:16" x14ac:dyDescent="0.2">
      <c r="A6" s="27" t="s">
        <v>4</v>
      </c>
      <c r="B6" s="61">
        <v>0.43480000000000002</v>
      </c>
      <c r="C6" s="12">
        <v>5</v>
      </c>
      <c r="D6" s="12">
        <f>B6*C6</f>
        <v>2.1739999999999999</v>
      </c>
      <c r="G6" s="27" t="s">
        <v>217</v>
      </c>
      <c r="H6" s="27" t="s">
        <v>31</v>
      </c>
      <c r="I6" s="27" t="s">
        <v>60</v>
      </c>
      <c r="J6" s="77" t="s">
        <v>68</v>
      </c>
      <c r="K6" s="27" t="s">
        <v>215</v>
      </c>
      <c r="L6" s="27" t="s">
        <v>53</v>
      </c>
      <c r="N6" s="27" t="s">
        <v>224</v>
      </c>
      <c r="O6" s="12">
        <f ca="1">(O4-O3*H7)/(L7*(O3^(0.5)))</f>
        <v>-0.12100228909475207</v>
      </c>
    </row>
    <row r="7" spans="1:16" x14ac:dyDescent="0.2">
      <c r="A7" s="27" t="s">
        <v>5</v>
      </c>
      <c r="B7" s="61">
        <v>0.36230000000000001</v>
      </c>
      <c r="C7" s="12">
        <v>6</v>
      </c>
      <c r="D7" s="12">
        <f>B7*C7</f>
        <v>2.1738</v>
      </c>
      <c r="G7" s="63">
        <v>4</v>
      </c>
      <c r="H7" s="61">
        <f>INDEX($H2:$L5,MATCH($G7,$G2:$G5,0),MATCH(H6,$H1:$L1,0))</f>
        <v>0.95656000000000008</v>
      </c>
      <c r="I7" s="12">
        <f t="shared" ref="I7:L7" si="4">INDEX($H2:$L5,MATCH($G7,$G2:$G5,0),MATCH(I6,$H1:$L1,0))</f>
        <v>2</v>
      </c>
      <c r="J7" s="78">
        <f t="shared" si="4"/>
        <v>1.9131200000000002</v>
      </c>
      <c r="K7" s="12">
        <f t="shared" si="4"/>
        <v>0.16621186559999979</v>
      </c>
      <c r="L7" s="12">
        <f t="shared" si="4"/>
        <v>0.40769089467389358</v>
      </c>
      <c r="N7" s="27" t="str">
        <f ca="1">"P(X&gt;="&amp;O4&amp;")"</f>
        <v>P(X&gt;=955)</v>
      </c>
      <c r="O7" s="12">
        <f ca="1">_xlfn.NORM.S.DIST(O6,TRUE)</f>
        <v>0.45184461104172996</v>
      </c>
    </row>
    <row r="8" spans="1:16" x14ac:dyDescent="0.2">
      <c r="A8" s="27" t="s">
        <v>6</v>
      </c>
      <c r="B8" s="61">
        <v>0.36230000000000001</v>
      </c>
      <c r="C8" s="12">
        <v>6</v>
      </c>
      <c r="D8" s="12">
        <f>B8*C8</f>
        <v>2.1738</v>
      </c>
    </row>
    <row r="9" spans="1:16" x14ac:dyDescent="0.2">
      <c r="A9" s="27" t="s">
        <v>7</v>
      </c>
      <c r="B9" s="61">
        <v>0.3105</v>
      </c>
      <c r="C9" s="12">
        <v>7</v>
      </c>
      <c r="D9" s="12">
        <f>B9*C9</f>
        <v>2.1734999999999998</v>
      </c>
    </row>
    <row r="10" spans="1:16" x14ac:dyDescent="0.2">
      <c r="A10" s="27" t="s">
        <v>8</v>
      </c>
      <c r="B10" s="61">
        <v>0.3105</v>
      </c>
      <c r="C10" s="12">
        <v>7</v>
      </c>
      <c r="D10" s="12">
        <f>B10*C10</f>
        <v>2.1734999999999998</v>
      </c>
      <c r="G10" s="60" t="s">
        <v>218</v>
      </c>
      <c r="H10" t="s">
        <v>220</v>
      </c>
    </row>
    <row r="11" spans="1:16" x14ac:dyDescent="0.2">
      <c r="A11" s="27" t="s">
        <v>9</v>
      </c>
      <c r="B11" s="61">
        <v>0.27179999999999999</v>
      </c>
      <c r="C11" s="12">
        <v>8</v>
      </c>
      <c r="D11" s="12">
        <f>B11*C11</f>
        <v>2.1743999999999999</v>
      </c>
      <c r="G11" s="60">
        <v>1</v>
      </c>
      <c r="H11">
        <f ca="1">IF(AND(G11&lt;=O$3,RAND()&lt;=H$7),1,0)</f>
        <v>1</v>
      </c>
      <c r="I11">
        <f ca="1">H11</f>
        <v>1</v>
      </c>
      <c r="J11" s="80">
        <f ca="1">I11/G11</f>
        <v>1</v>
      </c>
    </row>
    <row r="12" spans="1:16" x14ac:dyDescent="0.2">
      <c r="A12" s="27" t="s">
        <v>10</v>
      </c>
      <c r="B12" s="61">
        <v>0.27179999999999999</v>
      </c>
      <c r="C12" s="12">
        <v>8</v>
      </c>
      <c r="D12" s="12">
        <f>B12*C12</f>
        <v>2.1743999999999999</v>
      </c>
      <c r="G12" s="60">
        <v>2</v>
      </c>
      <c r="H12">
        <f ca="1">IF(AND(G12&lt;=O$3,RAND()&lt;=H$7),1,0)</f>
        <v>1</v>
      </c>
      <c r="I12">
        <f ca="1">H12+I11</f>
        <v>2</v>
      </c>
      <c r="J12" s="80">
        <f t="shared" ref="J12:J75" ca="1" si="5">I12/G12</f>
        <v>1</v>
      </c>
    </row>
    <row r="13" spans="1:16" x14ac:dyDescent="0.2">
      <c r="A13" s="27" t="s">
        <v>11</v>
      </c>
      <c r="B13" s="61">
        <v>0.26100000000000001</v>
      </c>
      <c r="C13" s="12">
        <v>10</v>
      </c>
      <c r="D13" s="12">
        <f>B13*C13</f>
        <v>2.6100000000000003</v>
      </c>
      <c r="G13" s="60">
        <v>3</v>
      </c>
      <c r="H13">
        <f ca="1">IF(AND(G13&lt;=O$3,RAND()&lt;=H$7),1,0)</f>
        <v>1</v>
      </c>
      <c r="I13">
        <f t="shared" ref="I13:I76" ca="1" si="6">H13+I12</f>
        <v>3</v>
      </c>
      <c r="J13" s="80">
        <f t="shared" ca="1" si="5"/>
        <v>1</v>
      </c>
    </row>
    <row r="14" spans="1:16" x14ac:dyDescent="0.2">
      <c r="A14" s="27" t="s">
        <v>12</v>
      </c>
      <c r="B14" s="61">
        <v>0.26100000000000001</v>
      </c>
      <c r="C14" s="12">
        <v>10</v>
      </c>
      <c r="D14" s="12">
        <f>B14*C14</f>
        <v>2.6100000000000003</v>
      </c>
      <c r="G14" s="60">
        <v>4</v>
      </c>
      <c r="H14">
        <f ca="1">IF(AND(G14&lt;=O$3,RAND()&lt;=H$7),1,0)</f>
        <v>1</v>
      </c>
      <c r="I14">
        <f t="shared" ca="1" si="6"/>
        <v>4</v>
      </c>
      <c r="J14" s="80">
        <f t="shared" ca="1" si="5"/>
        <v>1</v>
      </c>
    </row>
    <row r="15" spans="1:16" x14ac:dyDescent="0.2">
      <c r="A15" s="27" t="s">
        <v>13</v>
      </c>
      <c r="B15" s="61">
        <v>0.2175</v>
      </c>
      <c r="C15" s="12">
        <v>15</v>
      </c>
      <c r="D15" s="12">
        <f>B15*C15</f>
        <v>3.2625000000000002</v>
      </c>
      <c r="G15" s="60">
        <v>5</v>
      </c>
      <c r="H15">
        <f ca="1">IF(AND(G15&lt;=O$3,RAND()&lt;=H$7),1,0)</f>
        <v>1</v>
      </c>
      <c r="I15">
        <f t="shared" ca="1" si="6"/>
        <v>5</v>
      </c>
      <c r="J15" s="80">
        <f t="shared" ca="1" si="5"/>
        <v>1</v>
      </c>
    </row>
    <row r="16" spans="1:16" x14ac:dyDescent="0.2">
      <c r="A16" s="27" t="s">
        <v>14</v>
      </c>
      <c r="B16" s="61">
        <v>0.2175</v>
      </c>
      <c r="C16" s="12">
        <v>15</v>
      </c>
      <c r="D16" s="12">
        <f>B16*C16</f>
        <v>3.2625000000000002</v>
      </c>
      <c r="G16" s="60">
        <v>6</v>
      </c>
      <c r="H16">
        <f ca="1">IF(AND(G16&lt;=O$3,RAND()&lt;=H$7),1,0)</f>
        <v>1</v>
      </c>
      <c r="I16">
        <f t="shared" ca="1" si="6"/>
        <v>6</v>
      </c>
      <c r="J16" s="80">
        <f t="shared" ca="1" si="5"/>
        <v>1</v>
      </c>
    </row>
    <row r="17" spans="1:10" x14ac:dyDescent="0.2">
      <c r="A17" s="27" t="s">
        <v>15</v>
      </c>
      <c r="B17" s="61">
        <v>0.16980000000000001</v>
      </c>
      <c r="C17" s="12">
        <v>20</v>
      </c>
      <c r="D17" s="12">
        <f>B17*C17</f>
        <v>3.3959999999999999</v>
      </c>
      <c r="G17" s="60">
        <v>7</v>
      </c>
      <c r="H17">
        <f ca="1">IF(AND(G17&lt;=O$3,RAND()&lt;=H$7),1,0)</f>
        <v>1</v>
      </c>
      <c r="I17">
        <f t="shared" ca="1" si="6"/>
        <v>7</v>
      </c>
      <c r="J17" s="80">
        <f t="shared" ca="1" si="5"/>
        <v>1</v>
      </c>
    </row>
    <row r="18" spans="1:10" x14ac:dyDescent="0.2">
      <c r="A18" s="27" t="s">
        <v>16</v>
      </c>
      <c r="B18" s="61">
        <v>0.16980000000000001</v>
      </c>
      <c r="C18" s="12">
        <v>20</v>
      </c>
      <c r="D18" s="12">
        <f>B18*C18</f>
        <v>3.3959999999999999</v>
      </c>
      <c r="G18" s="60">
        <v>8</v>
      </c>
      <c r="H18">
        <f ca="1">IF(AND(G18&lt;=O$3,RAND()&lt;=H$7),1,0)</f>
        <v>1</v>
      </c>
      <c r="I18">
        <f t="shared" ca="1" si="6"/>
        <v>8</v>
      </c>
      <c r="J18" s="80">
        <f t="shared" ca="1" si="5"/>
        <v>1</v>
      </c>
    </row>
    <row r="19" spans="1:10" x14ac:dyDescent="0.2">
      <c r="A19" s="27" t="s">
        <v>17</v>
      </c>
      <c r="B19" s="61">
        <v>0.15160000000000001</v>
      </c>
      <c r="C19" s="12">
        <v>25</v>
      </c>
      <c r="D19" s="12">
        <f>B19*C19</f>
        <v>3.7900000000000005</v>
      </c>
      <c r="G19" s="60">
        <v>9</v>
      </c>
      <c r="H19">
        <f ca="1">IF(AND(G19&lt;=O$3,RAND()&lt;=H$7),1,0)</f>
        <v>1</v>
      </c>
      <c r="I19">
        <f t="shared" ca="1" si="6"/>
        <v>9</v>
      </c>
      <c r="J19" s="80">
        <f t="shared" ca="1" si="5"/>
        <v>1</v>
      </c>
    </row>
    <row r="20" spans="1:10" x14ac:dyDescent="0.2">
      <c r="A20" s="27" t="s">
        <v>18</v>
      </c>
      <c r="B20" s="61">
        <v>0.15160000000000001</v>
      </c>
      <c r="C20" s="12">
        <v>25</v>
      </c>
      <c r="D20" s="12">
        <f>B20*C20</f>
        <v>3.7900000000000005</v>
      </c>
      <c r="G20" s="60">
        <v>10</v>
      </c>
      <c r="H20">
        <f ca="1">IF(AND(G20&lt;=O$3,RAND()&lt;=H$7),1,0)</f>
        <v>1</v>
      </c>
      <c r="I20">
        <f t="shared" ca="1" si="6"/>
        <v>10</v>
      </c>
      <c r="J20" s="80">
        <f t="shared" ca="1" si="5"/>
        <v>1</v>
      </c>
    </row>
    <row r="21" spans="1:10" x14ac:dyDescent="0.2">
      <c r="A21" s="27" t="s">
        <v>19</v>
      </c>
      <c r="B21" s="61">
        <v>0.12809999999999999</v>
      </c>
      <c r="C21" s="12">
        <v>30</v>
      </c>
      <c r="D21" s="12">
        <f>B21*C21</f>
        <v>3.843</v>
      </c>
      <c r="G21" s="60">
        <v>11</v>
      </c>
      <c r="H21">
        <f ca="1">IF(AND(G21&lt;=O$3,RAND()&lt;=H$7),1,0)</f>
        <v>1</v>
      </c>
      <c r="I21">
        <f t="shared" ca="1" si="6"/>
        <v>11</v>
      </c>
      <c r="J21" s="80">
        <f t="shared" ca="1" si="5"/>
        <v>1</v>
      </c>
    </row>
    <row r="22" spans="1:10" x14ac:dyDescent="0.2">
      <c r="A22" s="27" t="s">
        <v>20</v>
      </c>
      <c r="B22" s="61">
        <v>0.12809999999999999</v>
      </c>
      <c r="C22" s="12">
        <v>30</v>
      </c>
      <c r="D22" s="12">
        <f>B22*C22</f>
        <v>3.843</v>
      </c>
      <c r="G22" s="60">
        <v>12</v>
      </c>
      <c r="H22">
        <f ca="1">IF(AND(G22&lt;=O$3,RAND()&lt;=H$7),1,0)</f>
        <v>1</v>
      </c>
      <c r="I22">
        <f t="shared" ca="1" si="6"/>
        <v>12</v>
      </c>
      <c r="J22" s="80">
        <f t="shared" ca="1" si="5"/>
        <v>1</v>
      </c>
    </row>
    <row r="23" spans="1:10" x14ac:dyDescent="0.2">
      <c r="A23" s="27" t="s">
        <v>21</v>
      </c>
      <c r="B23" s="61">
        <v>8.8800000000000004E-2</v>
      </c>
      <c r="C23" s="12">
        <v>45</v>
      </c>
      <c r="D23" s="12">
        <f>B23*C23</f>
        <v>3.996</v>
      </c>
      <c r="G23" s="60">
        <v>13</v>
      </c>
      <c r="H23">
        <f ca="1">IF(AND(G23&lt;=O$3,RAND()&lt;=H$7),1,0)</f>
        <v>1</v>
      </c>
      <c r="I23">
        <f t="shared" ca="1" si="6"/>
        <v>13</v>
      </c>
      <c r="J23" s="80">
        <f t="shared" ca="1" si="5"/>
        <v>1</v>
      </c>
    </row>
    <row r="24" spans="1:10" x14ac:dyDescent="0.2">
      <c r="A24" s="27" t="s">
        <v>22</v>
      </c>
      <c r="B24" s="61">
        <v>8.8800000000000004E-2</v>
      </c>
      <c r="C24" s="12">
        <v>45</v>
      </c>
      <c r="D24" s="12">
        <f>B24*C24</f>
        <v>3.996</v>
      </c>
      <c r="G24" s="60">
        <v>14</v>
      </c>
      <c r="H24">
        <f ca="1">IF(AND(G24&lt;=O$3,RAND()&lt;=H$7),1,0)</f>
        <v>1</v>
      </c>
      <c r="I24">
        <f t="shared" ca="1" si="6"/>
        <v>14</v>
      </c>
      <c r="J24" s="80">
        <f t="shared" ca="1" si="5"/>
        <v>1</v>
      </c>
    </row>
    <row r="25" spans="1:10" x14ac:dyDescent="0.2">
      <c r="A25" s="27" t="s">
        <v>23</v>
      </c>
      <c r="B25" s="61">
        <v>4.1500000000000002E-2</v>
      </c>
      <c r="C25" s="12">
        <v>100</v>
      </c>
      <c r="D25" s="12">
        <f>B25*C25</f>
        <v>4.1500000000000004</v>
      </c>
      <c r="G25" s="60">
        <v>15</v>
      </c>
      <c r="H25">
        <f ca="1">IF(AND(G25&lt;=O$3,RAND()&lt;=H$7),1,0)</f>
        <v>1</v>
      </c>
      <c r="I25">
        <f t="shared" ca="1" si="6"/>
        <v>15</v>
      </c>
      <c r="J25" s="80">
        <f t="shared" ca="1" si="5"/>
        <v>1</v>
      </c>
    </row>
    <row r="26" spans="1:10" x14ac:dyDescent="0.2">
      <c r="A26" s="27" t="s">
        <v>32</v>
      </c>
      <c r="B26" s="61">
        <v>3.7499999999999999E-2</v>
      </c>
      <c r="C26" s="12">
        <v>150</v>
      </c>
      <c r="D26" s="12">
        <f>B26*C26</f>
        <v>5.625</v>
      </c>
      <c r="G26" s="60">
        <v>16</v>
      </c>
      <c r="H26">
        <f ca="1">IF(AND(G26&lt;=O$3,RAND()&lt;=H$7),1,0)</f>
        <v>1</v>
      </c>
      <c r="I26">
        <f t="shared" ca="1" si="6"/>
        <v>16</v>
      </c>
      <c r="J26" s="80">
        <f t="shared" ca="1" si="5"/>
        <v>1</v>
      </c>
    </row>
    <row r="27" spans="1:10" x14ac:dyDescent="0.2">
      <c r="A27" s="27" t="s">
        <v>24</v>
      </c>
      <c r="B27" s="61">
        <v>3.3500000000000002E-2</v>
      </c>
      <c r="C27" s="12">
        <v>200</v>
      </c>
      <c r="D27" s="12">
        <f>B27*C27</f>
        <v>6.7</v>
      </c>
      <c r="G27" s="60">
        <v>17</v>
      </c>
      <c r="H27">
        <f ca="1">IF(AND(G27&lt;=O$3,RAND()&lt;=H$7),1,0)</f>
        <v>1</v>
      </c>
      <c r="I27">
        <f t="shared" ca="1" si="6"/>
        <v>17</v>
      </c>
      <c r="J27" s="80">
        <f t="shared" ca="1" si="5"/>
        <v>1</v>
      </c>
    </row>
    <row r="28" spans="1:10" x14ac:dyDescent="0.2">
      <c r="A28" s="27" t="s">
        <v>25</v>
      </c>
      <c r="B28" s="61">
        <v>2.9499999999999998E-2</v>
      </c>
      <c r="C28" s="12">
        <v>300</v>
      </c>
      <c r="D28" s="12">
        <f>B28*C28</f>
        <v>8.85</v>
      </c>
      <c r="G28" s="60">
        <v>18</v>
      </c>
      <c r="H28">
        <f ca="1">IF(AND(G28&lt;=O$3,RAND()&lt;=H$7),1,0)</f>
        <v>1</v>
      </c>
      <c r="I28">
        <f t="shared" ca="1" si="6"/>
        <v>18</v>
      </c>
      <c r="J28" s="80">
        <f t="shared" ca="1" si="5"/>
        <v>1</v>
      </c>
    </row>
    <row r="29" spans="1:10" x14ac:dyDescent="0.2">
      <c r="A29" s="27" t="s">
        <v>26</v>
      </c>
      <c r="B29" s="61">
        <v>2.5000000000000001E-2</v>
      </c>
      <c r="C29" s="12">
        <v>500</v>
      </c>
      <c r="D29" s="12">
        <f>B29*C29</f>
        <v>12.5</v>
      </c>
      <c r="G29" s="60">
        <v>19</v>
      </c>
      <c r="H29">
        <f ca="1">IF(AND(G29&lt;=O$3,RAND()&lt;=H$7),1,0)</f>
        <v>1</v>
      </c>
      <c r="I29">
        <f t="shared" ca="1" si="6"/>
        <v>19</v>
      </c>
      <c r="J29" s="80">
        <f t="shared" ca="1" si="5"/>
        <v>1</v>
      </c>
    </row>
    <row r="30" spans="1:10" x14ac:dyDescent="0.2">
      <c r="A30" s="27" t="s">
        <v>27</v>
      </c>
      <c r="B30" s="61">
        <v>2.0500000000000001E-2</v>
      </c>
      <c r="C30" s="12">
        <v>700</v>
      </c>
      <c r="D30" s="12">
        <f>B30*C30</f>
        <v>14.350000000000001</v>
      </c>
      <c r="G30" s="60">
        <v>20</v>
      </c>
      <c r="H30">
        <f ca="1">IF(AND(G30&lt;=O$3,RAND()&lt;=H$7),1,0)</f>
        <v>1</v>
      </c>
      <c r="I30">
        <f t="shared" ca="1" si="6"/>
        <v>20</v>
      </c>
      <c r="J30" s="80">
        <f t="shared" ca="1" si="5"/>
        <v>1</v>
      </c>
    </row>
    <row r="31" spans="1:10" x14ac:dyDescent="0.2">
      <c r="A31" s="27" t="s">
        <v>28</v>
      </c>
      <c r="B31" s="61">
        <v>1.6500000000000001E-2</v>
      </c>
      <c r="C31" s="12">
        <v>1000</v>
      </c>
      <c r="D31" s="12">
        <f>B31*C31</f>
        <v>16.5</v>
      </c>
      <c r="G31" s="60">
        <v>21</v>
      </c>
      <c r="H31">
        <f ca="1">IF(AND(G31&lt;=O$3,RAND()&lt;=H$7),1,0)</f>
        <v>1</v>
      </c>
      <c r="I31">
        <f t="shared" ca="1" si="6"/>
        <v>21</v>
      </c>
      <c r="J31" s="80">
        <f t="shared" ca="1" si="5"/>
        <v>1</v>
      </c>
    </row>
    <row r="32" spans="1:10" x14ac:dyDescent="0.2">
      <c r="A32" s="27" t="s">
        <v>29</v>
      </c>
      <c r="B32" s="61">
        <v>1.2500000000000001E-2</v>
      </c>
      <c r="C32" s="12">
        <v>1500</v>
      </c>
      <c r="D32" s="12">
        <f>B32*C32</f>
        <v>18.75</v>
      </c>
      <c r="G32" s="60">
        <v>22</v>
      </c>
      <c r="H32">
        <f ca="1">IF(AND(G32&lt;=O$3,RAND()&lt;=H$7),1,0)</f>
        <v>1</v>
      </c>
      <c r="I32">
        <f t="shared" ca="1" si="6"/>
        <v>22</v>
      </c>
      <c r="J32" s="80">
        <f t="shared" ca="1" si="5"/>
        <v>1</v>
      </c>
    </row>
    <row r="33" spans="7:10" x14ac:dyDescent="0.2">
      <c r="G33" s="60">
        <v>23</v>
      </c>
      <c r="H33">
        <f ca="1">IF(AND(G33&lt;=O$3,RAND()&lt;=H$7),1,0)</f>
        <v>1</v>
      </c>
      <c r="I33">
        <f t="shared" ca="1" si="6"/>
        <v>23</v>
      </c>
      <c r="J33" s="80">
        <f t="shared" ca="1" si="5"/>
        <v>1</v>
      </c>
    </row>
    <row r="34" spans="7:10" x14ac:dyDescent="0.2">
      <c r="G34" s="60">
        <v>24</v>
      </c>
      <c r="H34">
        <f ca="1">IF(AND(G34&lt;=O$3,RAND()&lt;=H$7),1,0)</f>
        <v>1</v>
      </c>
      <c r="I34">
        <f t="shared" ca="1" si="6"/>
        <v>24</v>
      </c>
      <c r="J34" s="80">
        <f t="shared" ca="1" si="5"/>
        <v>1</v>
      </c>
    </row>
    <row r="35" spans="7:10" x14ac:dyDescent="0.2">
      <c r="G35" s="60">
        <v>25</v>
      </c>
      <c r="H35">
        <f ca="1">IF(AND(G35&lt;=O$3,RAND()&lt;=H$7),1,0)</f>
        <v>1</v>
      </c>
      <c r="I35">
        <f t="shared" ca="1" si="6"/>
        <v>25</v>
      </c>
      <c r="J35" s="80">
        <f t="shared" ca="1" si="5"/>
        <v>1</v>
      </c>
    </row>
    <row r="36" spans="7:10" x14ac:dyDescent="0.2">
      <c r="G36" s="60">
        <v>26</v>
      </c>
      <c r="H36">
        <f ca="1">IF(AND(G36&lt;=O$3,RAND()&lt;=H$7),1,0)</f>
        <v>1</v>
      </c>
      <c r="I36">
        <f t="shared" ca="1" si="6"/>
        <v>26</v>
      </c>
      <c r="J36" s="80">
        <f t="shared" ca="1" si="5"/>
        <v>1</v>
      </c>
    </row>
    <row r="37" spans="7:10" x14ac:dyDescent="0.2">
      <c r="G37" s="60">
        <v>27</v>
      </c>
      <c r="H37">
        <f ca="1">IF(AND(G37&lt;=O$3,RAND()&lt;=H$7),1,0)</f>
        <v>1</v>
      </c>
      <c r="I37">
        <f t="shared" ca="1" si="6"/>
        <v>27</v>
      </c>
      <c r="J37" s="80">
        <f t="shared" ca="1" si="5"/>
        <v>1</v>
      </c>
    </row>
    <row r="38" spans="7:10" x14ac:dyDescent="0.2">
      <c r="G38" s="60">
        <v>28</v>
      </c>
      <c r="H38">
        <f ca="1">IF(AND(G38&lt;=O$3,RAND()&lt;=H$7),1,0)</f>
        <v>1</v>
      </c>
      <c r="I38">
        <f t="shared" ca="1" si="6"/>
        <v>28</v>
      </c>
      <c r="J38" s="80">
        <f t="shared" ca="1" si="5"/>
        <v>1</v>
      </c>
    </row>
    <row r="39" spans="7:10" x14ac:dyDescent="0.2">
      <c r="G39" s="60">
        <v>29</v>
      </c>
      <c r="H39">
        <f ca="1">IF(AND(G39&lt;=O$3,RAND()&lt;=H$7),1,0)</f>
        <v>1</v>
      </c>
      <c r="I39">
        <f t="shared" ca="1" si="6"/>
        <v>29</v>
      </c>
      <c r="J39" s="80">
        <f t="shared" ca="1" si="5"/>
        <v>1</v>
      </c>
    </row>
    <row r="40" spans="7:10" x14ac:dyDescent="0.2">
      <c r="G40" s="60">
        <v>30</v>
      </c>
      <c r="H40">
        <f ca="1">IF(AND(G40&lt;=O$3,RAND()&lt;=H$7),1,0)</f>
        <v>1</v>
      </c>
      <c r="I40">
        <f t="shared" ca="1" si="6"/>
        <v>30</v>
      </c>
      <c r="J40" s="80">
        <f t="shared" ca="1" si="5"/>
        <v>1</v>
      </c>
    </row>
    <row r="41" spans="7:10" x14ac:dyDescent="0.2">
      <c r="G41" s="60">
        <v>31</v>
      </c>
      <c r="H41">
        <f ca="1">IF(AND(G41&lt;=O$3,RAND()&lt;=H$7),1,0)</f>
        <v>1</v>
      </c>
      <c r="I41">
        <f t="shared" ca="1" si="6"/>
        <v>31</v>
      </c>
      <c r="J41" s="80">
        <f t="shared" ca="1" si="5"/>
        <v>1</v>
      </c>
    </row>
    <row r="42" spans="7:10" x14ac:dyDescent="0.2">
      <c r="G42" s="60">
        <v>32</v>
      </c>
      <c r="H42">
        <f ca="1">IF(AND(G42&lt;=O$3,RAND()&lt;=H$7),1,0)</f>
        <v>1</v>
      </c>
      <c r="I42">
        <f t="shared" ca="1" si="6"/>
        <v>32</v>
      </c>
      <c r="J42" s="80">
        <f t="shared" ca="1" si="5"/>
        <v>1</v>
      </c>
    </row>
    <row r="43" spans="7:10" x14ac:dyDescent="0.2">
      <c r="G43" s="60">
        <v>33</v>
      </c>
      <c r="H43">
        <f ca="1">IF(AND(G43&lt;=O$3,RAND()&lt;=H$7),1,0)</f>
        <v>1</v>
      </c>
      <c r="I43">
        <f t="shared" ca="1" si="6"/>
        <v>33</v>
      </c>
      <c r="J43" s="80">
        <f t="shared" ca="1" si="5"/>
        <v>1</v>
      </c>
    </row>
    <row r="44" spans="7:10" x14ac:dyDescent="0.2">
      <c r="G44" s="60">
        <v>34</v>
      </c>
      <c r="H44">
        <f ca="1">IF(AND(G44&lt;=O$3,RAND()&lt;=H$7),1,0)</f>
        <v>1</v>
      </c>
      <c r="I44">
        <f t="shared" ca="1" si="6"/>
        <v>34</v>
      </c>
      <c r="J44" s="80">
        <f t="shared" ca="1" si="5"/>
        <v>1</v>
      </c>
    </row>
    <row r="45" spans="7:10" x14ac:dyDescent="0.2">
      <c r="G45" s="60">
        <v>35</v>
      </c>
      <c r="H45">
        <f ca="1">IF(AND(G45&lt;=O$3,RAND()&lt;=H$7),1,0)</f>
        <v>1</v>
      </c>
      <c r="I45">
        <f t="shared" ca="1" si="6"/>
        <v>35</v>
      </c>
      <c r="J45" s="80">
        <f t="shared" ca="1" si="5"/>
        <v>1</v>
      </c>
    </row>
    <row r="46" spans="7:10" x14ac:dyDescent="0.2">
      <c r="G46" s="60">
        <v>36</v>
      </c>
      <c r="H46">
        <f ca="1">IF(AND(G46&lt;=O$3,RAND()&lt;=H$7),1,0)</f>
        <v>1</v>
      </c>
      <c r="I46">
        <f t="shared" ca="1" si="6"/>
        <v>36</v>
      </c>
      <c r="J46" s="80">
        <f t="shared" ca="1" si="5"/>
        <v>1</v>
      </c>
    </row>
    <row r="47" spans="7:10" x14ac:dyDescent="0.2">
      <c r="G47" s="60">
        <v>37</v>
      </c>
      <c r="H47">
        <f ca="1">IF(AND(G47&lt;=O$3,RAND()&lt;=H$7),1,0)</f>
        <v>1</v>
      </c>
      <c r="I47">
        <f t="shared" ca="1" si="6"/>
        <v>37</v>
      </c>
      <c r="J47" s="80">
        <f t="shared" ca="1" si="5"/>
        <v>1</v>
      </c>
    </row>
    <row r="48" spans="7:10" x14ac:dyDescent="0.2">
      <c r="G48" s="60">
        <v>38</v>
      </c>
      <c r="H48">
        <f ca="1">IF(AND(G48&lt;=O$3,RAND()&lt;=H$7),1,0)</f>
        <v>1</v>
      </c>
      <c r="I48">
        <f t="shared" ca="1" si="6"/>
        <v>38</v>
      </c>
      <c r="J48" s="80">
        <f t="shared" ca="1" si="5"/>
        <v>1</v>
      </c>
    </row>
    <row r="49" spans="7:10" x14ac:dyDescent="0.2">
      <c r="G49" s="60">
        <v>39</v>
      </c>
      <c r="H49">
        <f ca="1">IF(AND(G49&lt;=O$3,RAND()&lt;=H$7),1,0)</f>
        <v>1</v>
      </c>
      <c r="I49">
        <f t="shared" ca="1" si="6"/>
        <v>39</v>
      </c>
      <c r="J49" s="80">
        <f t="shared" ca="1" si="5"/>
        <v>1</v>
      </c>
    </row>
    <row r="50" spans="7:10" x14ac:dyDescent="0.2">
      <c r="G50" s="60">
        <v>40</v>
      </c>
      <c r="H50">
        <f ca="1">IF(AND(G50&lt;=O$3,RAND()&lt;=H$7),1,0)</f>
        <v>1</v>
      </c>
      <c r="I50">
        <f t="shared" ca="1" si="6"/>
        <v>40</v>
      </c>
      <c r="J50" s="80">
        <f t="shared" ca="1" si="5"/>
        <v>1</v>
      </c>
    </row>
    <row r="51" spans="7:10" x14ac:dyDescent="0.2">
      <c r="G51" s="60">
        <v>41</v>
      </c>
      <c r="H51">
        <f ca="1">IF(AND(G51&lt;=O$3,RAND()&lt;=H$7),1,0)</f>
        <v>1</v>
      </c>
      <c r="I51">
        <f t="shared" ca="1" si="6"/>
        <v>41</v>
      </c>
      <c r="J51" s="80">
        <f t="shared" ca="1" si="5"/>
        <v>1</v>
      </c>
    </row>
    <row r="52" spans="7:10" x14ac:dyDescent="0.2">
      <c r="G52" s="60">
        <v>42</v>
      </c>
      <c r="H52">
        <f ca="1">IF(AND(G52&lt;=O$3,RAND()&lt;=H$7),1,0)</f>
        <v>1</v>
      </c>
      <c r="I52">
        <f t="shared" ca="1" si="6"/>
        <v>42</v>
      </c>
      <c r="J52" s="80">
        <f t="shared" ca="1" si="5"/>
        <v>1</v>
      </c>
    </row>
    <row r="53" spans="7:10" x14ac:dyDescent="0.2">
      <c r="G53" s="60">
        <v>43</v>
      </c>
      <c r="H53">
        <f ca="1">IF(AND(G53&lt;=O$3,RAND()&lt;=H$7),1,0)</f>
        <v>1</v>
      </c>
      <c r="I53">
        <f t="shared" ca="1" si="6"/>
        <v>43</v>
      </c>
      <c r="J53" s="80">
        <f t="shared" ca="1" si="5"/>
        <v>1</v>
      </c>
    </row>
    <row r="54" spans="7:10" x14ac:dyDescent="0.2">
      <c r="G54" s="60">
        <v>44</v>
      </c>
      <c r="H54">
        <f ca="1">IF(AND(G54&lt;=O$3,RAND()&lt;=H$7),1,0)</f>
        <v>1</v>
      </c>
      <c r="I54">
        <f t="shared" ca="1" si="6"/>
        <v>44</v>
      </c>
      <c r="J54" s="80">
        <f t="shared" ca="1" si="5"/>
        <v>1</v>
      </c>
    </row>
    <row r="55" spans="7:10" x14ac:dyDescent="0.2">
      <c r="G55" s="60">
        <v>45</v>
      </c>
      <c r="H55">
        <f ca="1">IF(AND(G55&lt;=O$3,RAND()&lt;=H$7),1,0)</f>
        <v>1</v>
      </c>
      <c r="I55">
        <f t="shared" ca="1" si="6"/>
        <v>45</v>
      </c>
      <c r="J55" s="80">
        <f t="shared" ca="1" si="5"/>
        <v>1</v>
      </c>
    </row>
    <row r="56" spans="7:10" x14ac:dyDescent="0.2">
      <c r="G56" s="60">
        <v>46</v>
      </c>
      <c r="H56">
        <f ca="1">IF(AND(G56&lt;=O$3,RAND()&lt;=H$7),1,0)</f>
        <v>1</v>
      </c>
      <c r="I56">
        <f t="shared" ca="1" si="6"/>
        <v>46</v>
      </c>
      <c r="J56" s="80">
        <f t="shared" ca="1" si="5"/>
        <v>1</v>
      </c>
    </row>
    <row r="57" spans="7:10" x14ac:dyDescent="0.2">
      <c r="G57" s="60">
        <v>47</v>
      </c>
      <c r="H57">
        <f ca="1">IF(AND(G57&lt;=O$3,RAND()&lt;=H$7),1,0)</f>
        <v>1</v>
      </c>
      <c r="I57">
        <f t="shared" ca="1" si="6"/>
        <v>47</v>
      </c>
      <c r="J57" s="80">
        <f t="shared" ca="1" si="5"/>
        <v>1</v>
      </c>
    </row>
    <row r="58" spans="7:10" x14ac:dyDescent="0.2">
      <c r="G58" s="60">
        <v>48</v>
      </c>
      <c r="H58">
        <f ca="1">IF(AND(G58&lt;=O$3,RAND()&lt;=H$7),1,0)</f>
        <v>1</v>
      </c>
      <c r="I58">
        <f t="shared" ca="1" si="6"/>
        <v>48</v>
      </c>
      <c r="J58" s="80">
        <f t="shared" ca="1" si="5"/>
        <v>1</v>
      </c>
    </row>
    <row r="59" spans="7:10" x14ac:dyDescent="0.2">
      <c r="G59" s="60">
        <v>49</v>
      </c>
      <c r="H59">
        <f ca="1">IF(AND(G59&lt;=O$3,RAND()&lt;=H$7),1,0)</f>
        <v>1</v>
      </c>
      <c r="I59">
        <f t="shared" ca="1" si="6"/>
        <v>49</v>
      </c>
      <c r="J59" s="80">
        <f t="shared" ca="1" si="5"/>
        <v>1</v>
      </c>
    </row>
    <row r="60" spans="7:10" x14ac:dyDescent="0.2">
      <c r="G60" s="60">
        <v>50</v>
      </c>
      <c r="H60">
        <f ca="1">IF(AND(G60&lt;=O$3,RAND()&lt;=H$7),1,0)</f>
        <v>1</v>
      </c>
      <c r="I60">
        <f t="shared" ca="1" si="6"/>
        <v>50</v>
      </c>
      <c r="J60" s="80">
        <f t="shared" ca="1" si="5"/>
        <v>1</v>
      </c>
    </row>
    <row r="61" spans="7:10" x14ac:dyDescent="0.2">
      <c r="G61" s="60">
        <v>51</v>
      </c>
      <c r="H61">
        <f ca="1">IF(AND(G61&lt;=O$3,RAND()&lt;=H$7),1,0)</f>
        <v>1</v>
      </c>
      <c r="I61">
        <f t="shared" ca="1" si="6"/>
        <v>51</v>
      </c>
      <c r="J61" s="80">
        <f t="shared" ca="1" si="5"/>
        <v>1</v>
      </c>
    </row>
    <row r="62" spans="7:10" x14ac:dyDescent="0.2">
      <c r="G62" s="60">
        <v>52</v>
      </c>
      <c r="H62">
        <f ca="1">IF(AND(G62&lt;=O$3,RAND()&lt;=H$7),1,0)</f>
        <v>1</v>
      </c>
      <c r="I62">
        <f t="shared" ca="1" si="6"/>
        <v>52</v>
      </c>
      <c r="J62" s="80">
        <f t="shared" ca="1" si="5"/>
        <v>1</v>
      </c>
    </row>
    <row r="63" spans="7:10" x14ac:dyDescent="0.2">
      <c r="G63" s="60">
        <v>53</v>
      </c>
      <c r="H63">
        <f ca="1">IF(AND(G63&lt;=O$3,RAND()&lt;=H$7),1,0)</f>
        <v>1</v>
      </c>
      <c r="I63">
        <f t="shared" ca="1" si="6"/>
        <v>53</v>
      </c>
      <c r="J63" s="80">
        <f t="shared" ca="1" si="5"/>
        <v>1</v>
      </c>
    </row>
    <row r="64" spans="7:10" x14ac:dyDescent="0.2">
      <c r="G64" s="60">
        <v>54</v>
      </c>
      <c r="H64">
        <f ca="1">IF(AND(G64&lt;=O$3,RAND()&lt;=H$7),1,0)</f>
        <v>1</v>
      </c>
      <c r="I64">
        <f t="shared" ca="1" si="6"/>
        <v>54</v>
      </c>
      <c r="J64" s="80">
        <f t="shared" ca="1" si="5"/>
        <v>1</v>
      </c>
    </row>
    <row r="65" spans="7:10" x14ac:dyDescent="0.2">
      <c r="G65" s="60">
        <v>55</v>
      </c>
      <c r="H65">
        <f ca="1">IF(AND(G65&lt;=O$3,RAND()&lt;=H$7),1,0)</f>
        <v>1</v>
      </c>
      <c r="I65">
        <f t="shared" ca="1" si="6"/>
        <v>55</v>
      </c>
      <c r="J65" s="80">
        <f t="shared" ca="1" si="5"/>
        <v>1</v>
      </c>
    </row>
    <row r="66" spans="7:10" x14ac:dyDescent="0.2">
      <c r="G66" s="60">
        <v>56</v>
      </c>
      <c r="H66">
        <f ca="1">IF(AND(G66&lt;=O$3,RAND()&lt;=H$7),1,0)</f>
        <v>1</v>
      </c>
      <c r="I66">
        <f t="shared" ca="1" si="6"/>
        <v>56</v>
      </c>
      <c r="J66" s="80">
        <f t="shared" ca="1" si="5"/>
        <v>1</v>
      </c>
    </row>
    <row r="67" spans="7:10" x14ac:dyDescent="0.2">
      <c r="G67" s="60">
        <v>57</v>
      </c>
      <c r="H67">
        <f ca="1">IF(AND(G67&lt;=O$3,RAND()&lt;=H$7),1,0)</f>
        <v>1</v>
      </c>
      <c r="I67">
        <f t="shared" ca="1" si="6"/>
        <v>57</v>
      </c>
      <c r="J67" s="80">
        <f t="shared" ca="1" si="5"/>
        <v>1</v>
      </c>
    </row>
    <row r="68" spans="7:10" x14ac:dyDescent="0.2">
      <c r="G68" s="60">
        <v>58</v>
      </c>
      <c r="H68">
        <f ca="1">IF(AND(G68&lt;=O$3,RAND()&lt;=H$7),1,0)</f>
        <v>1</v>
      </c>
      <c r="I68">
        <f t="shared" ca="1" si="6"/>
        <v>58</v>
      </c>
      <c r="J68" s="80">
        <f t="shared" ca="1" si="5"/>
        <v>1</v>
      </c>
    </row>
    <row r="69" spans="7:10" x14ac:dyDescent="0.2">
      <c r="G69" s="60">
        <v>59</v>
      </c>
      <c r="H69">
        <f ca="1">IF(AND(G69&lt;=O$3,RAND()&lt;=H$7),1,0)</f>
        <v>1</v>
      </c>
      <c r="I69">
        <f t="shared" ca="1" si="6"/>
        <v>59</v>
      </c>
      <c r="J69" s="80">
        <f t="shared" ca="1" si="5"/>
        <v>1</v>
      </c>
    </row>
    <row r="70" spans="7:10" x14ac:dyDescent="0.2">
      <c r="G70" s="60">
        <v>60</v>
      </c>
      <c r="H70">
        <f ca="1">IF(AND(G70&lt;=O$3,RAND()&lt;=H$7),1,0)</f>
        <v>1</v>
      </c>
      <c r="I70">
        <f t="shared" ca="1" si="6"/>
        <v>60</v>
      </c>
      <c r="J70" s="80">
        <f t="shared" ca="1" si="5"/>
        <v>1</v>
      </c>
    </row>
    <row r="71" spans="7:10" x14ac:dyDescent="0.2">
      <c r="G71" s="60">
        <v>61</v>
      </c>
      <c r="H71">
        <f ca="1">IF(AND(G71&lt;=O$3,RAND()&lt;=H$7),1,0)</f>
        <v>1</v>
      </c>
      <c r="I71">
        <f t="shared" ca="1" si="6"/>
        <v>61</v>
      </c>
      <c r="J71" s="80">
        <f t="shared" ca="1" si="5"/>
        <v>1</v>
      </c>
    </row>
    <row r="72" spans="7:10" x14ac:dyDescent="0.2">
      <c r="G72" s="60">
        <v>62</v>
      </c>
      <c r="H72">
        <f ca="1">IF(AND(G72&lt;=O$3,RAND()&lt;=H$7),1,0)</f>
        <v>1</v>
      </c>
      <c r="I72">
        <f t="shared" ca="1" si="6"/>
        <v>62</v>
      </c>
      <c r="J72" s="80">
        <f t="shared" ca="1" si="5"/>
        <v>1</v>
      </c>
    </row>
    <row r="73" spans="7:10" x14ac:dyDescent="0.2">
      <c r="G73" s="60">
        <v>63</v>
      </c>
      <c r="H73">
        <f ca="1">IF(AND(G73&lt;=O$3,RAND()&lt;=H$7),1,0)</f>
        <v>1</v>
      </c>
      <c r="I73">
        <f t="shared" ca="1" si="6"/>
        <v>63</v>
      </c>
      <c r="J73" s="80">
        <f t="shared" ca="1" si="5"/>
        <v>1</v>
      </c>
    </row>
    <row r="74" spans="7:10" x14ac:dyDescent="0.2">
      <c r="G74" s="60">
        <v>64</v>
      </c>
      <c r="H74">
        <f ca="1">IF(AND(G74&lt;=O$3,RAND()&lt;=H$7),1,0)</f>
        <v>1</v>
      </c>
      <c r="I74">
        <f t="shared" ca="1" si="6"/>
        <v>64</v>
      </c>
      <c r="J74" s="80">
        <f t="shared" ca="1" si="5"/>
        <v>1</v>
      </c>
    </row>
    <row r="75" spans="7:10" x14ac:dyDescent="0.2">
      <c r="G75" s="60">
        <v>65</v>
      </c>
      <c r="H75">
        <f ca="1">IF(AND(G75&lt;=O$3,RAND()&lt;=H$7),1,0)</f>
        <v>1</v>
      </c>
      <c r="I75">
        <f t="shared" ca="1" si="6"/>
        <v>65</v>
      </c>
      <c r="J75" s="80">
        <f t="shared" ca="1" si="5"/>
        <v>1</v>
      </c>
    </row>
    <row r="76" spans="7:10" x14ac:dyDescent="0.2">
      <c r="G76" s="60">
        <v>66</v>
      </c>
      <c r="H76">
        <f ca="1">IF(AND(G76&lt;=O$3,RAND()&lt;=H$7),1,0)</f>
        <v>1</v>
      </c>
      <c r="I76">
        <f t="shared" ca="1" si="6"/>
        <v>66</v>
      </c>
      <c r="J76" s="80">
        <f t="shared" ref="J76:J139" ca="1" si="7">I76/G76</f>
        <v>1</v>
      </c>
    </row>
    <row r="77" spans="7:10" x14ac:dyDescent="0.2">
      <c r="G77" s="60">
        <v>67</v>
      </c>
      <c r="H77">
        <f ca="1">IF(AND(G77&lt;=O$3,RAND()&lt;=H$7),1,0)</f>
        <v>1</v>
      </c>
      <c r="I77">
        <f t="shared" ref="I77:I140" ca="1" si="8">H77+I76</f>
        <v>67</v>
      </c>
      <c r="J77" s="80">
        <f t="shared" ca="1" si="7"/>
        <v>1</v>
      </c>
    </row>
    <row r="78" spans="7:10" x14ac:dyDescent="0.2">
      <c r="G78" s="60">
        <v>68</v>
      </c>
      <c r="H78">
        <f ca="1">IF(AND(G78&lt;=O$3,RAND()&lt;=H$7),1,0)</f>
        <v>1</v>
      </c>
      <c r="I78">
        <f t="shared" ca="1" si="8"/>
        <v>68</v>
      </c>
      <c r="J78" s="80">
        <f t="shared" ca="1" si="7"/>
        <v>1</v>
      </c>
    </row>
    <row r="79" spans="7:10" x14ac:dyDescent="0.2">
      <c r="G79" s="60">
        <v>69</v>
      </c>
      <c r="H79">
        <f ca="1">IF(AND(G79&lt;=O$3,RAND()&lt;=H$7),1,0)</f>
        <v>1</v>
      </c>
      <c r="I79">
        <f t="shared" ca="1" si="8"/>
        <v>69</v>
      </c>
      <c r="J79" s="80">
        <f t="shared" ca="1" si="7"/>
        <v>1</v>
      </c>
    </row>
    <row r="80" spans="7:10" x14ac:dyDescent="0.2">
      <c r="G80" s="60">
        <v>70</v>
      </c>
      <c r="H80">
        <f ca="1">IF(AND(G80&lt;=O$3,RAND()&lt;=H$7),1,0)</f>
        <v>1</v>
      </c>
      <c r="I80">
        <f t="shared" ca="1" si="8"/>
        <v>70</v>
      </c>
      <c r="J80" s="80">
        <f t="shared" ca="1" si="7"/>
        <v>1</v>
      </c>
    </row>
    <row r="81" spans="7:10" x14ac:dyDescent="0.2">
      <c r="G81" s="60">
        <v>71</v>
      </c>
      <c r="H81">
        <f ca="1">IF(AND(G81&lt;=O$3,RAND()&lt;=H$7),1,0)</f>
        <v>1</v>
      </c>
      <c r="I81">
        <f t="shared" ca="1" si="8"/>
        <v>71</v>
      </c>
      <c r="J81" s="80">
        <f t="shared" ca="1" si="7"/>
        <v>1</v>
      </c>
    </row>
    <row r="82" spans="7:10" x14ac:dyDescent="0.2">
      <c r="G82" s="60">
        <v>72</v>
      </c>
      <c r="H82">
        <f ca="1">IF(AND(G82&lt;=O$3,RAND()&lt;=H$7),1,0)</f>
        <v>1</v>
      </c>
      <c r="I82">
        <f t="shared" ca="1" si="8"/>
        <v>72</v>
      </c>
      <c r="J82" s="80">
        <f t="shared" ca="1" si="7"/>
        <v>1</v>
      </c>
    </row>
    <row r="83" spans="7:10" x14ac:dyDescent="0.2">
      <c r="G83" s="60">
        <v>73</v>
      </c>
      <c r="H83">
        <f ca="1">IF(AND(G83&lt;=O$3,RAND()&lt;=H$7),1,0)</f>
        <v>1</v>
      </c>
      <c r="I83">
        <f t="shared" ca="1" si="8"/>
        <v>73</v>
      </c>
      <c r="J83" s="80">
        <f t="shared" ca="1" si="7"/>
        <v>1</v>
      </c>
    </row>
    <row r="84" spans="7:10" x14ac:dyDescent="0.2">
      <c r="G84" s="60">
        <v>74</v>
      </c>
      <c r="H84">
        <f ca="1">IF(AND(G84&lt;=O$3,RAND()&lt;=H$7),1,0)</f>
        <v>1</v>
      </c>
      <c r="I84">
        <f t="shared" ca="1" si="8"/>
        <v>74</v>
      </c>
      <c r="J84" s="80">
        <f t="shared" ca="1" si="7"/>
        <v>1</v>
      </c>
    </row>
    <row r="85" spans="7:10" x14ac:dyDescent="0.2">
      <c r="G85" s="60">
        <v>75</v>
      </c>
      <c r="H85">
        <f ca="1">IF(AND(G85&lt;=O$3,RAND()&lt;=H$7),1,0)</f>
        <v>1</v>
      </c>
      <c r="I85">
        <f t="shared" ca="1" si="8"/>
        <v>75</v>
      </c>
      <c r="J85" s="80">
        <f t="shared" ca="1" si="7"/>
        <v>1</v>
      </c>
    </row>
    <row r="86" spans="7:10" x14ac:dyDescent="0.2">
      <c r="G86" s="60">
        <v>76</v>
      </c>
      <c r="H86">
        <f ca="1">IF(AND(G86&lt;=O$3,RAND()&lt;=H$7),1,0)</f>
        <v>1</v>
      </c>
      <c r="I86">
        <f t="shared" ca="1" si="8"/>
        <v>76</v>
      </c>
      <c r="J86" s="80">
        <f t="shared" ca="1" si="7"/>
        <v>1</v>
      </c>
    </row>
    <row r="87" spans="7:10" x14ac:dyDescent="0.2">
      <c r="G87" s="60">
        <v>77</v>
      </c>
      <c r="H87">
        <f ca="1">IF(AND(G87&lt;=O$3,RAND()&lt;=H$7),1,0)</f>
        <v>1</v>
      </c>
      <c r="I87">
        <f t="shared" ca="1" si="8"/>
        <v>77</v>
      </c>
      <c r="J87" s="80">
        <f t="shared" ca="1" si="7"/>
        <v>1</v>
      </c>
    </row>
    <row r="88" spans="7:10" x14ac:dyDescent="0.2">
      <c r="G88" s="60">
        <v>78</v>
      </c>
      <c r="H88">
        <f ca="1">IF(AND(G88&lt;=O$3,RAND()&lt;=H$7),1,0)</f>
        <v>1</v>
      </c>
      <c r="I88">
        <f t="shared" ca="1" si="8"/>
        <v>78</v>
      </c>
      <c r="J88" s="80">
        <f t="shared" ca="1" si="7"/>
        <v>1</v>
      </c>
    </row>
    <row r="89" spans="7:10" x14ac:dyDescent="0.2">
      <c r="G89" s="60">
        <v>79</v>
      </c>
      <c r="H89">
        <f ca="1">IF(AND(G89&lt;=O$3,RAND()&lt;=H$7),1,0)</f>
        <v>1</v>
      </c>
      <c r="I89">
        <f t="shared" ca="1" si="8"/>
        <v>79</v>
      </c>
      <c r="J89" s="80">
        <f t="shared" ca="1" si="7"/>
        <v>1</v>
      </c>
    </row>
    <row r="90" spans="7:10" x14ac:dyDescent="0.2">
      <c r="G90" s="60">
        <v>80</v>
      </c>
      <c r="H90">
        <f ca="1">IF(AND(G90&lt;=O$3,RAND()&lt;=H$7),1,0)</f>
        <v>1</v>
      </c>
      <c r="I90">
        <f t="shared" ca="1" si="8"/>
        <v>80</v>
      </c>
      <c r="J90" s="80">
        <f t="shared" ca="1" si="7"/>
        <v>1</v>
      </c>
    </row>
    <row r="91" spans="7:10" x14ac:dyDescent="0.2">
      <c r="G91" s="60">
        <v>81</v>
      </c>
      <c r="H91">
        <f ca="1">IF(AND(G91&lt;=O$3,RAND()&lt;=H$7),1,0)</f>
        <v>1</v>
      </c>
      <c r="I91">
        <f t="shared" ca="1" si="8"/>
        <v>81</v>
      </c>
      <c r="J91" s="80">
        <f t="shared" ca="1" si="7"/>
        <v>1</v>
      </c>
    </row>
    <row r="92" spans="7:10" x14ac:dyDescent="0.2">
      <c r="G92" s="60">
        <v>82</v>
      </c>
      <c r="H92">
        <f ca="1">IF(AND(G92&lt;=O$3,RAND()&lt;=H$7),1,0)</f>
        <v>1</v>
      </c>
      <c r="I92">
        <f t="shared" ca="1" si="8"/>
        <v>82</v>
      </c>
      <c r="J92" s="80">
        <f t="shared" ca="1" si="7"/>
        <v>1</v>
      </c>
    </row>
    <row r="93" spans="7:10" x14ac:dyDescent="0.2">
      <c r="G93" s="60">
        <v>83</v>
      </c>
      <c r="H93">
        <f ca="1">IF(AND(G93&lt;=O$3,RAND()&lt;=H$7),1,0)</f>
        <v>1</v>
      </c>
      <c r="I93">
        <f t="shared" ca="1" si="8"/>
        <v>83</v>
      </c>
      <c r="J93" s="80">
        <f t="shared" ca="1" si="7"/>
        <v>1</v>
      </c>
    </row>
    <row r="94" spans="7:10" x14ac:dyDescent="0.2">
      <c r="G94" s="60">
        <v>84</v>
      </c>
      <c r="H94">
        <f ca="1">IF(AND(G94&lt;=O$3,RAND()&lt;=H$7),1,0)</f>
        <v>1</v>
      </c>
      <c r="I94">
        <f t="shared" ca="1" si="8"/>
        <v>84</v>
      </c>
      <c r="J94" s="80">
        <f t="shared" ca="1" si="7"/>
        <v>1</v>
      </c>
    </row>
    <row r="95" spans="7:10" x14ac:dyDescent="0.2">
      <c r="G95" s="60">
        <v>85</v>
      </c>
      <c r="H95">
        <f ca="1">IF(AND(G95&lt;=O$3,RAND()&lt;=H$7),1,0)</f>
        <v>1</v>
      </c>
      <c r="I95">
        <f t="shared" ca="1" si="8"/>
        <v>85</v>
      </c>
      <c r="J95" s="80">
        <f t="shared" ca="1" si="7"/>
        <v>1</v>
      </c>
    </row>
    <row r="96" spans="7:10" x14ac:dyDescent="0.2">
      <c r="G96" s="60">
        <v>86</v>
      </c>
      <c r="H96">
        <f ca="1">IF(AND(G96&lt;=O$3,RAND()&lt;=H$7),1,0)</f>
        <v>1</v>
      </c>
      <c r="I96">
        <f t="shared" ca="1" si="8"/>
        <v>86</v>
      </c>
      <c r="J96" s="80">
        <f t="shared" ca="1" si="7"/>
        <v>1</v>
      </c>
    </row>
    <row r="97" spans="7:10" x14ac:dyDescent="0.2">
      <c r="G97" s="60">
        <v>87</v>
      </c>
      <c r="H97">
        <f ca="1">IF(AND(G97&lt;=O$3,RAND()&lt;=H$7),1,0)</f>
        <v>1</v>
      </c>
      <c r="I97">
        <f t="shared" ca="1" si="8"/>
        <v>87</v>
      </c>
      <c r="J97" s="80">
        <f t="shared" ca="1" si="7"/>
        <v>1</v>
      </c>
    </row>
    <row r="98" spans="7:10" x14ac:dyDescent="0.2">
      <c r="G98" s="60">
        <v>88</v>
      </c>
      <c r="H98">
        <f ca="1">IF(AND(G98&lt;=O$3,RAND()&lt;=H$7),1,0)</f>
        <v>1</v>
      </c>
      <c r="I98">
        <f t="shared" ca="1" si="8"/>
        <v>88</v>
      </c>
      <c r="J98" s="80">
        <f t="shared" ca="1" si="7"/>
        <v>1</v>
      </c>
    </row>
    <row r="99" spans="7:10" x14ac:dyDescent="0.2">
      <c r="G99" s="60">
        <v>89</v>
      </c>
      <c r="H99">
        <f ca="1">IF(AND(G99&lt;=O$3,RAND()&lt;=H$7),1,0)</f>
        <v>1</v>
      </c>
      <c r="I99">
        <f t="shared" ca="1" si="8"/>
        <v>89</v>
      </c>
      <c r="J99" s="80">
        <f t="shared" ca="1" si="7"/>
        <v>1</v>
      </c>
    </row>
    <row r="100" spans="7:10" x14ac:dyDescent="0.2">
      <c r="G100" s="60">
        <v>90</v>
      </c>
      <c r="H100">
        <f ca="1">IF(AND(G100&lt;=O$3,RAND()&lt;=H$7),1,0)</f>
        <v>0</v>
      </c>
      <c r="I100">
        <f t="shared" ca="1" si="8"/>
        <v>89</v>
      </c>
      <c r="J100" s="80">
        <f t="shared" ca="1" si="7"/>
        <v>0.98888888888888893</v>
      </c>
    </row>
    <row r="101" spans="7:10" x14ac:dyDescent="0.2">
      <c r="G101" s="60">
        <v>91</v>
      </c>
      <c r="H101">
        <f ca="1">IF(AND(G101&lt;=O$3,RAND()&lt;=H$7),1,0)</f>
        <v>1</v>
      </c>
      <c r="I101">
        <f t="shared" ca="1" si="8"/>
        <v>90</v>
      </c>
      <c r="J101" s="80">
        <f t="shared" ca="1" si="7"/>
        <v>0.98901098901098905</v>
      </c>
    </row>
    <row r="102" spans="7:10" x14ac:dyDescent="0.2">
      <c r="G102" s="60">
        <v>92</v>
      </c>
      <c r="H102">
        <f ca="1">IF(AND(G102&lt;=O$3,RAND()&lt;=H$7),1,0)</f>
        <v>1</v>
      </c>
      <c r="I102">
        <f t="shared" ca="1" si="8"/>
        <v>91</v>
      </c>
      <c r="J102" s="80">
        <f t="shared" ca="1" si="7"/>
        <v>0.98913043478260865</v>
      </c>
    </row>
    <row r="103" spans="7:10" x14ac:dyDescent="0.2">
      <c r="G103" s="60">
        <v>93</v>
      </c>
      <c r="H103">
        <f ca="1">IF(AND(G103&lt;=O$3,RAND()&lt;=H$7),1,0)</f>
        <v>1</v>
      </c>
      <c r="I103">
        <f t="shared" ca="1" si="8"/>
        <v>92</v>
      </c>
      <c r="J103" s="80">
        <f t="shared" ca="1" si="7"/>
        <v>0.989247311827957</v>
      </c>
    </row>
    <row r="104" spans="7:10" x14ac:dyDescent="0.2">
      <c r="G104" s="60">
        <v>94</v>
      </c>
      <c r="H104">
        <f ca="1">IF(AND(G104&lt;=O$3,RAND()&lt;=H$7),1,0)</f>
        <v>1</v>
      </c>
      <c r="I104">
        <f t="shared" ca="1" si="8"/>
        <v>93</v>
      </c>
      <c r="J104" s="80">
        <f t="shared" ca="1" si="7"/>
        <v>0.98936170212765961</v>
      </c>
    </row>
    <row r="105" spans="7:10" x14ac:dyDescent="0.2">
      <c r="G105" s="60">
        <v>95</v>
      </c>
      <c r="H105">
        <f ca="1">IF(AND(G105&lt;=O$3,RAND()&lt;=H$7),1,0)</f>
        <v>1</v>
      </c>
      <c r="I105">
        <f t="shared" ca="1" si="8"/>
        <v>94</v>
      </c>
      <c r="J105" s="80">
        <f t="shared" ca="1" si="7"/>
        <v>0.98947368421052628</v>
      </c>
    </row>
    <row r="106" spans="7:10" x14ac:dyDescent="0.2">
      <c r="G106" s="60">
        <v>96</v>
      </c>
      <c r="H106">
        <f ca="1">IF(AND(G106&lt;=O$3,RAND()&lt;=H$7),1,0)</f>
        <v>1</v>
      </c>
      <c r="I106">
        <f t="shared" ca="1" si="8"/>
        <v>95</v>
      </c>
      <c r="J106" s="80">
        <f t="shared" ca="1" si="7"/>
        <v>0.98958333333333337</v>
      </c>
    </row>
    <row r="107" spans="7:10" x14ac:dyDescent="0.2">
      <c r="G107" s="60">
        <v>97</v>
      </c>
      <c r="H107">
        <f ca="1">IF(AND(G107&lt;=O$3,RAND()&lt;=H$7),1,0)</f>
        <v>1</v>
      </c>
      <c r="I107">
        <f t="shared" ca="1" si="8"/>
        <v>96</v>
      </c>
      <c r="J107" s="80">
        <f t="shared" ca="1" si="7"/>
        <v>0.98969072164948457</v>
      </c>
    </row>
    <row r="108" spans="7:10" x14ac:dyDescent="0.2">
      <c r="G108" s="60">
        <v>98</v>
      </c>
      <c r="H108">
        <f ca="1">IF(AND(G108&lt;=O$3,RAND()&lt;=H$7),1,0)</f>
        <v>1</v>
      </c>
      <c r="I108">
        <f t="shared" ca="1" si="8"/>
        <v>97</v>
      </c>
      <c r="J108" s="80">
        <f t="shared" ca="1" si="7"/>
        <v>0.98979591836734693</v>
      </c>
    </row>
    <row r="109" spans="7:10" x14ac:dyDescent="0.2">
      <c r="G109" s="60">
        <v>99</v>
      </c>
      <c r="H109">
        <f ca="1">IF(AND(G109&lt;=O$3,RAND()&lt;=H$7),1,0)</f>
        <v>1</v>
      </c>
      <c r="I109">
        <f t="shared" ca="1" si="8"/>
        <v>98</v>
      </c>
      <c r="J109" s="80">
        <f t="shared" ca="1" si="7"/>
        <v>0.98989898989898994</v>
      </c>
    </row>
    <row r="110" spans="7:10" x14ac:dyDescent="0.2">
      <c r="G110" s="60">
        <v>100</v>
      </c>
      <c r="H110">
        <f ca="1">IF(AND(G110&lt;=O$3,RAND()&lt;=H$7),1,0)</f>
        <v>1</v>
      </c>
      <c r="I110">
        <f t="shared" ca="1" si="8"/>
        <v>99</v>
      </c>
      <c r="J110" s="80">
        <f t="shared" ca="1" si="7"/>
        <v>0.99</v>
      </c>
    </row>
    <row r="111" spans="7:10" x14ac:dyDescent="0.2">
      <c r="G111" s="60">
        <v>101</v>
      </c>
      <c r="H111">
        <f ca="1">IF(AND(G111&lt;=O$3,RAND()&lt;=H$7),1,0)</f>
        <v>1</v>
      </c>
      <c r="I111">
        <f t="shared" ca="1" si="8"/>
        <v>100</v>
      </c>
      <c r="J111" s="80">
        <f t="shared" ca="1" si="7"/>
        <v>0.99009900990099009</v>
      </c>
    </row>
    <row r="112" spans="7:10" x14ac:dyDescent="0.2">
      <c r="G112" s="60">
        <v>102</v>
      </c>
      <c r="H112">
        <f ca="1">IF(AND(G112&lt;=O$3,RAND()&lt;=H$7),1,0)</f>
        <v>1</v>
      </c>
      <c r="I112">
        <f t="shared" ca="1" si="8"/>
        <v>101</v>
      </c>
      <c r="J112" s="80">
        <f t="shared" ca="1" si="7"/>
        <v>0.99019607843137258</v>
      </c>
    </row>
    <row r="113" spans="7:10" x14ac:dyDescent="0.2">
      <c r="G113" s="60">
        <v>103</v>
      </c>
      <c r="H113">
        <f ca="1">IF(AND(G113&lt;=O$3,RAND()&lt;=H$7),1,0)</f>
        <v>1</v>
      </c>
      <c r="I113">
        <f t="shared" ca="1" si="8"/>
        <v>102</v>
      </c>
      <c r="J113" s="80">
        <f t="shared" ca="1" si="7"/>
        <v>0.99029126213592233</v>
      </c>
    </row>
    <row r="114" spans="7:10" x14ac:dyDescent="0.2">
      <c r="G114" s="60">
        <v>104</v>
      </c>
      <c r="H114">
        <f ca="1">IF(AND(G114&lt;=O$3,RAND()&lt;=H$7),1,0)</f>
        <v>1</v>
      </c>
      <c r="I114">
        <f t="shared" ca="1" si="8"/>
        <v>103</v>
      </c>
      <c r="J114" s="80">
        <f t="shared" ca="1" si="7"/>
        <v>0.99038461538461542</v>
      </c>
    </row>
    <row r="115" spans="7:10" x14ac:dyDescent="0.2">
      <c r="G115" s="60">
        <v>105</v>
      </c>
      <c r="H115">
        <f ca="1">IF(AND(G115&lt;=O$3,RAND()&lt;=H$7),1,0)</f>
        <v>1</v>
      </c>
      <c r="I115">
        <f t="shared" ca="1" si="8"/>
        <v>104</v>
      </c>
      <c r="J115" s="80">
        <f t="shared" ca="1" si="7"/>
        <v>0.99047619047619051</v>
      </c>
    </row>
    <row r="116" spans="7:10" x14ac:dyDescent="0.2">
      <c r="G116" s="60">
        <v>106</v>
      </c>
      <c r="H116">
        <f ca="1">IF(AND(G116&lt;=O$3,RAND()&lt;=H$7),1,0)</f>
        <v>1</v>
      </c>
      <c r="I116">
        <f t="shared" ca="1" si="8"/>
        <v>105</v>
      </c>
      <c r="J116" s="80">
        <f t="shared" ca="1" si="7"/>
        <v>0.99056603773584906</v>
      </c>
    </row>
    <row r="117" spans="7:10" x14ac:dyDescent="0.2">
      <c r="G117" s="60">
        <v>107</v>
      </c>
      <c r="H117">
        <f ca="1">IF(AND(G117&lt;=O$3,RAND()&lt;=H$7),1,0)</f>
        <v>1</v>
      </c>
      <c r="I117">
        <f t="shared" ca="1" si="8"/>
        <v>106</v>
      </c>
      <c r="J117" s="80">
        <f t="shared" ca="1" si="7"/>
        <v>0.99065420560747663</v>
      </c>
    </row>
    <row r="118" spans="7:10" x14ac:dyDescent="0.2">
      <c r="G118" s="60">
        <v>108</v>
      </c>
      <c r="H118">
        <f ca="1">IF(AND(G118&lt;=O$3,RAND()&lt;=H$7),1,0)</f>
        <v>1</v>
      </c>
      <c r="I118">
        <f t="shared" ca="1" si="8"/>
        <v>107</v>
      </c>
      <c r="J118" s="80">
        <f t="shared" ca="1" si="7"/>
        <v>0.9907407407407407</v>
      </c>
    </row>
    <row r="119" spans="7:10" x14ac:dyDescent="0.2">
      <c r="G119" s="60">
        <v>109</v>
      </c>
      <c r="H119">
        <f ca="1">IF(AND(G119&lt;=O$3,RAND()&lt;=H$7),1,0)</f>
        <v>1</v>
      </c>
      <c r="I119">
        <f t="shared" ca="1" si="8"/>
        <v>108</v>
      </c>
      <c r="J119" s="80">
        <f t="shared" ca="1" si="7"/>
        <v>0.99082568807339455</v>
      </c>
    </row>
    <row r="120" spans="7:10" x14ac:dyDescent="0.2">
      <c r="G120" s="60">
        <v>110</v>
      </c>
      <c r="H120">
        <f ca="1">IF(AND(G120&lt;=O$3,RAND()&lt;=H$7),1,0)</f>
        <v>1</v>
      </c>
      <c r="I120">
        <f t="shared" ca="1" si="8"/>
        <v>109</v>
      </c>
      <c r="J120" s="80">
        <f t="shared" ca="1" si="7"/>
        <v>0.99090909090909096</v>
      </c>
    </row>
    <row r="121" spans="7:10" x14ac:dyDescent="0.2">
      <c r="G121" s="60">
        <v>111</v>
      </c>
      <c r="H121">
        <f ca="1">IF(AND(G121&lt;=O$3,RAND()&lt;=H$7),1,0)</f>
        <v>1</v>
      </c>
      <c r="I121">
        <f t="shared" ca="1" si="8"/>
        <v>110</v>
      </c>
      <c r="J121" s="80">
        <f t="shared" ca="1" si="7"/>
        <v>0.99099099099099097</v>
      </c>
    </row>
    <row r="122" spans="7:10" x14ac:dyDescent="0.2">
      <c r="G122" s="60">
        <v>112</v>
      </c>
      <c r="H122">
        <f ca="1">IF(AND(G122&lt;=O$3,RAND()&lt;=H$7),1,0)</f>
        <v>1</v>
      </c>
      <c r="I122">
        <f t="shared" ca="1" si="8"/>
        <v>111</v>
      </c>
      <c r="J122" s="80">
        <f t="shared" ca="1" si="7"/>
        <v>0.9910714285714286</v>
      </c>
    </row>
    <row r="123" spans="7:10" x14ac:dyDescent="0.2">
      <c r="G123" s="60">
        <v>113</v>
      </c>
      <c r="H123">
        <f ca="1">IF(AND(G123&lt;=O$3,RAND()&lt;=H$7),1,0)</f>
        <v>1</v>
      </c>
      <c r="I123">
        <f t="shared" ca="1" si="8"/>
        <v>112</v>
      </c>
      <c r="J123" s="80">
        <f t="shared" ca="1" si="7"/>
        <v>0.99115044247787609</v>
      </c>
    </row>
    <row r="124" spans="7:10" x14ac:dyDescent="0.2">
      <c r="G124" s="60">
        <v>114</v>
      </c>
      <c r="H124">
        <f ca="1">IF(AND(G124&lt;=O$3,RAND()&lt;=H$7),1,0)</f>
        <v>1</v>
      </c>
      <c r="I124">
        <f t="shared" ca="1" si="8"/>
        <v>113</v>
      </c>
      <c r="J124" s="80">
        <f t="shared" ca="1" si="7"/>
        <v>0.99122807017543857</v>
      </c>
    </row>
    <row r="125" spans="7:10" x14ac:dyDescent="0.2">
      <c r="G125" s="60">
        <v>115</v>
      </c>
      <c r="H125">
        <f ca="1">IF(AND(G125&lt;=O$3,RAND()&lt;=H$7),1,0)</f>
        <v>1</v>
      </c>
      <c r="I125">
        <f t="shared" ca="1" si="8"/>
        <v>114</v>
      </c>
      <c r="J125" s="80">
        <f t="shared" ca="1" si="7"/>
        <v>0.99130434782608701</v>
      </c>
    </row>
    <row r="126" spans="7:10" x14ac:dyDescent="0.2">
      <c r="G126" s="60">
        <v>116</v>
      </c>
      <c r="H126">
        <f ca="1">IF(AND(G126&lt;=O$3,RAND()&lt;=H$7),1,0)</f>
        <v>1</v>
      </c>
      <c r="I126">
        <f t="shared" ca="1" si="8"/>
        <v>115</v>
      </c>
      <c r="J126" s="80">
        <f t="shared" ca="1" si="7"/>
        <v>0.99137931034482762</v>
      </c>
    </row>
    <row r="127" spans="7:10" x14ac:dyDescent="0.2">
      <c r="G127" s="60">
        <v>117</v>
      </c>
      <c r="H127">
        <f ca="1">IF(AND(G127&lt;=O$3,RAND()&lt;=H$7),1,0)</f>
        <v>1</v>
      </c>
      <c r="I127">
        <f t="shared" ca="1" si="8"/>
        <v>116</v>
      </c>
      <c r="J127" s="80">
        <f t="shared" ca="1" si="7"/>
        <v>0.99145299145299148</v>
      </c>
    </row>
    <row r="128" spans="7:10" x14ac:dyDescent="0.2">
      <c r="G128" s="60">
        <v>118</v>
      </c>
      <c r="H128">
        <f ca="1">IF(AND(G128&lt;=O$3,RAND()&lt;=H$7),1,0)</f>
        <v>1</v>
      </c>
      <c r="I128">
        <f t="shared" ca="1" si="8"/>
        <v>117</v>
      </c>
      <c r="J128" s="80">
        <f t="shared" ca="1" si="7"/>
        <v>0.99152542372881358</v>
      </c>
    </row>
    <row r="129" spans="7:10" x14ac:dyDescent="0.2">
      <c r="G129" s="60">
        <v>119</v>
      </c>
      <c r="H129">
        <f ca="1">IF(AND(G129&lt;=O$3,RAND()&lt;=H$7),1,0)</f>
        <v>1</v>
      </c>
      <c r="I129">
        <f t="shared" ca="1" si="8"/>
        <v>118</v>
      </c>
      <c r="J129" s="80">
        <f t="shared" ca="1" si="7"/>
        <v>0.99159663865546221</v>
      </c>
    </row>
    <row r="130" spans="7:10" x14ac:dyDescent="0.2">
      <c r="G130" s="60">
        <v>120</v>
      </c>
      <c r="H130">
        <f ca="1">IF(AND(G130&lt;=O$3,RAND()&lt;=H$7),1,0)</f>
        <v>1</v>
      </c>
      <c r="I130">
        <f t="shared" ca="1" si="8"/>
        <v>119</v>
      </c>
      <c r="J130" s="80">
        <f t="shared" ca="1" si="7"/>
        <v>0.9916666666666667</v>
      </c>
    </row>
    <row r="131" spans="7:10" x14ac:dyDescent="0.2">
      <c r="G131" s="60">
        <v>121</v>
      </c>
      <c r="H131">
        <f ca="1">IF(AND(G131&lt;=O$3,RAND()&lt;=H$7),1,0)</f>
        <v>1</v>
      </c>
      <c r="I131">
        <f t="shared" ca="1" si="8"/>
        <v>120</v>
      </c>
      <c r="J131" s="80">
        <f t="shared" ca="1" si="7"/>
        <v>0.99173553719008267</v>
      </c>
    </row>
    <row r="132" spans="7:10" x14ac:dyDescent="0.2">
      <c r="G132" s="60">
        <v>122</v>
      </c>
      <c r="H132">
        <f ca="1">IF(AND(G132&lt;=O$3,RAND()&lt;=H$7),1,0)</f>
        <v>1</v>
      </c>
      <c r="I132">
        <f t="shared" ca="1" si="8"/>
        <v>121</v>
      </c>
      <c r="J132" s="80">
        <f t="shared" ca="1" si="7"/>
        <v>0.99180327868852458</v>
      </c>
    </row>
    <row r="133" spans="7:10" x14ac:dyDescent="0.2">
      <c r="G133" s="60">
        <v>123</v>
      </c>
      <c r="H133">
        <f ca="1">IF(AND(G133&lt;=O$3,RAND()&lt;=H$7),1,0)</f>
        <v>1</v>
      </c>
      <c r="I133">
        <f t="shared" ca="1" si="8"/>
        <v>122</v>
      </c>
      <c r="J133" s="80">
        <f t="shared" ca="1" si="7"/>
        <v>0.99186991869918695</v>
      </c>
    </row>
    <row r="134" spans="7:10" x14ac:dyDescent="0.2">
      <c r="G134" s="60">
        <v>124</v>
      </c>
      <c r="H134">
        <f ca="1">IF(AND(G134&lt;=O$3,RAND()&lt;=H$7),1,0)</f>
        <v>1</v>
      </c>
      <c r="I134">
        <f t="shared" ca="1" si="8"/>
        <v>123</v>
      </c>
      <c r="J134" s="80">
        <f t="shared" ca="1" si="7"/>
        <v>0.99193548387096775</v>
      </c>
    </row>
    <row r="135" spans="7:10" x14ac:dyDescent="0.2">
      <c r="G135" s="60">
        <v>125</v>
      </c>
      <c r="H135">
        <f ca="1">IF(AND(G135&lt;=O$3,RAND()&lt;=H$7),1,0)</f>
        <v>1</v>
      </c>
      <c r="I135">
        <f t="shared" ca="1" si="8"/>
        <v>124</v>
      </c>
      <c r="J135" s="80">
        <f t="shared" ca="1" si="7"/>
        <v>0.99199999999999999</v>
      </c>
    </row>
    <row r="136" spans="7:10" x14ac:dyDescent="0.2">
      <c r="G136" s="60">
        <v>126</v>
      </c>
      <c r="H136">
        <f ca="1">IF(AND(G136&lt;=O$3,RAND()&lt;=H$7),1,0)</f>
        <v>1</v>
      </c>
      <c r="I136">
        <f t="shared" ca="1" si="8"/>
        <v>125</v>
      </c>
      <c r="J136" s="80">
        <f t="shared" ca="1" si="7"/>
        <v>0.99206349206349209</v>
      </c>
    </row>
    <row r="137" spans="7:10" x14ac:dyDescent="0.2">
      <c r="G137" s="60">
        <v>127</v>
      </c>
      <c r="H137">
        <f ca="1">IF(AND(G137&lt;=O$3,RAND()&lt;=H$7),1,0)</f>
        <v>1</v>
      </c>
      <c r="I137">
        <f t="shared" ca="1" si="8"/>
        <v>126</v>
      </c>
      <c r="J137" s="80">
        <f t="shared" ca="1" si="7"/>
        <v>0.99212598425196852</v>
      </c>
    </row>
    <row r="138" spans="7:10" x14ac:dyDescent="0.2">
      <c r="G138" s="60">
        <v>128</v>
      </c>
      <c r="H138">
        <f ca="1">IF(AND(G138&lt;=O$3,RAND()&lt;=H$7),1,0)</f>
        <v>1</v>
      </c>
      <c r="I138">
        <f t="shared" ca="1" si="8"/>
        <v>127</v>
      </c>
      <c r="J138" s="80">
        <f t="shared" ca="1" si="7"/>
        <v>0.9921875</v>
      </c>
    </row>
    <row r="139" spans="7:10" x14ac:dyDescent="0.2">
      <c r="G139" s="60">
        <v>129</v>
      </c>
      <c r="H139">
        <f ca="1">IF(AND(G139&lt;=O$3,RAND()&lt;=H$7),1,0)</f>
        <v>0</v>
      </c>
      <c r="I139">
        <f t="shared" ca="1" si="8"/>
        <v>127</v>
      </c>
      <c r="J139" s="80">
        <f t="shared" ca="1" si="7"/>
        <v>0.98449612403100772</v>
      </c>
    </row>
    <row r="140" spans="7:10" x14ac:dyDescent="0.2">
      <c r="G140" s="60">
        <v>130</v>
      </c>
      <c r="H140">
        <f ca="1">IF(AND(G140&lt;=O$3,RAND()&lt;=H$7),1,0)</f>
        <v>1</v>
      </c>
      <c r="I140">
        <f t="shared" ca="1" si="8"/>
        <v>128</v>
      </c>
      <c r="J140" s="80">
        <f t="shared" ref="J140:J203" ca="1" si="9">I140/G140</f>
        <v>0.98461538461538467</v>
      </c>
    </row>
    <row r="141" spans="7:10" x14ac:dyDescent="0.2">
      <c r="G141" s="60">
        <v>131</v>
      </c>
      <c r="H141">
        <f ca="1">IF(AND(G141&lt;=O$3,RAND()&lt;=H$7),1,0)</f>
        <v>1</v>
      </c>
      <c r="I141">
        <f t="shared" ref="I141:I204" ca="1" si="10">H141+I140</f>
        <v>129</v>
      </c>
      <c r="J141" s="80">
        <f t="shared" ca="1" si="9"/>
        <v>0.98473282442748089</v>
      </c>
    </row>
    <row r="142" spans="7:10" x14ac:dyDescent="0.2">
      <c r="G142" s="60">
        <v>132</v>
      </c>
      <c r="H142">
        <f ca="1">IF(AND(G142&lt;=O$3,RAND()&lt;=H$7),1,0)</f>
        <v>1</v>
      </c>
      <c r="I142">
        <f t="shared" ca="1" si="10"/>
        <v>130</v>
      </c>
      <c r="J142" s="80">
        <f t="shared" ca="1" si="9"/>
        <v>0.98484848484848486</v>
      </c>
    </row>
    <row r="143" spans="7:10" x14ac:dyDescent="0.2">
      <c r="G143" s="60">
        <v>133</v>
      </c>
      <c r="H143">
        <f ca="1">IF(AND(G143&lt;=O$3,RAND()&lt;=H$7),1,0)</f>
        <v>1</v>
      </c>
      <c r="I143">
        <f t="shared" ca="1" si="10"/>
        <v>131</v>
      </c>
      <c r="J143" s="80">
        <f t="shared" ca="1" si="9"/>
        <v>0.98496240601503759</v>
      </c>
    </row>
    <row r="144" spans="7:10" x14ac:dyDescent="0.2">
      <c r="G144" s="60">
        <v>134</v>
      </c>
      <c r="H144">
        <f ca="1">IF(AND(G144&lt;=O$3,RAND()&lt;=H$7),1,0)</f>
        <v>0</v>
      </c>
      <c r="I144">
        <f t="shared" ca="1" si="10"/>
        <v>131</v>
      </c>
      <c r="J144" s="80">
        <f t="shared" ca="1" si="9"/>
        <v>0.97761194029850751</v>
      </c>
    </row>
    <row r="145" spans="7:10" x14ac:dyDescent="0.2">
      <c r="G145" s="60">
        <v>135</v>
      </c>
      <c r="H145">
        <f ca="1">IF(AND(G145&lt;=O$3,RAND()&lt;=H$7),1,0)</f>
        <v>1</v>
      </c>
      <c r="I145">
        <f t="shared" ca="1" si="10"/>
        <v>132</v>
      </c>
      <c r="J145" s="80">
        <f t="shared" ca="1" si="9"/>
        <v>0.97777777777777775</v>
      </c>
    </row>
    <row r="146" spans="7:10" x14ac:dyDescent="0.2">
      <c r="G146" s="60">
        <v>136</v>
      </c>
      <c r="H146">
        <f ca="1">IF(AND(G146&lt;=O$3,RAND()&lt;=H$7),1,0)</f>
        <v>1</v>
      </c>
      <c r="I146">
        <f t="shared" ca="1" si="10"/>
        <v>133</v>
      </c>
      <c r="J146" s="80">
        <f t="shared" ca="1" si="9"/>
        <v>0.9779411764705882</v>
      </c>
    </row>
    <row r="147" spans="7:10" x14ac:dyDescent="0.2">
      <c r="G147" s="60">
        <v>137</v>
      </c>
      <c r="H147">
        <f ca="1">IF(AND(G147&lt;=O$3,RAND()&lt;=H$7),1,0)</f>
        <v>1</v>
      </c>
      <c r="I147">
        <f t="shared" ca="1" si="10"/>
        <v>134</v>
      </c>
      <c r="J147" s="80">
        <f t="shared" ca="1" si="9"/>
        <v>0.97810218978102192</v>
      </c>
    </row>
    <row r="148" spans="7:10" x14ac:dyDescent="0.2">
      <c r="G148" s="60">
        <v>138</v>
      </c>
      <c r="H148">
        <f ca="1">IF(AND(G148&lt;=O$3,RAND()&lt;=H$7),1,0)</f>
        <v>1</v>
      </c>
      <c r="I148">
        <f t="shared" ca="1" si="10"/>
        <v>135</v>
      </c>
      <c r="J148" s="80">
        <f t="shared" ca="1" si="9"/>
        <v>0.97826086956521741</v>
      </c>
    </row>
    <row r="149" spans="7:10" x14ac:dyDescent="0.2">
      <c r="G149" s="60">
        <v>139</v>
      </c>
      <c r="H149">
        <f ca="1">IF(AND(G149&lt;=O$3,RAND()&lt;=H$7),1,0)</f>
        <v>1</v>
      </c>
      <c r="I149">
        <f t="shared" ca="1" si="10"/>
        <v>136</v>
      </c>
      <c r="J149" s="80">
        <f t="shared" ca="1" si="9"/>
        <v>0.97841726618705038</v>
      </c>
    </row>
    <row r="150" spans="7:10" x14ac:dyDescent="0.2">
      <c r="G150" s="60">
        <v>140</v>
      </c>
      <c r="H150">
        <f ca="1">IF(AND(G150&lt;=O$3,RAND()&lt;=H$7),1,0)</f>
        <v>1</v>
      </c>
      <c r="I150">
        <f t="shared" ca="1" si="10"/>
        <v>137</v>
      </c>
      <c r="J150" s="80">
        <f t="shared" ca="1" si="9"/>
        <v>0.97857142857142854</v>
      </c>
    </row>
    <row r="151" spans="7:10" x14ac:dyDescent="0.2">
      <c r="G151" s="60">
        <v>141</v>
      </c>
      <c r="H151">
        <f ca="1">IF(AND(G151&lt;=O$3,RAND()&lt;=H$7),1,0)</f>
        <v>1</v>
      </c>
      <c r="I151">
        <f t="shared" ca="1" si="10"/>
        <v>138</v>
      </c>
      <c r="J151" s="80">
        <f t="shared" ca="1" si="9"/>
        <v>0.97872340425531912</v>
      </c>
    </row>
    <row r="152" spans="7:10" x14ac:dyDescent="0.2">
      <c r="G152" s="60">
        <v>142</v>
      </c>
      <c r="H152">
        <f ca="1">IF(AND(G152&lt;=O$3,RAND()&lt;=H$7),1,0)</f>
        <v>1</v>
      </c>
      <c r="I152">
        <f t="shared" ca="1" si="10"/>
        <v>139</v>
      </c>
      <c r="J152" s="80">
        <f t="shared" ca="1" si="9"/>
        <v>0.97887323943661975</v>
      </c>
    </row>
    <row r="153" spans="7:10" x14ac:dyDescent="0.2">
      <c r="G153" s="60">
        <v>143</v>
      </c>
      <c r="H153">
        <f ca="1">IF(AND(G153&lt;=O$3,RAND()&lt;=H$7),1,0)</f>
        <v>1</v>
      </c>
      <c r="I153">
        <f t="shared" ca="1" si="10"/>
        <v>140</v>
      </c>
      <c r="J153" s="80">
        <f t="shared" ca="1" si="9"/>
        <v>0.97902097902097907</v>
      </c>
    </row>
    <row r="154" spans="7:10" x14ac:dyDescent="0.2">
      <c r="G154" s="60">
        <v>144</v>
      </c>
      <c r="H154">
        <f ca="1">IF(AND(G154&lt;=O$3,RAND()&lt;=H$7),1,0)</f>
        <v>1</v>
      </c>
      <c r="I154">
        <f t="shared" ca="1" si="10"/>
        <v>141</v>
      </c>
      <c r="J154" s="80">
        <f t="shared" ca="1" si="9"/>
        <v>0.97916666666666663</v>
      </c>
    </row>
    <row r="155" spans="7:10" x14ac:dyDescent="0.2">
      <c r="G155" s="60">
        <v>145</v>
      </c>
      <c r="H155">
        <f ca="1">IF(AND(G155&lt;=O$3,RAND()&lt;=H$7),1,0)</f>
        <v>1</v>
      </c>
      <c r="I155">
        <f t="shared" ca="1" si="10"/>
        <v>142</v>
      </c>
      <c r="J155" s="80">
        <f t="shared" ca="1" si="9"/>
        <v>0.97931034482758617</v>
      </c>
    </row>
    <row r="156" spans="7:10" x14ac:dyDescent="0.2">
      <c r="G156" s="60">
        <v>146</v>
      </c>
      <c r="H156">
        <f ca="1">IF(AND(G156&lt;=O$3,RAND()&lt;=H$7),1,0)</f>
        <v>1</v>
      </c>
      <c r="I156">
        <f t="shared" ca="1" si="10"/>
        <v>143</v>
      </c>
      <c r="J156" s="80">
        <f t="shared" ca="1" si="9"/>
        <v>0.97945205479452058</v>
      </c>
    </row>
    <row r="157" spans="7:10" x14ac:dyDescent="0.2">
      <c r="G157" s="60">
        <v>147</v>
      </c>
      <c r="H157">
        <f ca="1">IF(AND(G157&lt;=O$3,RAND()&lt;=H$7),1,0)</f>
        <v>1</v>
      </c>
      <c r="I157">
        <f t="shared" ca="1" si="10"/>
        <v>144</v>
      </c>
      <c r="J157" s="80">
        <f t="shared" ca="1" si="9"/>
        <v>0.97959183673469385</v>
      </c>
    </row>
    <row r="158" spans="7:10" x14ac:dyDescent="0.2">
      <c r="G158" s="60">
        <v>148</v>
      </c>
      <c r="H158">
        <f ca="1">IF(AND(G158&lt;=O$3,RAND()&lt;=H$7),1,0)</f>
        <v>1</v>
      </c>
      <c r="I158">
        <f t="shared" ca="1" si="10"/>
        <v>145</v>
      </c>
      <c r="J158" s="80">
        <f t="shared" ca="1" si="9"/>
        <v>0.97972972972972971</v>
      </c>
    </row>
    <row r="159" spans="7:10" x14ac:dyDescent="0.2">
      <c r="G159" s="60">
        <v>149</v>
      </c>
      <c r="H159">
        <f ca="1">IF(AND(G159&lt;=O$3,RAND()&lt;=H$7),1,0)</f>
        <v>1</v>
      </c>
      <c r="I159">
        <f t="shared" ca="1" si="10"/>
        <v>146</v>
      </c>
      <c r="J159" s="80">
        <f t="shared" ca="1" si="9"/>
        <v>0.97986577181208057</v>
      </c>
    </row>
    <row r="160" spans="7:10" x14ac:dyDescent="0.2">
      <c r="G160" s="60">
        <v>150</v>
      </c>
      <c r="H160">
        <f ca="1">IF(AND(G160&lt;=O$3,RAND()&lt;=H$7),1,0)</f>
        <v>1</v>
      </c>
      <c r="I160">
        <f t="shared" ca="1" si="10"/>
        <v>147</v>
      </c>
      <c r="J160" s="80">
        <f t="shared" ca="1" si="9"/>
        <v>0.98</v>
      </c>
    </row>
    <row r="161" spans="7:10" x14ac:dyDescent="0.2">
      <c r="G161" s="60">
        <v>151</v>
      </c>
      <c r="H161">
        <f ca="1">IF(AND(G161&lt;=O$3,RAND()&lt;=H$7),1,0)</f>
        <v>1</v>
      </c>
      <c r="I161">
        <f t="shared" ca="1" si="10"/>
        <v>148</v>
      </c>
      <c r="J161" s="80">
        <f t="shared" ca="1" si="9"/>
        <v>0.98013245033112584</v>
      </c>
    </row>
    <row r="162" spans="7:10" x14ac:dyDescent="0.2">
      <c r="G162" s="60">
        <v>152</v>
      </c>
      <c r="H162">
        <f ca="1">IF(AND(G162&lt;=O$3,RAND()&lt;=H$7),1,0)</f>
        <v>1</v>
      </c>
      <c r="I162">
        <f t="shared" ca="1" si="10"/>
        <v>149</v>
      </c>
      <c r="J162" s="80">
        <f t="shared" ca="1" si="9"/>
        <v>0.98026315789473684</v>
      </c>
    </row>
    <row r="163" spans="7:10" x14ac:dyDescent="0.2">
      <c r="G163" s="60">
        <v>153</v>
      </c>
      <c r="H163">
        <f ca="1">IF(AND(G163&lt;=O$3,RAND()&lt;=H$7),1,0)</f>
        <v>1</v>
      </c>
      <c r="I163">
        <f t="shared" ca="1" si="10"/>
        <v>150</v>
      </c>
      <c r="J163" s="80">
        <f t="shared" ca="1" si="9"/>
        <v>0.98039215686274506</v>
      </c>
    </row>
    <row r="164" spans="7:10" x14ac:dyDescent="0.2">
      <c r="G164" s="60">
        <v>154</v>
      </c>
      <c r="H164">
        <f ca="1">IF(AND(G164&lt;=O$3,RAND()&lt;=H$7),1,0)</f>
        <v>1</v>
      </c>
      <c r="I164">
        <f t="shared" ca="1" si="10"/>
        <v>151</v>
      </c>
      <c r="J164" s="80">
        <f t="shared" ca="1" si="9"/>
        <v>0.98051948051948057</v>
      </c>
    </row>
    <row r="165" spans="7:10" x14ac:dyDescent="0.2">
      <c r="G165" s="60">
        <v>155</v>
      </c>
      <c r="H165">
        <f ca="1">IF(AND(G165&lt;=O$3,RAND()&lt;=H$7),1,0)</f>
        <v>1</v>
      </c>
      <c r="I165">
        <f t="shared" ca="1" si="10"/>
        <v>152</v>
      </c>
      <c r="J165" s="80">
        <f t="shared" ca="1" si="9"/>
        <v>0.98064516129032253</v>
      </c>
    </row>
    <row r="166" spans="7:10" x14ac:dyDescent="0.2">
      <c r="G166" s="60">
        <v>156</v>
      </c>
      <c r="H166">
        <f ca="1">IF(AND(G166&lt;=O$3,RAND()&lt;=H$7),1,0)</f>
        <v>1</v>
      </c>
      <c r="I166">
        <f t="shared" ca="1" si="10"/>
        <v>153</v>
      </c>
      <c r="J166" s="80">
        <f t="shared" ca="1" si="9"/>
        <v>0.98076923076923073</v>
      </c>
    </row>
    <row r="167" spans="7:10" x14ac:dyDescent="0.2">
      <c r="G167" s="60">
        <v>157</v>
      </c>
      <c r="H167">
        <f ca="1">IF(AND(G167&lt;=O$3,RAND()&lt;=H$7),1,0)</f>
        <v>1</v>
      </c>
      <c r="I167">
        <f t="shared" ca="1" si="10"/>
        <v>154</v>
      </c>
      <c r="J167" s="80">
        <f t="shared" ca="1" si="9"/>
        <v>0.98089171974522293</v>
      </c>
    </row>
    <row r="168" spans="7:10" x14ac:dyDescent="0.2">
      <c r="G168" s="60">
        <v>158</v>
      </c>
      <c r="H168">
        <f ca="1">IF(AND(G168&lt;=O$3,RAND()&lt;=H$7),1,0)</f>
        <v>1</v>
      </c>
      <c r="I168">
        <f t="shared" ca="1" si="10"/>
        <v>155</v>
      </c>
      <c r="J168" s="80">
        <f t="shared" ca="1" si="9"/>
        <v>0.98101265822784811</v>
      </c>
    </row>
    <row r="169" spans="7:10" x14ac:dyDescent="0.2">
      <c r="G169" s="60">
        <v>159</v>
      </c>
      <c r="H169">
        <f ca="1">IF(AND(G169&lt;=O$3,RAND()&lt;=H$7),1,0)</f>
        <v>1</v>
      </c>
      <c r="I169">
        <f t="shared" ca="1" si="10"/>
        <v>156</v>
      </c>
      <c r="J169" s="80">
        <f t="shared" ca="1" si="9"/>
        <v>0.98113207547169812</v>
      </c>
    </row>
    <row r="170" spans="7:10" x14ac:dyDescent="0.2">
      <c r="G170" s="60">
        <v>160</v>
      </c>
      <c r="H170">
        <f ca="1">IF(AND(G170&lt;=O$3,RAND()&lt;=H$7),1,0)</f>
        <v>1</v>
      </c>
      <c r="I170">
        <f t="shared" ca="1" si="10"/>
        <v>157</v>
      </c>
      <c r="J170" s="80">
        <f t="shared" ca="1" si="9"/>
        <v>0.98124999999999996</v>
      </c>
    </row>
    <row r="171" spans="7:10" x14ac:dyDescent="0.2">
      <c r="G171" s="60">
        <v>161</v>
      </c>
      <c r="H171">
        <f ca="1">IF(AND(G171&lt;=O$3,RAND()&lt;=H$7),1,0)</f>
        <v>1</v>
      </c>
      <c r="I171">
        <f t="shared" ca="1" si="10"/>
        <v>158</v>
      </c>
      <c r="J171" s="80">
        <f t="shared" ca="1" si="9"/>
        <v>0.98136645962732916</v>
      </c>
    </row>
    <row r="172" spans="7:10" x14ac:dyDescent="0.2">
      <c r="G172" s="60">
        <v>162</v>
      </c>
      <c r="H172">
        <f ca="1">IF(AND(G172&lt;=O$3,RAND()&lt;=H$7),1,0)</f>
        <v>1</v>
      </c>
      <c r="I172">
        <f t="shared" ca="1" si="10"/>
        <v>159</v>
      </c>
      <c r="J172" s="80">
        <f t="shared" ca="1" si="9"/>
        <v>0.98148148148148151</v>
      </c>
    </row>
    <row r="173" spans="7:10" x14ac:dyDescent="0.2">
      <c r="G173" s="60">
        <v>163</v>
      </c>
      <c r="H173">
        <f ca="1">IF(AND(G173&lt;=O$3,RAND()&lt;=H$7),1,0)</f>
        <v>1</v>
      </c>
      <c r="I173">
        <f t="shared" ca="1" si="10"/>
        <v>160</v>
      </c>
      <c r="J173" s="80">
        <f t="shared" ca="1" si="9"/>
        <v>0.98159509202453987</v>
      </c>
    </row>
    <row r="174" spans="7:10" x14ac:dyDescent="0.2">
      <c r="G174" s="60">
        <v>164</v>
      </c>
      <c r="H174">
        <f ca="1">IF(AND(G174&lt;=O$3,RAND()&lt;=H$7),1,0)</f>
        <v>1</v>
      </c>
      <c r="I174">
        <f t="shared" ca="1" si="10"/>
        <v>161</v>
      </c>
      <c r="J174" s="80">
        <f t="shared" ca="1" si="9"/>
        <v>0.98170731707317072</v>
      </c>
    </row>
    <row r="175" spans="7:10" x14ac:dyDescent="0.2">
      <c r="G175" s="60">
        <v>165</v>
      </c>
      <c r="H175">
        <f ca="1">IF(AND(G175&lt;=O$3,RAND()&lt;=H$7),1,0)</f>
        <v>1</v>
      </c>
      <c r="I175">
        <f t="shared" ca="1" si="10"/>
        <v>162</v>
      </c>
      <c r="J175" s="80">
        <f t="shared" ca="1" si="9"/>
        <v>0.98181818181818181</v>
      </c>
    </row>
    <row r="176" spans="7:10" x14ac:dyDescent="0.2">
      <c r="G176" s="60">
        <v>166</v>
      </c>
      <c r="H176">
        <f ca="1">IF(AND(G176&lt;=O$3,RAND()&lt;=H$7),1,0)</f>
        <v>1</v>
      </c>
      <c r="I176">
        <f t="shared" ca="1" si="10"/>
        <v>163</v>
      </c>
      <c r="J176" s="80">
        <f t="shared" ca="1" si="9"/>
        <v>0.98192771084337349</v>
      </c>
    </row>
    <row r="177" spans="7:10" x14ac:dyDescent="0.2">
      <c r="G177" s="60">
        <v>167</v>
      </c>
      <c r="H177">
        <f ca="1">IF(AND(G177&lt;=O$3,RAND()&lt;=H$7),1,0)</f>
        <v>1</v>
      </c>
      <c r="I177">
        <f t="shared" ca="1" si="10"/>
        <v>164</v>
      </c>
      <c r="J177" s="80">
        <f t="shared" ca="1" si="9"/>
        <v>0.98203592814371254</v>
      </c>
    </row>
    <row r="178" spans="7:10" x14ac:dyDescent="0.2">
      <c r="G178" s="60">
        <v>168</v>
      </c>
      <c r="H178">
        <f ca="1">IF(AND(G178&lt;=O$3,RAND()&lt;=H$7),1,0)</f>
        <v>1</v>
      </c>
      <c r="I178">
        <f t="shared" ca="1" si="10"/>
        <v>165</v>
      </c>
      <c r="J178" s="80">
        <f t="shared" ca="1" si="9"/>
        <v>0.9821428571428571</v>
      </c>
    </row>
    <row r="179" spans="7:10" x14ac:dyDescent="0.2">
      <c r="G179" s="60">
        <v>169</v>
      </c>
      <c r="H179">
        <f ca="1">IF(AND(G179&lt;=O$3,RAND()&lt;=H$7),1,0)</f>
        <v>1</v>
      </c>
      <c r="I179">
        <f t="shared" ca="1" si="10"/>
        <v>166</v>
      </c>
      <c r="J179" s="80">
        <f t="shared" ca="1" si="9"/>
        <v>0.98224852071005919</v>
      </c>
    </row>
    <row r="180" spans="7:10" x14ac:dyDescent="0.2">
      <c r="G180" s="60">
        <v>170</v>
      </c>
      <c r="H180">
        <f ca="1">IF(AND(G180&lt;=O$3,RAND()&lt;=H$7),1,0)</f>
        <v>1</v>
      </c>
      <c r="I180">
        <f t="shared" ca="1" si="10"/>
        <v>167</v>
      </c>
      <c r="J180" s="80">
        <f t="shared" ca="1" si="9"/>
        <v>0.98235294117647054</v>
      </c>
    </row>
    <row r="181" spans="7:10" x14ac:dyDescent="0.2">
      <c r="G181" s="60">
        <v>171</v>
      </c>
      <c r="H181">
        <f ca="1">IF(AND(G181&lt;=O$3,RAND()&lt;=H$7),1,0)</f>
        <v>1</v>
      </c>
      <c r="I181">
        <f t="shared" ca="1" si="10"/>
        <v>168</v>
      </c>
      <c r="J181" s="80">
        <f t="shared" ca="1" si="9"/>
        <v>0.98245614035087714</v>
      </c>
    </row>
    <row r="182" spans="7:10" x14ac:dyDescent="0.2">
      <c r="G182" s="60">
        <v>172</v>
      </c>
      <c r="H182">
        <f ca="1">IF(AND(G182&lt;=O$3,RAND()&lt;=H$7),1,0)</f>
        <v>1</v>
      </c>
      <c r="I182">
        <f t="shared" ca="1" si="10"/>
        <v>169</v>
      </c>
      <c r="J182" s="80">
        <f t="shared" ca="1" si="9"/>
        <v>0.98255813953488369</v>
      </c>
    </row>
    <row r="183" spans="7:10" x14ac:dyDescent="0.2">
      <c r="G183" s="60">
        <v>173</v>
      </c>
      <c r="H183">
        <f ca="1">IF(AND(G183&lt;=O$3,RAND()&lt;=H$7),1,0)</f>
        <v>1</v>
      </c>
      <c r="I183">
        <f t="shared" ca="1" si="10"/>
        <v>170</v>
      </c>
      <c r="J183" s="80">
        <f t="shared" ca="1" si="9"/>
        <v>0.98265895953757221</v>
      </c>
    </row>
    <row r="184" spans="7:10" x14ac:dyDescent="0.2">
      <c r="G184" s="60">
        <v>174</v>
      </c>
      <c r="H184">
        <f ca="1">IF(AND(G184&lt;=O$3,RAND()&lt;=H$7),1,0)</f>
        <v>1</v>
      </c>
      <c r="I184">
        <f t="shared" ca="1" si="10"/>
        <v>171</v>
      </c>
      <c r="J184" s="80">
        <f t="shared" ca="1" si="9"/>
        <v>0.98275862068965514</v>
      </c>
    </row>
    <row r="185" spans="7:10" x14ac:dyDescent="0.2">
      <c r="G185" s="60">
        <v>175</v>
      </c>
      <c r="H185">
        <f ca="1">IF(AND(G185&lt;=O$3,RAND()&lt;=H$7),1,0)</f>
        <v>1</v>
      </c>
      <c r="I185">
        <f t="shared" ca="1" si="10"/>
        <v>172</v>
      </c>
      <c r="J185" s="80">
        <f t="shared" ca="1" si="9"/>
        <v>0.98285714285714287</v>
      </c>
    </row>
    <row r="186" spans="7:10" x14ac:dyDescent="0.2">
      <c r="G186" s="60">
        <v>176</v>
      </c>
      <c r="H186">
        <f ca="1">IF(AND(G186&lt;=O$3,RAND()&lt;=H$7),1,0)</f>
        <v>1</v>
      </c>
      <c r="I186">
        <f t="shared" ca="1" si="10"/>
        <v>173</v>
      </c>
      <c r="J186" s="80">
        <f t="shared" ca="1" si="9"/>
        <v>0.98295454545454541</v>
      </c>
    </row>
    <row r="187" spans="7:10" x14ac:dyDescent="0.2">
      <c r="G187" s="60">
        <v>177</v>
      </c>
      <c r="H187">
        <f ca="1">IF(AND(G187&lt;=O$3,RAND()&lt;=H$7),1,0)</f>
        <v>1</v>
      </c>
      <c r="I187">
        <f t="shared" ca="1" si="10"/>
        <v>174</v>
      </c>
      <c r="J187" s="80">
        <f t="shared" ca="1" si="9"/>
        <v>0.98305084745762716</v>
      </c>
    </row>
    <row r="188" spans="7:10" x14ac:dyDescent="0.2">
      <c r="G188" s="60">
        <v>178</v>
      </c>
      <c r="H188">
        <f ca="1">IF(AND(G188&lt;=O$3,RAND()&lt;=H$7),1,0)</f>
        <v>1</v>
      </c>
      <c r="I188">
        <f t="shared" ca="1" si="10"/>
        <v>175</v>
      </c>
      <c r="J188" s="80">
        <f t="shared" ca="1" si="9"/>
        <v>0.9831460674157303</v>
      </c>
    </row>
    <row r="189" spans="7:10" x14ac:dyDescent="0.2">
      <c r="G189" s="60">
        <v>179</v>
      </c>
      <c r="H189">
        <f ca="1">IF(AND(G189&lt;=O$3,RAND()&lt;=H$7),1,0)</f>
        <v>1</v>
      </c>
      <c r="I189">
        <f t="shared" ca="1" si="10"/>
        <v>176</v>
      </c>
      <c r="J189" s="80">
        <f t="shared" ca="1" si="9"/>
        <v>0.98324022346368711</v>
      </c>
    </row>
    <row r="190" spans="7:10" x14ac:dyDescent="0.2">
      <c r="G190" s="60">
        <v>180</v>
      </c>
      <c r="H190">
        <f ca="1">IF(AND(G190&lt;=O$3,RAND()&lt;=H$7),1,0)</f>
        <v>1</v>
      </c>
      <c r="I190">
        <f t="shared" ca="1" si="10"/>
        <v>177</v>
      </c>
      <c r="J190" s="80">
        <f t="shared" ca="1" si="9"/>
        <v>0.98333333333333328</v>
      </c>
    </row>
    <row r="191" spans="7:10" x14ac:dyDescent="0.2">
      <c r="G191" s="60">
        <v>181</v>
      </c>
      <c r="H191">
        <f ca="1">IF(AND(G191&lt;=O$3,RAND()&lt;=H$7),1,0)</f>
        <v>1</v>
      </c>
      <c r="I191">
        <f t="shared" ca="1" si="10"/>
        <v>178</v>
      </c>
      <c r="J191" s="80">
        <f t="shared" ca="1" si="9"/>
        <v>0.98342541436464093</v>
      </c>
    </row>
    <row r="192" spans="7:10" x14ac:dyDescent="0.2">
      <c r="G192" s="60">
        <v>182</v>
      </c>
      <c r="H192">
        <f ca="1">IF(AND(G192&lt;=O$3,RAND()&lt;=H$7),1,0)</f>
        <v>1</v>
      </c>
      <c r="I192">
        <f t="shared" ca="1" si="10"/>
        <v>179</v>
      </c>
      <c r="J192" s="80">
        <f t="shared" ca="1" si="9"/>
        <v>0.98351648351648346</v>
      </c>
    </row>
    <row r="193" spans="7:10" x14ac:dyDescent="0.2">
      <c r="G193" s="60">
        <v>183</v>
      </c>
      <c r="H193">
        <f ca="1">IF(AND(G193&lt;=O$3,RAND()&lt;=H$7),1,0)</f>
        <v>1</v>
      </c>
      <c r="I193">
        <f t="shared" ca="1" si="10"/>
        <v>180</v>
      </c>
      <c r="J193" s="80">
        <f t="shared" ca="1" si="9"/>
        <v>0.98360655737704916</v>
      </c>
    </row>
    <row r="194" spans="7:10" x14ac:dyDescent="0.2">
      <c r="G194" s="60">
        <v>184</v>
      </c>
      <c r="H194">
        <f ca="1">IF(AND(G194&lt;=O$3,RAND()&lt;=H$7),1,0)</f>
        <v>1</v>
      </c>
      <c r="I194">
        <f t="shared" ca="1" si="10"/>
        <v>181</v>
      </c>
      <c r="J194" s="80">
        <f t="shared" ca="1" si="9"/>
        <v>0.98369565217391308</v>
      </c>
    </row>
    <row r="195" spans="7:10" x14ac:dyDescent="0.2">
      <c r="G195" s="60">
        <v>185</v>
      </c>
      <c r="H195">
        <f ca="1">IF(AND(G195&lt;=O$3,RAND()&lt;=H$7),1,0)</f>
        <v>1</v>
      </c>
      <c r="I195">
        <f t="shared" ca="1" si="10"/>
        <v>182</v>
      </c>
      <c r="J195" s="80">
        <f t="shared" ca="1" si="9"/>
        <v>0.98378378378378384</v>
      </c>
    </row>
    <row r="196" spans="7:10" x14ac:dyDescent="0.2">
      <c r="G196" s="60">
        <v>186</v>
      </c>
      <c r="H196">
        <f ca="1">IF(AND(G196&lt;=O$3,RAND()&lt;=H$7),1,0)</f>
        <v>1</v>
      </c>
      <c r="I196">
        <f t="shared" ca="1" si="10"/>
        <v>183</v>
      </c>
      <c r="J196" s="80">
        <f t="shared" ca="1" si="9"/>
        <v>0.9838709677419355</v>
      </c>
    </row>
    <row r="197" spans="7:10" x14ac:dyDescent="0.2">
      <c r="G197" s="60">
        <v>187</v>
      </c>
      <c r="H197">
        <f ca="1">IF(AND(G197&lt;=O$3,RAND()&lt;=H$7),1,0)</f>
        <v>1</v>
      </c>
      <c r="I197">
        <f t="shared" ca="1" si="10"/>
        <v>184</v>
      </c>
      <c r="J197" s="80">
        <f t="shared" ca="1" si="9"/>
        <v>0.98395721925133695</v>
      </c>
    </row>
    <row r="198" spans="7:10" x14ac:dyDescent="0.2">
      <c r="G198" s="60">
        <v>188</v>
      </c>
      <c r="H198">
        <f ca="1">IF(AND(G198&lt;=O$3,RAND()&lt;=H$7),1,0)</f>
        <v>1</v>
      </c>
      <c r="I198">
        <f t="shared" ca="1" si="10"/>
        <v>185</v>
      </c>
      <c r="J198" s="80">
        <f t="shared" ca="1" si="9"/>
        <v>0.98404255319148937</v>
      </c>
    </row>
    <row r="199" spans="7:10" x14ac:dyDescent="0.2">
      <c r="G199" s="60">
        <v>189</v>
      </c>
      <c r="H199">
        <f ca="1">IF(AND(G199&lt;=O$3,RAND()&lt;=H$7),1,0)</f>
        <v>1</v>
      </c>
      <c r="I199">
        <f t="shared" ca="1" si="10"/>
        <v>186</v>
      </c>
      <c r="J199" s="80">
        <f t="shared" ca="1" si="9"/>
        <v>0.98412698412698407</v>
      </c>
    </row>
    <row r="200" spans="7:10" x14ac:dyDescent="0.2">
      <c r="G200" s="60">
        <v>190</v>
      </c>
      <c r="H200">
        <f ca="1">IF(AND(G200&lt;=O$3,RAND()&lt;=H$7),1,0)</f>
        <v>1</v>
      </c>
      <c r="I200">
        <f t="shared" ca="1" si="10"/>
        <v>187</v>
      </c>
      <c r="J200" s="80">
        <f t="shared" ca="1" si="9"/>
        <v>0.98421052631578942</v>
      </c>
    </row>
    <row r="201" spans="7:10" x14ac:dyDescent="0.2">
      <c r="G201" s="60">
        <v>191</v>
      </c>
      <c r="H201">
        <f ca="1">IF(AND(G201&lt;=O$3,RAND()&lt;=H$7),1,0)</f>
        <v>1</v>
      </c>
      <c r="I201">
        <f t="shared" ca="1" si="10"/>
        <v>188</v>
      </c>
      <c r="J201" s="80">
        <f t="shared" ca="1" si="9"/>
        <v>0.98429319371727753</v>
      </c>
    </row>
    <row r="202" spans="7:10" x14ac:dyDescent="0.2">
      <c r="G202" s="60">
        <v>192</v>
      </c>
      <c r="H202">
        <f ca="1">IF(AND(G202&lt;=O$3,RAND()&lt;=H$7),1,0)</f>
        <v>1</v>
      </c>
      <c r="I202">
        <f t="shared" ca="1" si="10"/>
        <v>189</v>
      </c>
      <c r="J202" s="80">
        <f t="shared" ca="1" si="9"/>
        <v>0.984375</v>
      </c>
    </row>
    <row r="203" spans="7:10" x14ac:dyDescent="0.2">
      <c r="G203" s="60">
        <v>193</v>
      </c>
      <c r="H203">
        <f ca="1">IF(AND(G203&lt;=O$3,RAND()&lt;=H$7),1,0)</f>
        <v>1</v>
      </c>
      <c r="I203">
        <f t="shared" ca="1" si="10"/>
        <v>190</v>
      </c>
      <c r="J203" s="80">
        <f t="shared" ca="1" si="9"/>
        <v>0.98445595854922274</v>
      </c>
    </row>
    <row r="204" spans="7:10" x14ac:dyDescent="0.2">
      <c r="G204" s="60">
        <v>194</v>
      </c>
      <c r="H204">
        <f ca="1">IF(AND(G204&lt;=O$3,RAND()&lt;=H$7),1,0)</f>
        <v>1</v>
      </c>
      <c r="I204">
        <f t="shared" ca="1" si="10"/>
        <v>191</v>
      </c>
      <c r="J204" s="80">
        <f t="shared" ref="J204:J267" ca="1" si="11">I204/G204</f>
        <v>0.98453608247422686</v>
      </c>
    </row>
    <row r="205" spans="7:10" x14ac:dyDescent="0.2">
      <c r="G205" s="60">
        <v>195</v>
      </c>
      <c r="H205">
        <f ca="1">IF(AND(G205&lt;=O$3,RAND()&lt;=H$7),1,0)</f>
        <v>1</v>
      </c>
      <c r="I205">
        <f t="shared" ref="I205:I268" ca="1" si="12">H205+I204</f>
        <v>192</v>
      </c>
      <c r="J205" s="80">
        <f t="shared" ca="1" si="11"/>
        <v>0.98461538461538467</v>
      </c>
    </row>
    <row r="206" spans="7:10" x14ac:dyDescent="0.2">
      <c r="G206" s="60">
        <v>196</v>
      </c>
      <c r="H206">
        <f ca="1">IF(AND(G206&lt;=O$3,RAND()&lt;=H$7),1,0)</f>
        <v>1</v>
      </c>
      <c r="I206">
        <f t="shared" ca="1" si="12"/>
        <v>193</v>
      </c>
      <c r="J206" s="80">
        <f t="shared" ca="1" si="11"/>
        <v>0.98469387755102045</v>
      </c>
    </row>
    <row r="207" spans="7:10" x14ac:dyDescent="0.2">
      <c r="G207" s="60">
        <v>197</v>
      </c>
      <c r="H207">
        <f ca="1">IF(AND(G207&lt;=O$3,RAND()&lt;=H$7),1,0)</f>
        <v>1</v>
      </c>
      <c r="I207">
        <f t="shared" ca="1" si="12"/>
        <v>194</v>
      </c>
      <c r="J207" s="80">
        <f t="shared" ca="1" si="11"/>
        <v>0.98477157360406087</v>
      </c>
    </row>
    <row r="208" spans="7:10" x14ac:dyDescent="0.2">
      <c r="G208" s="60">
        <v>198</v>
      </c>
      <c r="H208">
        <f ca="1">IF(AND(G208&lt;=O$3,RAND()&lt;=H$7),1,0)</f>
        <v>1</v>
      </c>
      <c r="I208">
        <f t="shared" ca="1" si="12"/>
        <v>195</v>
      </c>
      <c r="J208" s="80">
        <f t="shared" ca="1" si="11"/>
        <v>0.98484848484848486</v>
      </c>
    </row>
    <row r="209" spans="7:10" x14ac:dyDescent="0.2">
      <c r="G209" s="60">
        <v>199</v>
      </c>
      <c r="H209">
        <f ca="1">IF(AND(G209&lt;=O$3,RAND()&lt;=H$7),1,0)</f>
        <v>1</v>
      </c>
      <c r="I209">
        <f t="shared" ca="1" si="12"/>
        <v>196</v>
      </c>
      <c r="J209" s="80">
        <f t="shared" ca="1" si="11"/>
        <v>0.98492462311557794</v>
      </c>
    </row>
    <row r="210" spans="7:10" x14ac:dyDescent="0.2">
      <c r="G210" s="60">
        <v>200</v>
      </c>
      <c r="H210">
        <f ca="1">IF(AND(G210&lt;=O$3,RAND()&lt;=H$7),1,0)</f>
        <v>1</v>
      </c>
      <c r="I210">
        <f t="shared" ca="1" si="12"/>
        <v>197</v>
      </c>
      <c r="J210" s="80">
        <f t="shared" ca="1" si="11"/>
        <v>0.98499999999999999</v>
      </c>
    </row>
    <row r="211" spans="7:10" x14ac:dyDescent="0.2">
      <c r="G211" s="60">
        <v>201</v>
      </c>
      <c r="H211">
        <f ca="1">IF(AND(G211&lt;=O$3,RAND()&lt;=H$7),1,0)</f>
        <v>1</v>
      </c>
      <c r="I211">
        <f t="shared" ca="1" si="12"/>
        <v>198</v>
      </c>
      <c r="J211" s="80">
        <f t="shared" ca="1" si="11"/>
        <v>0.9850746268656716</v>
      </c>
    </row>
    <row r="212" spans="7:10" x14ac:dyDescent="0.2">
      <c r="G212" s="60">
        <v>202</v>
      </c>
      <c r="H212">
        <f ca="1">IF(AND(G212&lt;=O$3,RAND()&lt;=H$7),1,0)</f>
        <v>1</v>
      </c>
      <c r="I212">
        <f t="shared" ca="1" si="12"/>
        <v>199</v>
      </c>
      <c r="J212" s="80">
        <f t="shared" ca="1" si="11"/>
        <v>0.98514851485148514</v>
      </c>
    </row>
    <row r="213" spans="7:10" x14ac:dyDescent="0.2">
      <c r="G213" s="60">
        <v>203</v>
      </c>
      <c r="H213">
        <f ca="1">IF(AND(G213&lt;=O$3,RAND()&lt;=H$7),1,0)</f>
        <v>1</v>
      </c>
      <c r="I213">
        <f t="shared" ca="1" si="12"/>
        <v>200</v>
      </c>
      <c r="J213" s="80">
        <f t="shared" ca="1" si="11"/>
        <v>0.98522167487684731</v>
      </c>
    </row>
    <row r="214" spans="7:10" x14ac:dyDescent="0.2">
      <c r="G214" s="60">
        <v>204</v>
      </c>
      <c r="H214">
        <f ca="1">IF(AND(G214&lt;=O$3,RAND()&lt;=H$7),1,0)</f>
        <v>1</v>
      </c>
      <c r="I214">
        <f t="shared" ca="1" si="12"/>
        <v>201</v>
      </c>
      <c r="J214" s="80">
        <f t="shared" ca="1" si="11"/>
        <v>0.98529411764705888</v>
      </c>
    </row>
    <row r="215" spans="7:10" x14ac:dyDescent="0.2">
      <c r="G215" s="60">
        <v>205</v>
      </c>
      <c r="H215">
        <f ca="1">IF(AND(G215&lt;=O$3,RAND()&lt;=H$7),1,0)</f>
        <v>1</v>
      </c>
      <c r="I215">
        <f t="shared" ca="1" si="12"/>
        <v>202</v>
      </c>
      <c r="J215" s="80">
        <f t="shared" ca="1" si="11"/>
        <v>0.98536585365853657</v>
      </c>
    </row>
    <row r="216" spans="7:10" x14ac:dyDescent="0.2">
      <c r="G216" s="60">
        <v>206</v>
      </c>
      <c r="H216">
        <f ca="1">IF(AND(G216&lt;=O$3,RAND()&lt;=H$7),1,0)</f>
        <v>1</v>
      </c>
      <c r="I216">
        <f t="shared" ca="1" si="12"/>
        <v>203</v>
      </c>
      <c r="J216" s="80">
        <f t="shared" ca="1" si="11"/>
        <v>0.9854368932038835</v>
      </c>
    </row>
    <row r="217" spans="7:10" x14ac:dyDescent="0.2">
      <c r="G217" s="60">
        <v>207</v>
      </c>
      <c r="H217">
        <f ca="1">IF(AND(G217&lt;=O$3,RAND()&lt;=H$7),1,0)</f>
        <v>1</v>
      </c>
      <c r="I217">
        <f t="shared" ca="1" si="12"/>
        <v>204</v>
      </c>
      <c r="J217" s="80">
        <f t="shared" ca="1" si="11"/>
        <v>0.98550724637681164</v>
      </c>
    </row>
    <row r="218" spans="7:10" x14ac:dyDescent="0.2">
      <c r="G218" s="60">
        <v>208</v>
      </c>
      <c r="H218">
        <f ca="1">IF(AND(G218&lt;=O$3,RAND()&lt;=H$7),1,0)</f>
        <v>1</v>
      </c>
      <c r="I218">
        <f t="shared" ca="1" si="12"/>
        <v>205</v>
      </c>
      <c r="J218" s="80">
        <f t="shared" ca="1" si="11"/>
        <v>0.98557692307692313</v>
      </c>
    </row>
    <row r="219" spans="7:10" x14ac:dyDescent="0.2">
      <c r="G219" s="60">
        <v>209</v>
      </c>
      <c r="H219">
        <f ca="1">IF(AND(G219&lt;=O$3,RAND()&lt;=H$7),1,0)</f>
        <v>1</v>
      </c>
      <c r="I219">
        <f t="shared" ca="1" si="12"/>
        <v>206</v>
      </c>
      <c r="J219" s="80">
        <f t="shared" ca="1" si="11"/>
        <v>0.9856459330143541</v>
      </c>
    </row>
    <row r="220" spans="7:10" x14ac:dyDescent="0.2">
      <c r="G220" s="60">
        <v>210</v>
      </c>
      <c r="H220">
        <f ca="1">IF(AND(G220&lt;=O$3,RAND()&lt;=H$7),1,0)</f>
        <v>1</v>
      </c>
      <c r="I220">
        <f t="shared" ca="1" si="12"/>
        <v>207</v>
      </c>
      <c r="J220" s="80">
        <f t="shared" ca="1" si="11"/>
        <v>0.98571428571428577</v>
      </c>
    </row>
    <row r="221" spans="7:10" x14ac:dyDescent="0.2">
      <c r="G221" s="60">
        <v>211</v>
      </c>
      <c r="H221">
        <f ca="1">IF(AND(G221&lt;=O$3,RAND()&lt;=H$7),1,0)</f>
        <v>1</v>
      </c>
      <c r="I221">
        <f t="shared" ca="1" si="12"/>
        <v>208</v>
      </c>
      <c r="J221" s="80">
        <f t="shared" ca="1" si="11"/>
        <v>0.98578199052132698</v>
      </c>
    </row>
    <row r="222" spans="7:10" x14ac:dyDescent="0.2">
      <c r="G222" s="60">
        <v>212</v>
      </c>
      <c r="H222">
        <f ca="1">IF(AND(G222&lt;=O$3,RAND()&lt;=H$7),1,0)</f>
        <v>1</v>
      </c>
      <c r="I222">
        <f t="shared" ca="1" si="12"/>
        <v>209</v>
      </c>
      <c r="J222" s="80">
        <f t="shared" ca="1" si="11"/>
        <v>0.98584905660377353</v>
      </c>
    </row>
    <row r="223" spans="7:10" x14ac:dyDescent="0.2">
      <c r="G223" s="60">
        <v>213</v>
      </c>
      <c r="H223">
        <f ca="1">IF(AND(G223&lt;=O$3,RAND()&lt;=H$7),1,0)</f>
        <v>1</v>
      </c>
      <c r="I223">
        <f t="shared" ca="1" si="12"/>
        <v>210</v>
      </c>
      <c r="J223" s="80">
        <f t="shared" ca="1" si="11"/>
        <v>0.9859154929577465</v>
      </c>
    </row>
    <row r="224" spans="7:10" x14ac:dyDescent="0.2">
      <c r="G224" s="60">
        <v>214</v>
      </c>
      <c r="H224">
        <f ca="1">IF(AND(G224&lt;=O$3,RAND()&lt;=H$7),1,0)</f>
        <v>1</v>
      </c>
      <c r="I224">
        <f t="shared" ca="1" si="12"/>
        <v>211</v>
      </c>
      <c r="J224" s="80">
        <f t="shared" ca="1" si="11"/>
        <v>0.98598130841121501</v>
      </c>
    </row>
    <row r="225" spans="7:10" x14ac:dyDescent="0.2">
      <c r="G225" s="60">
        <v>215</v>
      </c>
      <c r="H225">
        <f ca="1">IF(AND(G225&lt;=O$3,RAND()&lt;=H$7),1,0)</f>
        <v>1</v>
      </c>
      <c r="I225">
        <f t="shared" ca="1" si="12"/>
        <v>212</v>
      </c>
      <c r="J225" s="80">
        <f t="shared" ca="1" si="11"/>
        <v>0.98604651162790702</v>
      </c>
    </row>
    <row r="226" spans="7:10" x14ac:dyDescent="0.2">
      <c r="G226" s="60">
        <v>216</v>
      </c>
      <c r="H226">
        <f ca="1">IF(AND(G226&lt;=O$3,RAND()&lt;=H$7),1,0)</f>
        <v>1</v>
      </c>
      <c r="I226">
        <f t="shared" ca="1" si="12"/>
        <v>213</v>
      </c>
      <c r="J226" s="80">
        <f t="shared" ca="1" si="11"/>
        <v>0.98611111111111116</v>
      </c>
    </row>
    <row r="227" spans="7:10" x14ac:dyDescent="0.2">
      <c r="G227" s="60">
        <v>217</v>
      </c>
      <c r="H227">
        <f ca="1">IF(AND(G227&lt;=O$3,RAND()&lt;=H$7),1,0)</f>
        <v>1</v>
      </c>
      <c r="I227">
        <f t="shared" ca="1" si="12"/>
        <v>214</v>
      </c>
      <c r="J227" s="80">
        <f t="shared" ca="1" si="11"/>
        <v>0.98617511520737322</v>
      </c>
    </row>
    <row r="228" spans="7:10" x14ac:dyDescent="0.2">
      <c r="G228" s="60">
        <v>218</v>
      </c>
      <c r="H228">
        <f ca="1">IF(AND(G228&lt;=O$3,RAND()&lt;=H$7),1,0)</f>
        <v>1</v>
      </c>
      <c r="I228">
        <f t="shared" ca="1" si="12"/>
        <v>215</v>
      </c>
      <c r="J228" s="80">
        <f t="shared" ca="1" si="11"/>
        <v>0.98623853211009171</v>
      </c>
    </row>
    <row r="229" spans="7:10" x14ac:dyDescent="0.2">
      <c r="G229" s="60">
        <v>219</v>
      </c>
      <c r="H229">
        <f ca="1">IF(AND(G229&lt;=O$3,RAND()&lt;=H$7),1,0)</f>
        <v>1</v>
      </c>
      <c r="I229">
        <f t="shared" ca="1" si="12"/>
        <v>216</v>
      </c>
      <c r="J229" s="80">
        <f t="shared" ca="1" si="11"/>
        <v>0.98630136986301364</v>
      </c>
    </row>
    <row r="230" spans="7:10" x14ac:dyDescent="0.2">
      <c r="G230" s="60">
        <v>220</v>
      </c>
      <c r="H230">
        <f ca="1">IF(AND(G230&lt;=O$3,RAND()&lt;=H$7),1,0)</f>
        <v>1</v>
      </c>
      <c r="I230">
        <f t="shared" ca="1" si="12"/>
        <v>217</v>
      </c>
      <c r="J230" s="80">
        <f t="shared" ca="1" si="11"/>
        <v>0.98636363636363633</v>
      </c>
    </row>
    <row r="231" spans="7:10" x14ac:dyDescent="0.2">
      <c r="G231" s="60">
        <v>221</v>
      </c>
      <c r="H231">
        <f ca="1">IF(AND(G231&lt;=O$3,RAND()&lt;=H$7),1,0)</f>
        <v>1</v>
      </c>
      <c r="I231">
        <f t="shared" ca="1" si="12"/>
        <v>218</v>
      </c>
      <c r="J231" s="80">
        <f t="shared" ca="1" si="11"/>
        <v>0.98642533936651589</v>
      </c>
    </row>
    <row r="232" spans="7:10" x14ac:dyDescent="0.2">
      <c r="G232" s="60">
        <v>222</v>
      </c>
      <c r="H232">
        <f ca="1">IF(AND(G232&lt;=O$3,RAND()&lt;=H$7),1,0)</f>
        <v>1</v>
      </c>
      <c r="I232">
        <f t="shared" ca="1" si="12"/>
        <v>219</v>
      </c>
      <c r="J232" s="80">
        <f t="shared" ca="1" si="11"/>
        <v>0.98648648648648651</v>
      </c>
    </row>
    <row r="233" spans="7:10" x14ac:dyDescent="0.2">
      <c r="G233" s="60">
        <v>223</v>
      </c>
      <c r="H233">
        <f ca="1">IF(AND(G233&lt;=O$3,RAND()&lt;=H$7),1,0)</f>
        <v>1</v>
      </c>
      <c r="I233">
        <f t="shared" ca="1" si="12"/>
        <v>220</v>
      </c>
      <c r="J233" s="80">
        <f t="shared" ca="1" si="11"/>
        <v>0.98654708520179368</v>
      </c>
    </row>
    <row r="234" spans="7:10" x14ac:dyDescent="0.2">
      <c r="G234" s="60">
        <v>224</v>
      </c>
      <c r="H234">
        <f ca="1">IF(AND(G234&lt;=O$3,RAND()&lt;=H$7),1,0)</f>
        <v>1</v>
      </c>
      <c r="I234">
        <f t="shared" ca="1" si="12"/>
        <v>221</v>
      </c>
      <c r="J234" s="80">
        <f t="shared" ca="1" si="11"/>
        <v>0.9866071428571429</v>
      </c>
    </row>
    <row r="235" spans="7:10" x14ac:dyDescent="0.2">
      <c r="G235" s="60">
        <v>225</v>
      </c>
      <c r="H235">
        <f ca="1">IF(AND(G235&lt;=O$3,RAND()&lt;=H$7),1,0)</f>
        <v>1</v>
      </c>
      <c r="I235">
        <f t="shared" ca="1" si="12"/>
        <v>222</v>
      </c>
      <c r="J235" s="80">
        <f t="shared" ca="1" si="11"/>
        <v>0.98666666666666669</v>
      </c>
    </row>
    <row r="236" spans="7:10" x14ac:dyDescent="0.2">
      <c r="G236" s="60">
        <v>226</v>
      </c>
      <c r="H236">
        <f ca="1">IF(AND(G236&lt;=O$3,RAND()&lt;=H$7),1,0)</f>
        <v>1</v>
      </c>
      <c r="I236">
        <f t="shared" ca="1" si="12"/>
        <v>223</v>
      </c>
      <c r="J236" s="80">
        <f t="shared" ca="1" si="11"/>
        <v>0.98672566371681414</v>
      </c>
    </row>
    <row r="237" spans="7:10" x14ac:dyDescent="0.2">
      <c r="G237" s="60">
        <v>227</v>
      </c>
      <c r="H237">
        <f ca="1">IF(AND(G237&lt;=O$3,RAND()&lt;=H$7),1,0)</f>
        <v>1</v>
      </c>
      <c r="I237">
        <f t="shared" ca="1" si="12"/>
        <v>224</v>
      </c>
      <c r="J237" s="80">
        <f t="shared" ca="1" si="11"/>
        <v>0.986784140969163</v>
      </c>
    </row>
    <row r="238" spans="7:10" x14ac:dyDescent="0.2">
      <c r="G238" s="60">
        <v>228</v>
      </c>
      <c r="H238">
        <f ca="1">IF(AND(G238&lt;=O$3,RAND()&lt;=H$7),1,0)</f>
        <v>1</v>
      </c>
      <c r="I238">
        <f t="shared" ca="1" si="12"/>
        <v>225</v>
      </c>
      <c r="J238" s="80">
        <f t="shared" ca="1" si="11"/>
        <v>0.98684210526315785</v>
      </c>
    </row>
    <row r="239" spans="7:10" x14ac:dyDescent="0.2">
      <c r="G239" s="60">
        <v>229</v>
      </c>
      <c r="H239">
        <f ca="1">IF(AND(G239&lt;=O$3,RAND()&lt;=H$7),1,0)</f>
        <v>1</v>
      </c>
      <c r="I239">
        <f t="shared" ca="1" si="12"/>
        <v>226</v>
      </c>
      <c r="J239" s="80">
        <f t="shared" ca="1" si="11"/>
        <v>0.98689956331877726</v>
      </c>
    </row>
    <row r="240" spans="7:10" x14ac:dyDescent="0.2">
      <c r="G240" s="60">
        <v>230</v>
      </c>
      <c r="H240">
        <f ca="1">IF(AND(G240&lt;=O$3,RAND()&lt;=H$7),1,0)</f>
        <v>1</v>
      </c>
      <c r="I240">
        <f t="shared" ca="1" si="12"/>
        <v>227</v>
      </c>
      <c r="J240" s="80">
        <f t="shared" ca="1" si="11"/>
        <v>0.9869565217391304</v>
      </c>
    </row>
    <row r="241" spans="7:10" x14ac:dyDescent="0.2">
      <c r="G241" s="60">
        <v>231</v>
      </c>
      <c r="H241">
        <f ca="1">IF(AND(G241&lt;=O$3,RAND()&lt;=H$7),1,0)</f>
        <v>0</v>
      </c>
      <c r="I241">
        <f t="shared" ca="1" si="12"/>
        <v>227</v>
      </c>
      <c r="J241" s="80">
        <f t="shared" ca="1" si="11"/>
        <v>0.98268398268398272</v>
      </c>
    </row>
    <row r="242" spans="7:10" x14ac:dyDescent="0.2">
      <c r="G242" s="60">
        <v>232</v>
      </c>
      <c r="H242">
        <f ca="1">IF(AND(G242&lt;=O$3,RAND()&lt;=H$7),1,0)</f>
        <v>1</v>
      </c>
      <c r="I242">
        <f t="shared" ca="1" si="12"/>
        <v>228</v>
      </c>
      <c r="J242" s="80">
        <f t="shared" ca="1" si="11"/>
        <v>0.98275862068965514</v>
      </c>
    </row>
    <row r="243" spans="7:10" x14ac:dyDescent="0.2">
      <c r="G243" s="60">
        <v>233</v>
      </c>
      <c r="H243">
        <f ca="1">IF(AND(G243&lt;=O$3,RAND()&lt;=H$7),1,0)</f>
        <v>1</v>
      </c>
      <c r="I243">
        <f t="shared" ca="1" si="12"/>
        <v>229</v>
      </c>
      <c r="J243" s="80">
        <f t="shared" ca="1" si="11"/>
        <v>0.98283261802575106</v>
      </c>
    </row>
    <row r="244" spans="7:10" x14ac:dyDescent="0.2">
      <c r="G244" s="60">
        <v>234</v>
      </c>
      <c r="H244">
        <f ca="1">IF(AND(G244&lt;=O$3,RAND()&lt;=H$7),1,0)</f>
        <v>1</v>
      </c>
      <c r="I244">
        <f t="shared" ca="1" si="12"/>
        <v>230</v>
      </c>
      <c r="J244" s="80">
        <f t="shared" ca="1" si="11"/>
        <v>0.98290598290598286</v>
      </c>
    </row>
    <row r="245" spans="7:10" x14ac:dyDescent="0.2">
      <c r="G245" s="60">
        <v>235</v>
      </c>
      <c r="H245">
        <f ca="1">IF(AND(G245&lt;=O$3,RAND()&lt;=H$7),1,0)</f>
        <v>1</v>
      </c>
      <c r="I245">
        <f t="shared" ca="1" si="12"/>
        <v>231</v>
      </c>
      <c r="J245" s="80">
        <f t="shared" ca="1" si="11"/>
        <v>0.98297872340425529</v>
      </c>
    </row>
    <row r="246" spans="7:10" x14ac:dyDescent="0.2">
      <c r="G246" s="60">
        <v>236</v>
      </c>
      <c r="H246">
        <f ca="1">IF(AND(G246&lt;=O$3,RAND()&lt;=H$7),1,0)</f>
        <v>1</v>
      </c>
      <c r="I246">
        <f t="shared" ca="1" si="12"/>
        <v>232</v>
      </c>
      <c r="J246" s="80">
        <f t="shared" ca="1" si="11"/>
        <v>0.98305084745762716</v>
      </c>
    </row>
    <row r="247" spans="7:10" x14ac:dyDescent="0.2">
      <c r="G247" s="60">
        <v>237</v>
      </c>
      <c r="H247">
        <f ca="1">IF(AND(G247&lt;=O$3,RAND()&lt;=H$7),1,0)</f>
        <v>1</v>
      </c>
      <c r="I247">
        <f t="shared" ca="1" si="12"/>
        <v>233</v>
      </c>
      <c r="J247" s="80">
        <f t="shared" ca="1" si="11"/>
        <v>0.9831223628691983</v>
      </c>
    </row>
    <row r="248" spans="7:10" x14ac:dyDescent="0.2">
      <c r="G248" s="60">
        <v>238</v>
      </c>
      <c r="H248">
        <f ca="1">IF(AND(G248&lt;=O$3,RAND()&lt;=H$7),1,0)</f>
        <v>1</v>
      </c>
      <c r="I248">
        <f t="shared" ca="1" si="12"/>
        <v>234</v>
      </c>
      <c r="J248" s="80">
        <f t="shared" ca="1" si="11"/>
        <v>0.98319327731092432</v>
      </c>
    </row>
    <row r="249" spans="7:10" x14ac:dyDescent="0.2">
      <c r="G249" s="60">
        <v>239</v>
      </c>
      <c r="H249">
        <f ca="1">IF(AND(G249&lt;=O$3,RAND()&lt;=H$7),1,0)</f>
        <v>1</v>
      </c>
      <c r="I249">
        <f t="shared" ca="1" si="12"/>
        <v>235</v>
      </c>
      <c r="J249" s="80">
        <f t="shared" ca="1" si="11"/>
        <v>0.98326359832635979</v>
      </c>
    </row>
    <row r="250" spans="7:10" x14ac:dyDescent="0.2">
      <c r="G250" s="60">
        <v>240</v>
      </c>
      <c r="H250">
        <f ca="1">IF(AND(G250&lt;=O$3,RAND()&lt;=H$7),1,0)</f>
        <v>0</v>
      </c>
      <c r="I250">
        <f t="shared" ca="1" si="12"/>
        <v>235</v>
      </c>
      <c r="J250" s="80">
        <f t="shared" ca="1" si="11"/>
        <v>0.97916666666666663</v>
      </c>
    </row>
    <row r="251" spans="7:10" x14ac:dyDescent="0.2">
      <c r="G251" s="60">
        <v>241</v>
      </c>
      <c r="H251">
        <f ca="1">IF(AND(G251&lt;=O$3,RAND()&lt;=H$7),1,0)</f>
        <v>0</v>
      </c>
      <c r="I251">
        <f t="shared" ca="1" si="12"/>
        <v>235</v>
      </c>
      <c r="J251" s="80">
        <f t="shared" ca="1" si="11"/>
        <v>0.975103734439834</v>
      </c>
    </row>
    <row r="252" spans="7:10" x14ac:dyDescent="0.2">
      <c r="G252" s="60">
        <v>242</v>
      </c>
      <c r="H252">
        <f ca="1">IF(AND(G252&lt;=O$3,RAND()&lt;=H$7),1,0)</f>
        <v>1</v>
      </c>
      <c r="I252">
        <f t="shared" ca="1" si="12"/>
        <v>236</v>
      </c>
      <c r="J252" s="80">
        <f t="shared" ca="1" si="11"/>
        <v>0.97520661157024791</v>
      </c>
    </row>
    <row r="253" spans="7:10" x14ac:dyDescent="0.2">
      <c r="G253" s="60">
        <v>243</v>
      </c>
      <c r="H253">
        <f ca="1">IF(AND(G253&lt;=O$3,RAND()&lt;=H$7),1,0)</f>
        <v>1</v>
      </c>
      <c r="I253">
        <f t="shared" ca="1" si="12"/>
        <v>237</v>
      </c>
      <c r="J253" s="80">
        <f t="shared" ca="1" si="11"/>
        <v>0.97530864197530864</v>
      </c>
    </row>
    <row r="254" spans="7:10" x14ac:dyDescent="0.2">
      <c r="G254" s="60">
        <v>244</v>
      </c>
      <c r="H254">
        <f ca="1">IF(AND(G254&lt;=O$3,RAND()&lt;=H$7),1,0)</f>
        <v>1</v>
      </c>
      <c r="I254">
        <f t="shared" ca="1" si="12"/>
        <v>238</v>
      </c>
      <c r="J254" s="80">
        <f t="shared" ca="1" si="11"/>
        <v>0.97540983606557374</v>
      </c>
    </row>
    <row r="255" spans="7:10" x14ac:dyDescent="0.2">
      <c r="G255" s="60">
        <v>245</v>
      </c>
      <c r="H255">
        <f ca="1">IF(AND(G255&lt;=O$3,RAND()&lt;=H$7),1,0)</f>
        <v>1</v>
      </c>
      <c r="I255">
        <f t="shared" ca="1" si="12"/>
        <v>239</v>
      </c>
      <c r="J255" s="80">
        <f t="shared" ca="1" si="11"/>
        <v>0.97551020408163269</v>
      </c>
    </row>
    <row r="256" spans="7:10" x14ac:dyDescent="0.2">
      <c r="G256" s="60">
        <v>246</v>
      </c>
      <c r="H256">
        <f ca="1">IF(AND(G256&lt;=O$3,RAND()&lt;=H$7),1,0)</f>
        <v>1</v>
      </c>
      <c r="I256">
        <f t="shared" ca="1" si="12"/>
        <v>240</v>
      </c>
      <c r="J256" s="80">
        <f t="shared" ca="1" si="11"/>
        <v>0.97560975609756095</v>
      </c>
    </row>
    <row r="257" spans="7:10" x14ac:dyDescent="0.2">
      <c r="G257" s="60">
        <v>247</v>
      </c>
      <c r="H257">
        <f ca="1">IF(AND(G257&lt;=O$3,RAND()&lt;=H$7),1,0)</f>
        <v>1</v>
      </c>
      <c r="I257">
        <f t="shared" ca="1" si="12"/>
        <v>241</v>
      </c>
      <c r="J257" s="80">
        <f t="shared" ca="1" si="11"/>
        <v>0.97570850202429149</v>
      </c>
    </row>
    <row r="258" spans="7:10" x14ac:dyDescent="0.2">
      <c r="G258" s="60">
        <v>248</v>
      </c>
      <c r="H258">
        <f ca="1">IF(AND(G258&lt;=O$3,RAND()&lt;=H$7),1,0)</f>
        <v>1</v>
      </c>
      <c r="I258">
        <f t="shared" ca="1" si="12"/>
        <v>242</v>
      </c>
      <c r="J258" s="80">
        <f t="shared" ca="1" si="11"/>
        <v>0.97580645161290325</v>
      </c>
    </row>
    <row r="259" spans="7:10" x14ac:dyDescent="0.2">
      <c r="G259" s="60">
        <v>249</v>
      </c>
      <c r="H259">
        <f ca="1">IF(AND(G259&lt;=O$3,RAND()&lt;=H$7),1,0)</f>
        <v>1</v>
      </c>
      <c r="I259">
        <f t="shared" ca="1" si="12"/>
        <v>243</v>
      </c>
      <c r="J259" s="80">
        <f t="shared" ca="1" si="11"/>
        <v>0.97590361445783136</v>
      </c>
    </row>
    <row r="260" spans="7:10" x14ac:dyDescent="0.2">
      <c r="G260" s="60">
        <v>250</v>
      </c>
      <c r="H260">
        <f ca="1">IF(AND(G260&lt;=O$3,RAND()&lt;=H$7),1,0)</f>
        <v>1</v>
      </c>
      <c r="I260">
        <f t="shared" ca="1" si="12"/>
        <v>244</v>
      </c>
      <c r="J260" s="80">
        <f t="shared" ca="1" si="11"/>
        <v>0.97599999999999998</v>
      </c>
    </row>
    <row r="261" spans="7:10" x14ac:dyDescent="0.2">
      <c r="G261" s="60">
        <v>251</v>
      </c>
      <c r="H261">
        <f ca="1">IF(AND(G261&lt;=O$3,RAND()&lt;=H$7),1,0)</f>
        <v>1</v>
      </c>
      <c r="I261">
        <f t="shared" ca="1" si="12"/>
        <v>245</v>
      </c>
      <c r="J261" s="80">
        <f t="shared" ca="1" si="11"/>
        <v>0.9760956175298805</v>
      </c>
    </row>
    <row r="262" spans="7:10" x14ac:dyDescent="0.2">
      <c r="G262" s="60">
        <v>252</v>
      </c>
      <c r="H262">
        <f ca="1">IF(AND(G262&lt;=O$3,RAND()&lt;=H$7),1,0)</f>
        <v>1</v>
      </c>
      <c r="I262">
        <f t="shared" ca="1" si="12"/>
        <v>246</v>
      </c>
      <c r="J262" s="80">
        <f t="shared" ca="1" si="11"/>
        <v>0.97619047619047616</v>
      </c>
    </row>
    <row r="263" spans="7:10" x14ac:dyDescent="0.2">
      <c r="G263" s="60">
        <v>253</v>
      </c>
      <c r="H263">
        <f ca="1">IF(AND(G263&lt;=O$3,RAND()&lt;=H$7),1,0)</f>
        <v>1</v>
      </c>
      <c r="I263">
        <f t="shared" ca="1" si="12"/>
        <v>247</v>
      </c>
      <c r="J263" s="80">
        <f t="shared" ca="1" si="11"/>
        <v>0.97628458498023718</v>
      </c>
    </row>
    <row r="264" spans="7:10" x14ac:dyDescent="0.2">
      <c r="G264" s="60">
        <v>254</v>
      </c>
      <c r="H264">
        <f ca="1">IF(AND(G264&lt;=O$3,RAND()&lt;=H$7),1,0)</f>
        <v>1</v>
      </c>
      <c r="I264">
        <f t="shared" ca="1" si="12"/>
        <v>248</v>
      </c>
      <c r="J264" s="80">
        <f t="shared" ca="1" si="11"/>
        <v>0.97637795275590555</v>
      </c>
    </row>
    <row r="265" spans="7:10" x14ac:dyDescent="0.2">
      <c r="G265" s="60">
        <v>255</v>
      </c>
      <c r="H265">
        <f ca="1">IF(AND(G265&lt;=O$3,RAND()&lt;=H$7),1,0)</f>
        <v>1</v>
      </c>
      <c r="I265">
        <f t="shared" ca="1" si="12"/>
        <v>249</v>
      </c>
      <c r="J265" s="80">
        <f t="shared" ca="1" si="11"/>
        <v>0.97647058823529409</v>
      </c>
    </row>
    <row r="266" spans="7:10" x14ac:dyDescent="0.2">
      <c r="G266" s="60">
        <v>256</v>
      </c>
      <c r="H266">
        <f ca="1">IF(AND(G266&lt;=O$3,RAND()&lt;=H$7),1,0)</f>
        <v>1</v>
      </c>
      <c r="I266">
        <f t="shared" ca="1" si="12"/>
        <v>250</v>
      </c>
      <c r="J266" s="80">
        <f t="shared" ca="1" si="11"/>
        <v>0.9765625</v>
      </c>
    </row>
    <row r="267" spans="7:10" x14ac:dyDescent="0.2">
      <c r="G267" s="60">
        <v>257</v>
      </c>
      <c r="H267">
        <f ca="1">IF(AND(G267&lt;=O$3,RAND()&lt;=H$7),1,0)</f>
        <v>1</v>
      </c>
      <c r="I267">
        <f t="shared" ca="1" si="12"/>
        <v>251</v>
      </c>
      <c r="J267" s="80">
        <f t="shared" ca="1" si="11"/>
        <v>0.97665369649805445</v>
      </c>
    </row>
    <row r="268" spans="7:10" x14ac:dyDescent="0.2">
      <c r="G268" s="60">
        <v>258</v>
      </c>
      <c r="H268">
        <f ca="1">IF(AND(G268&lt;=O$3,RAND()&lt;=H$7),1,0)</f>
        <v>1</v>
      </c>
      <c r="I268">
        <f t="shared" ca="1" si="12"/>
        <v>252</v>
      </c>
      <c r="J268" s="80">
        <f t="shared" ref="J268:J331" ca="1" si="13">I268/G268</f>
        <v>0.97674418604651159</v>
      </c>
    </row>
    <row r="269" spans="7:10" x14ac:dyDescent="0.2">
      <c r="G269" s="60">
        <v>259</v>
      </c>
      <c r="H269">
        <f ca="1">IF(AND(G269&lt;=O$3,RAND()&lt;=H$7),1,0)</f>
        <v>1</v>
      </c>
      <c r="I269">
        <f t="shared" ref="I269:I332" ca="1" si="14">H269+I268</f>
        <v>253</v>
      </c>
      <c r="J269" s="80">
        <f t="shared" ca="1" si="13"/>
        <v>0.97683397683397688</v>
      </c>
    </row>
    <row r="270" spans="7:10" x14ac:dyDescent="0.2">
      <c r="G270" s="60">
        <v>260</v>
      </c>
      <c r="H270">
        <f ca="1">IF(AND(G270&lt;=O$3,RAND()&lt;=H$7),1,0)</f>
        <v>1</v>
      </c>
      <c r="I270">
        <f t="shared" ca="1" si="14"/>
        <v>254</v>
      </c>
      <c r="J270" s="80">
        <f t="shared" ca="1" si="13"/>
        <v>0.97692307692307689</v>
      </c>
    </row>
    <row r="271" spans="7:10" x14ac:dyDescent="0.2">
      <c r="G271" s="60">
        <v>261</v>
      </c>
      <c r="H271">
        <f ca="1">IF(AND(G271&lt;=O$3,RAND()&lt;=H$7),1,0)</f>
        <v>1</v>
      </c>
      <c r="I271">
        <f t="shared" ca="1" si="14"/>
        <v>255</v>
      </c>
      <c r="J271" s="80">
        <f t="shared" ca="1" si="13"/>
        <v>0.97701149425287359</v>
      </c>
    </row>
    <row r="272" spans="7:10" x14ac:dyDescent="0.2">
      <c r="G272" s="60">
        <v>262</v>
      </c>
      <c r="H272">
        <f ca="1">IF(AND(G272&lt;=O$3,RAND()&lt;=H$7),1,0)</f>
        <v>1</v>
      </c>
      <c r="I272">
        <f t="shared" ca="1" si="14"/>
        <v>256</v>
      </c>
      <c r="J272" s="80">
        <f t="shared" ca="1" si="13"/>
        <v>0.97709923664122134</v>
      </c>
    </row>
    <row r="273" spans="7:10" x14ac:dyDescent="0.2">
      <c r="G273" s="60">
        <v>263</v>
      </c>
      <c r="H273">
        <f ca="1">IF(AND(G273&lt;=O$3,RAND()&lt;=H$7),1,0)</f>
        <v>1</v>
      </c>
      <c r="I273">
        <f t="shared" ca="1" si="14"/>
        <v>257</v>
      </c>
      <c r="J273" s="80">
        <f t="shared" ca="1" si="13"/>
        <v>0.97718631178707227</v>
      </c>
    </row>
    <row r="274" spans="7:10" x14ac:dyDescent="0.2">
      <c r="G274" s="60">
        <v>264</v>
      </c>
      <c r="H274">
        <f ca="1">IF(AND(G274&lt;=O$3,RAND()&lt;=H$7),1,0)</f>
        <v>1</v>
      </c>
      <c r="I274">
        <f t="shared" ca="1" si="14"/>
        <v>258</v>
      </c>
      <c r="J274" s="80">
        <f t="shared" ca="1" si="13"/>
        <v>0.97727272727272729</v>
      </c>
    </row>
    <row r="275" spans="7:10" x14ac:dyDescent="0.2">
      <c r="G275" s="60">
        <v>265</v>
      </c>
      <c r="H275">
        <f ca="1">IF(AND(G275&lt;=O$3,RAND()&lt;=H$7),1,0)</f>
        <v>1</v>
      </c>
      <c r="I275">
        <f t="shared" ca="1" si="14"/>
        <v>259</v>
      </c>
      <c r="J275" s="80">
        <f t="shared" ca="1" si="13"/>
        <v>0.97735849056603774</v>
      </c>
    </row>
    <row r="276" spans="7:10" x14ac:dyDescent="0.2">
      <c r="G276" s="60">
        <v>266</v>
      </c>
      <c r="H276">
        <f ca="1">IF(AND(G276&lt;=O$3,RAND()&lt;=H$7),1,0)</f>
        <v>1</v>
      </c>
      <c r="I276">
        <f t="shared" ca="1" si="14"/>
        <v>260</v>
      </c>
      <c r="J276" s="80">
        <f t="shared" ca="1" si="13"/>
        <v>0.97744360902255634</v>
      </c>
    </row>
    <row r="277" spans="7:10" x14ac:dyDescent="0.2">
      <c r="G277" s="60">
        <v>267</v>
      </c>
      <c r="H277">
        <f ca="1">IF(AND(G277&lt;=O$3,RAND()&lt;=H$7),1,0)</f>
        <v>1</v>
      </c>
      <c r="I277">
        <f t="shared" ca="1" si="14"/>
        <v>261</v>
      </c>
      <c r="J277" s="80">
        <f t="shared" ca="1" si="13"/>
        <v>0.97752808988764039</v>
      </c>
    </row>
    <row r="278" spans="7:10" x14ac:dyDescent="0.2">
      <c r="G278" s="60">
        <v>268</v>
      </c>
      <c r="H278">
        <f ca="1">IF(AND(G278&lt;=O$3,RAND()&lt;=H$7),1,0)</f>
        <v>1</v>
      </c>
      <c r="I278">
        <f t="shared" ca="1" si="14"/>
        <v>262</v>
      </c>
      <c r="J278" s="80">
        <f t="shared" ca="1" si="13"/>
        <v>0.97761194029850751</v>
      </c>
    </row>
    <row r="279" spans="7:10" x14ac:dyDescent="0.2">
      <c r="G279" s="60">
        <v>269</v>
      </c>
      <c r="H279">
        <f ca="1">IF(AND(G279&lt;=O$3,RAND()&lt;=H$7),1,0)</f>
        <v>1</v>
      </c>
      <c r="I279">
        <f t="shared" ca="1" si="14"/>
        <v>263</v>
      </c>
      <c r="J279" s="80">
        <f t="shared" ca="1" si="13"/>
        <v>0.97769516728624539</v>
      </c>
    </row>
    <row r="280" spans="7:10" x14ac:dyDescent="0.2">
      <c r="G280" s="60">
        <v>270</v>
      </c>
      <c r="H280">
        <f ca="1">IF(AND(G280&lt;=O$3,RAND()&lt;=H$7),1,0)</f>
        <v>1</v>
      </c>
      <c r="I280">
        <f t="shared" ca="1" si="14"/>
        <v>264</v>
      </c>
      <c r="J280" s="80">
        <f t="shared" ca="1" si="13"/>
        <v>0.97777777777777775</v>
      </c>
    </row>
    <row r="281" spans="7:10" x14ac:dyDescent="0.2">
      <c r="G281" s="60">
        <v>271</v>
      </c>
      <c r="H281">
        <f ca="1">IF(AND(G281&lt;=O$3,RAND()&lt;=H$7),1,0)</f>
        <v>1</v>
      </c>
      <c r="I281">
        <f t="shared" ca="1" si="14"/>
        <v>265</v>
      </c>
      <c r="J281" s="80">
        <f t="shared" ca="1" si="13"/>
        <v>0.97785977859778594</v>
      </c>
    </row>
    <row r="282" spans="7:10" x14ac:dyDescent="0.2">
      <c r="G282" s="60">
        <v>272</v>
      </c>
      <c r="H282">
        <f ca="1">IF(AND(G282&lt;=O$3,RAND()&lt;=H$7),1,0)</f>
        <v>1</v>
      </c>
      <c r="I282">
        <f t="shared" ca="1" si="14"/>
        <v>266</v>
      </c>
      <c r="J282" s="80">
        <f t="shared" ca="1" si="13"/>
        <v>0.9779411764705882</v>
      </c>
    </row>
    <row r="283" spans="7:10" x14ac:dyDescent="0.2">
      <c r="G283" s="60">
        <v>273</v>
      </c>
      <c r="H283">
        <f ca="1">IF(AND(G283&lt;=O$3,RAND()&lt;=H$7),1,0)</f>
        <v>1</v>
      </c>
      <c r="I283">
        <f t="shared" ca="1" si="14"/>
        <v>267</v>
      </c>
      <c r="J283" s="80">
        <f t="shared" ca="1" si="13"/>
        <v>0.97802197802197799</v>
      </c>
    </row>
    <row r="284" spans="7:10" x14ac:dyDescent="0.2">
      <c r="G284" s="60">
        <v>274</v>
      </c>
      <c r="H284">
        <f ca="1">IF(AND(G284&lt;=O$3,RAND()&lt;=H$7),1,0)</f>
        <v>0</v>
      </c>
      <c r="I284">
        <f t="shared" ca="1" si="14"/>
        <v>267</v>
      </c>
      <c r="J284" s="80">
        <f t="shared" ca="1" si="13"/>
        <v>0.97445255474452552</v>
      </c>
    </row>
    <row r="285" spans="7:10" x14ac:dyDescent="0.2">
      <c r="G285" s="60">
        <v>275</v>
      </c>
      <c r="H285">
        <f ca="1">IF(AND(G285&lt;=O$3,RAND()&lt;=H$7),1,0)</f>
        <v>1</v>
      </c>
      <c r="I285">
        <f t="shared" ca="1" si="14"/>
        <v>268</v>
      </c>
      <c r="J285" s="80">
        <f t="shared" ca="1" si="13"/>
        <v>0.97454545454545449</v>
      </c>
    </row>
    <row r="286" spans="7:10" x14ac:dyDescent="0.2">
      <c r="G286" s="60">
        <v>276</v>
      </c>
      <c r="H286">
        <f ca="1">IF(AND(G286&lt;=O$3,RAND()&lt;=H$7),1,0)</f>
        <v>1</v>
      </c>
      <c r="I286">
        <f t="shared" ca="1" si="14"/>
        <v>269</v>
      </c>
      <c r="J286" s="80">
        <f t="shared" ca="1" si="13"/>
        <v>0.97463768115942029</v>
      </c>
    </row>
    <row r="287" spans="7:10" x14ac:dyDescent="0.2">
      <c r="G287" s="60">
        <v>277</v>
      </c>
      <c r="H287">
        <f ca="1">IF(AND(G287&lt;=O$3,RAND()&lt;=H$7),1,0)</f>
        <v>1</v>
      </c>
      <c r="I287">
        <f t="shared" ca="1" si="14"/>
        <v>270</v>
      </c>
      <c r="J287" s="80">
        <f t="shared" ca="1" si="13"/>
        <v>0.97472924187725629</v>
      </c>
    </row>
    <row r="288" spans="7:10" x14ac:dyDescent="0.2">
      <c r="G288" s="60">
        <v>278</v>
      </c>
      <c r="H288">
        <f ca="1">IF(AND(G288&lt;=O$3,RAND()&lt;=H$7),1,0)</f>
        <v>0</v>
      </c>
      <c r="I288">
        <f t="shared" ca="1" si="14"/>
        <v>270</v>
      </c>
      <c r="J288" s="80">
        <f t="shared" ca="1" si="13"/>
        <v>0.97122302158273377</v>
      </c>
    </row>
    <row r="289" spans="7:10" x14ac:dyDescent="0.2">
      <c r="G289" s="60">
        <v>279</v>
      </c>
      <c r="H289">
        <f ca="1">IF(AND(G289&lt;=O$3,RAND()&lt;=H$7),1,0)</f>
        <v>1</v>
      </c>
      <c r="I289">
        <f t="shared" ca="1" si="14"/>
        <v>271</v>
      </c>
      <c r="J289" s="80">
        <f t="shared" ca="1" si="13"/>
        <v>0.97132616487455192</v>
      </c>
    </row>
    <row r="290" spans="7:10" x14ac:dyDescent="0.2">
      <c r="G290" s="60">
        <v>280</v>
      </c>
      <c r="H290">
        <f ca="1">IF(AND(G290&lt;=O$3,RAND()&lt;=H$7),1,0)</f>
        <v>1</v>
      </c>
      <c r="I290">
        <f t="shared" ca="1" si="14"/>
        <v>272</v>
      </c>
      <c r="J290" s="80">
        <f t="shared" ca="1" si="13"/>
        <v>0.97142857142857142</v>
      </c>
    </row>
    <row r="291" spans="7:10" x14ac:dyDescent="0.2">
      <c r="G291" s="60">
        <v>281</v>
      </c>
      <c r="H291">
        <f ca="1">IF(AND(G291&lt;=O$3,RAND()&lt;=H$7),1,0)</f>
        <v>1</v>
      </c>
      <c r="I291">
        <f t="shared" ca="1" si="14"/>
        <v>273</v>
      </c>
      <c r="J291" s="80">
        <f t="shared" ca="1" si="13"/>
        <v>0.97153024911032027</v>
      </c>
    </row>
    <row r="292" spans="7:10" x14ac:dyDescent="0.2">
      <c r="G292" s="60">
        <v>282</v>
      </c>
      <c r="H292">
        <f ca="1">IF(AND(G292&lt;=O$3,RAND()&lt;=H$7),1,0)</f>
        <v>1</v>
      </c>
      <c r="I292">
        <f t="shared" ca="1" si="14"/>
        <v>274</v>
      </c>
      <c r="J292" s="80">
        <f t="shared" ca="1" si="13"/>
        <v>0.97163120567375882</v>
      </c>
    </row>
    <row r="293" spans="7:10" x14ac:dyDescent="0.2">
      <c r="G293" s="60">
        <v>283</v>
      </c>
      <c r="H293">
        <f ca="1">IF(AND(G293&lt;=O$3,RAND()&lt;=H$7),1,0)</f>
        <v>1</v>
      </c>
      <c r="I293">
        <f t="shared" ca="1" si="14"/>
        <v>275</v>
      </c>
      <c r="J293" s="80">
        <f t="shared" ca="1" si="13"/>
        <v>0.9717314487632509</v>
      </c>
    </row>
    <row r="294" spans="7:10" x14ac:dyDescent="0.2">
      <c r="G294" s="60">
        <v>284</v>
      </c>
      <c r="H294">
        <f ca="1">IF(AND(G294&lt;=O$3,RAND()&lt;=H$7),1,0)</f>
        <v>1</v>
      </c>
      <c r="I294">
        <f t="shared" ca="1" si="14"/>
        <v>276</v>
      </c>
      <c r="J294" s="80">
        <f t="shared" ca="1" si="13"/>
        <v>0.971830985915493</v>
      </c>
    </row>
    <row r="295" spans="7:10" x14ac:dyDescent="0.2">
      <c r="G295" s="60">
        <v>285</v>
      </c>
      <c r="H295">
        <f ca="1">IF(AND(G295&lt;=O$3,RAND()&lt;=H$7),1,0)</f>
        <v>1</v>
      </c>
      <c r="I295">
        <f t="shared" ca="1" si="14"/>
        <v>277</v>
      </c>
      <c r="J295" s="80">
        <f t="shared" ca="1" si="13"/>
        <v>0.97192982456140353</v>
      </c>
    </row>
    <row r="296" spans="7:10" x14ac:dyDescent="0.2">
      <c r="G296" s="60">
        <v>286</v>
      </c>
      <c r="H296">
        <f ca="1">IF(AND(G296&lt;=O$3,RAND()&lt;=H$7),1,0)</f>
        <v>1</v>
      </c>
      <c r="I296">
        <f t="shared" ca="1" si="14"/>
        <v>278</v>
      </c>
      <c r="J296" s="80">
        <f t="shared" ca="1" si="13"/>
        <v>0.97202797202797198</v>
      </c>
    </row>
    <row r="297" spans="7:10" x14ac:dyDescent="0.2">
      <c r="G297" s="60">
        <v>287</v>
      </c>
      <c r="H297">
        <f ca="1">IF(AND(G297&lt;=O$3,RAND()&lt;=H$7),1,0)</f>
        <v>1</v>
      </c>
      <c r="I297">
        <f t="shared" ca="1" si="14"/>
        <v>279</v>
      </c>
      <c r="J297" s="80">
        <f t="shared" ca="1" si="13"/>
        <v>0.97212543554006969</v>
      </c>
    </row>
    <row r="298" spans="7:10" x14ac:dyDescent="0.2">
      <c r="G298" s="60">
        <v>288</v>
      </c>
      <c r="H298">
        <f ca="1">IF(AND(G298&lt;=O$3,RAND()&lt;=H$7),1,0)</f>
        <v>1</v>
      </c>
      <c r="I298">
        <f t="shared" ca="1" si="14"/>
        <v>280</v>
      </c>
      <c r="J298" s="80">
        <f t="shared" ca="1" si="13"/>
        <v>0.97222222222222221</v>
      </c>
    </row>
    <row r="299" spans="7:10" x14ac:dyDescent="0.2">
      <c r="G299" s="60">
        <v>289</v>
      </c>
      <c r="H299">
        <f ca="1">IF(AND(G299&lt;=O$3,RAND()&lt;=H$7),1,0)</f>
        <v>1</v>
      </c>
      <c r="I299">
        <f t="shared" ca="1" si="14"/>
        <v>281</v>
      </c>
      <c r="J299" s="80">
        <f t="shared" ca="1" si="13"/>
        <v>0.97231833910034604</v>
      </c>
    </row>
    <row r="300" spans="7:10" x14ac:dyDescent="0.2">
      <c r="G300" s="60">
        <v>290</v>
      </c>
      <c r="H300">
        <f ca="1">IF(AND(G300&lt;=O$3,RAND()&lt;=H$7),1,0)</f>
        <v>1</v>
      </c>
      <c r="I300">
        <f t="shared" ca="1" si="14"/>
        <v>282</v>
      </c>
      <c r="J300" s="80">
        <f t="shared" ca="1" si="13"/>
        <v>0.97241379310344822</v>
      </c>
    </row>
    <row r="301" spans="7:10" x14ac:dyDescent="0.2">
      <c r="G301" s="60">
        <v>291</v>
      </c>
      <c r="H301">
        <f ca="1">IF(AND(G301&lt;=O$3,RAND()&lt;=H$7),1,0)</f>
        <v>1</v>
      </c>
      <c r="I301">
        <f t="shared" ca="1" si="14"/>
        <v>283</v>
      </c>
      <c r="J301" s="80">
        <f t="shared" ca="1" si="13"/>
        <v>0.97250859106529208</v>
      </c>
    </row>
    <row r="302" spans="7:10" x14ac:dyDescent="0.2">
      <c r="G302" s="60">
        <v>292</v>
      </c>
      <c r="H302">
        <f ca="1">IF(AND(G302&lt;=O$3,RAND()&lt;=H$7),1,0)</f>
        <v>1</v>
      </c>
      <c r="I302">
        <f t="shared" ca="1" si="14"/>
        <v>284</v>
      </c>
      <c r="J302" s="80">
        <f t="shared" ca="1" si="13"/>
        <v>0.9726027397260274</v>
      </c>
    </row>
    <row r="303" spans="7:10" x14ac:dyDescent="0.2">
      <c r="G303" s="60">
        <v>293</v>
      </c>
      <c r="H303">
        <f ca="1">IF(AND(G303&lt;=O$3,RAND()&lt;=H$7),1,0)</f>
        <v>1</v>
      </c>
      <c r="I303">
        <f t="shared" ca="1" si="14"/>
        <v>285</v>
      </c>
      <c r="J303" s="80">
        <f t="shared" ca="1" si="13"/>
        <v>0.97269624573378843</v>
      </c>
    </row>
    <row r="304" spans="7:10" x14ac:dyDescent="0.2">
      <c r="G304" s="60">
        <v>294</v>
      </c>
      <c r="H304">
        <f ca="1">IF(AND(G304&lt;=O$3,RAND()&lt;=H$7),1,0)</f>
        <v>1</v>
      </c>
      <c r="I304">
        <f t="shared" ca="1" si="14"/>
        <v>286</v>
      </c>
      <c r="J304" s="80">
        <f t="shared" ca="1" si="13"/>
        <v>0.97278911564625847</v>
      </c>
    </row>
    <row r="305" spans="7:10" x14ac:dyDescent="0.2">
      <c r="G305" s="60">
        <v>295</v>
      </c>
      <c r="H305">
        <f ca="1">IF(AND(G305&lt;=O$3,RAND()&lt;=H$7),1,0)</f>
        <v>1</v>
      </c>
      <c r="I305">
        <f t="shared" ca="1" si="14"/>
        <v>287</v>
      </c>
      <c r="J305" s="80">
        <f t="shared" ca="1" si="13"/>
        <v>0.97288135593220337</v>
      </c>
    </row>
    <row r="306" spans="7:10" x14ac:dyDescent="0.2">
      <c r="G306" s="60">
        <v>296</v>
      </c>
      <c r="H306">
        <f ca="1">IF(AND(G306&lt;=O$3,RAND()&lt;=H$7),1,0)</f>
        <v>1</v>
      </c>
      <c r="I306">
        <f t="shared" ca="1" si="14"/>
        <v>288</v>
      </c>
      <c r="J306" s="80">
        <f t="shared" ca="1" si="13"/>
        <v>0.97297297297297303</v>
      </c>
    </row>
    <row r="307" spans="7:10" x14ac:dyDescent="0.2">
      <c r="G307" s="60">
        <v>297</v>
      </c>
      <c r="H307">
        <f ca="1">IF(AND(G307&lt;=O$3,RAND()&lt;=H$7),1,0)</f>
        <v>0</v>
      </c>
      <c r="I307">
        <f t="shared" ca="1" si="14"/>
        <v>288</v>
      </c>
      <c r="J307" s="80">
        <f t="shared" ca="1" si="13"/>
        <v>0.96969696969696972</v>
      </c>
    </row>
    <row r="308" spans="7:10" x14ac:dyDescent="0.2">
      <c r="G308" s="60">
        <v>298</v>
      </c>
      <c r="H308">
        <f ca="1">IF(AND(G308&lt;=O$3,RAND()&lt;=H$7),1,0)</f>
        <v>1</v>
      </c>
      <c r="I308">
        <f t="shared" ca="1" si="14"/>
        <v>289</v>
      </c>
      <c r="J308" s="80">
        <f t="shared" ca="1" si="13"/>
        <v>0.96979865771812079</v>
      </c>
    </row>
    <row r="309" spans="7:10" x14ac:dyDescent="0.2">
      <c r="G309" s="60">
        <v>299</v>
      </c>
      <c r="H309">
        <f ca="1">IF(AND(G309&lt;=O$3,RAND()&lt;=H$7),1,0)</f>
        <v>1</v>
      </c>
      <c r="I309">
        <f t="shared" ca="1" si="14"/>
        <v>290</v>
      </c>
      <c r="J309" s="80">
        <f t="shared" ca="1" si="13"/>
        <v>0.96989966555183948</v>
      </c>
    </row>
    <row r="310" spans="7:10" x14ac:dyDescent="0.2">
      <c r="G310" s="60">
        <v>300</v>
      </c>
      <c r="H310">
        <f ca="1">IF(AND(G310&lt;=O$3,RAND()&lt;=H$7),1,0)</f>
        <v>1</v>
      </c>
      <c r="I310">
        <f t="shared" ca="1" si="14"/>
        <v>291</v>
      </c>
      <c r="J310" s="80">
        <f t="shared" ca="1" si="13"/>
        <v>0.97</v>
      </c>
    </row>
    <row r="311" spans="7:10" x14ac:dyDescent="0.2">
      <c r="G311" s="60">
        <v>301</v>
      </c>
      <c r="H311">
        <f ca="1">IF(AND(G311&lt;=O$3,RAND()&lt;=H$7),1,0)</f>
        <v>1</v>
      </c>
      <c r="I311">
        <f t="shared" ca="1" si="14"/>
        <v>292</v>
      </c>
      <c r="J311" s="80">
        <f t="shared" ca="1" si="13"/>
        <v>0.9700996677740864</v>
      </c>
    </row>
    <row r="312" spans="7:10" x14ac:dyDescent="0.2">
      <c r="G312" s="60">
        <v>302</v>
      </c>
      <c r="H312">
        <f ca="1">IF(AND(G312&lt;=O$3,RAND()&lt;=H$7),1,0)</f>
        <v>1</v>
      </c>
      <c r="I312">
        <f t="shared" ca="1" si="14"/>
        <v>293</v>
      </c>
      <c r="J312" s="80">
        <f t="shared" ca="1" si="13"/>
        <v>0.9701986754966887</v>
      </c>
    </row>
    <row r="313" spans="7:10" x14ac:dyDescent="0.2">
      <c r="G313" s="60">
        <v>303</v>
      </c>
      <c r="H313">
        <f ca="1">IF(AND(G313&lt;=O$3,RAND()&lt;=H$7),1,0)</f>
        <v>1</v>
      </c>
      <c r="I313">
        <f t="shared" ca="1" si="14"/>
        <v>294</v>
      </c>
      <c r="J313" s="80">
        <f t="shared" ca="1" si="13"/>
        <v>0.97029702970297027</v>
      </c>
    </row>
    <row r="314" spans="7:10" x14ac:dyDescent="0.2">
      <c r="G314" s="60">
        <v>304</v>
      </c>
      <c r="H314">
        <f ca="1">IF(AND(G314&lt;=O$3,RAND()&lt;=H$7),1,0)</f>
        <v>1</v>
      </c>
      <c r="I314">
        <f t="shared" ca="1" si="14"/>
        <v>295</v>
      </c>
      <c r="J314" s="80">
        <f t="shared" ca="1" si="13"/>
        <v>0.97039473684210531</v>
      </c>
    </row>
    <row r="315" spans="7:10" x14ac:dyDescent="0.2">
      <c r="G315" s="60">
        <v>305</v>
      </c>
      <c r="H315">
        <f ca="1">IF(AND(G315&lt;=O$3,RAND()&lt;=H$7),1,0)</f>
        <v>1</v>
      </c>
      <c r="I315">
        <f t="shared" ca="1" si="14"/>
        <v>296</v>
      </c>
      <c r="J315" s="80">
        <f t="shared" ca="1" si="13"/>
        <v>0.97049180327868856</v>
      </c>
    </row>
    <row r="316" spans="7:10" x14ac:dyDescent="0.2">
      <c r="G316" s="60">
        <v>306</v>
      </c>
      <c r="H316">
        <f ca="1">IF(AND(G316&lt;=O$3,RAND()&lt;=H$7),1,0)</f>
        <v>1</v>
      </c>
      <c r="I316">
        <f t="shared" ca="1" si="14"/>
        <v>297</v>
      </c>
      <c r="J316" s="80">
        <f t="shared" ca="1" si="13"/>
        <v>0.97058823529411764</v>
      </c>
    </row>
    <row r="317" spans="7:10" x14ac:dyDescent="0.2">
      <c r="G317" s="60">
        <v>307</v>
      </c>
      <c r="H317">
        <f ca="1">IF(AND(G317&lt;=O$3,RAND()&lt;=H$7),1,0)</f>
        <v>1</v>
      </c>
      <c r="I317">
        <f t="shared" ca="1" si="14"/>
        <v>298</v>
      </c>
      <c r="J317" s="80">
        <f t="shared" ca="1" si="13"/>
        <v>0.97068403908794787</v>
      </c>
    </row>
    <row r="318" spans="7:10" x14ac:dyDescent="0.2">
      <c r="G318" s="60">
        <v>308</v>
      </c>
      <c r="H318">
        <f ca="1">IF(AND(G318&lt;=O$3,RAND()&lt;=H$7),1,0)</f>
        <v>1</v>
      </c>
      <c r="I318">
        <f t="shared" ca="1" si="14"/>
        <v>299</v>
      </c>
      <c r="J318" s="80">
        <f t="shared" ca="1" si="13"/>
        <v>0.97077922077922074</v>
      </c>
    </row>
    <row r="319" spans="7:10" x14ac:dyDescent="0.2">
      <c r="G319" s="60">
        <v>309</v>
      </c>
      <c r="H319">
        <f ca="1">IF(AND(G319&lt;=O$3,RAND()&lt;=H$7),1,0)</f>
        <v>1</v>
      </c>
      <c r="I319">
        <f t="shared" ca="1" si="14"/>
        <v>300</v>
      </c>
      <c r="J319" s="80">
        <f t="shared" ca="1" si="13"/>
        <v>0.970873786407767</v>
      </c>
    </row>
    <row r="320" spans="7:10" x14ac:dyDescent="0.2">
      <c r="G320" s="60">
        <v>310</v>
      </c>
      <c r="H320">
        <f ca="1">IF(AND(G320&lt;=O$3,RAND()&lt;=H$7),1,0)</f>
        <v>1</v>
      </c>
      <c r="I320">
        <f t="shared" ca="1" si="14"/>
        <v>301</v>
      </c>
      <c r="J320" s="80">
        <f t="shared" ca="1" si="13"/>
        <v>0.97096774193548385</v>
      </c>
    </row>
    <row r="321" spans="7:10" x14ac:dyDescent="0.2">
      <c r="G321" s="60">
        <v>311</v>
      </c>
      <c r="H321">
        <f ca="1">IF(AND(G321&lt;=O$3,RAND()&lt;=H$7),1,0)</f>
        <v>1</v>
      </c>
      <c r="I321">
        <f t="shared" ca="1" si="14"/>
        <v>302</v>
      </c>
      <c r="J321" s="80">
        <f t="shared" ca="1" si="13"/>
        <v>0.97106109324758838</v>
      </c>
    </row>
    <row r="322" spans="7:10" x14ac:dyDescent="0.2">
      <c r="G322" s="60">
        <v>312</v>
      </c>
      <c r="H322">
        <f ca="1">IF(AND(G322&lt;=O$3,RAND()&lt;=H$7),1,0)</f>
        <v>1</v>
      </c>
      <c r="I322">
        <f t="shared" ca="1" si="14"/>
        <v>303</v>
      </c>
      <c r="J322" s="80">
        <f t="shared" ca="1" si="13"/>
        <v>0.97115384615384615</v>
      </c>
    </row>
    <row r="323" spans="7:10" x14ac:dyDescent="0.2">
      <c r="G323" s="60">
        <v>313</v>
      </c>
      <c r="H323">
        <f ca="1">IF(AND(G323&lt;=O$3,RAND()&lt;=H$7),1,0)</f>
        <v>1</v>
      </c>
      <c r="I323">
        <f t="shared" ca="1" si="14"/>
        <v>304</v>
      </c>
      <c r="J323" s="80">
        <f t="shared" ca="1" si="13"/>
        <v>0.97124600638977632</v>
      </c>
    </row>
    <row r="324" spans="7:10" x14ac:dyDescent="0.2">
      <c r="G324" s="60">
        <v>314</v>
      </c>
      <c r="H324">
        <f ca="1">IF(AND(G324&lt;=O$3,RAND()&lt;=H$7),1,0)</f>
        <v>1</v>
      </c>
      <c r="I324">
        <f t="shared" ca="1" si="14"/>
        <v>305</v>
      </c>
      <c r="J324" s="80">
        <f t="shared" ca="1" si="13"/>
        <v>0.9713375796178344</v>
      </c>
    </row>
    <row r="325" spans="7:10" x14ac:dyDescent="0.2">
      <c r="G325" s="60">
        <v>315</v>
      </c>
      <c r="H325">
        <f ca="1">IF(AND(G325&lt;=O$3,RAND()&lt;=H$7),1,0)</f>
        <v>1</v>
      </c>
      <c r="I325">
        <f t="shared" ca="1" si="14"/>
        <v>306</v>
      </c>
      <c r="J325" s="80">
        <f t="shared" ca="1" si="13"/>
        <v>0.97142857142857142</v>
      </c>
    </row>
    <row r="326" spans="7:10" x14ac:dyDescent="0.2">
      <c r="G326" s="60">
        <v>316</v>
      </c>
      <c r="H326">
        <f ca="1">IF(AND(G326&lt;=O$3,RAND()&lt;=H$7),1,0)</f>
        <v>1</v>
      </c>
      <c r="I326">
        <f t="shared" ca="1" si="14"/>
        <v>307</v>
      </c>
      <c r="J326" s="80">
        <f t="shared" ca="1" si="13"/>
        <v>0.97151898734177211</v>
      </c>
    </row>
    <row r="327" spans="7:10" x14ac:dyDescent="0.2">
      <c r="G327" s="60">
        <v>317</v>
      </c>
      <c r="H327">
        <f ca="1">IF(AND(G327&lt;=O$3,RAND()&lt;=H$7),1,0)</f>
        <v>1</v>
      </c>
      <c r="I327">
        <f t="shared" ca="1" si="14"/>
        <v>308</v>
      </c>
      <c r="J327" s="80">
        <f t="shared" ca="1" si="13"/>
        <v>0.97160883280757093</v>
      </c>
    </row>
    <row r="328" spans="7:10" x14ac:dyDescent="0.2">
      <c r="G328" s="60">
        <v>318</v>
      </c>
      <c r="H328">
        <f ca="1">IF(AND(G328&lt;=O$3,RAND()&lt;=H$7),1,0)</f>
        <v>1</v>
      </c>
      <c r="I328">
        <f t="shared" ca="1" si="14"/>
        <v>309</v>
      </c>
      <c r="J328" s="80">
        <f t="shared" ca="1" si="13"/>
        <v>0.97169811320754718</v>
      </c>
    </row>
    <row r="329" spans="7:10" x14ac:dyDescent="0.2">
      <c r="G329" s="60">
        <v>319</v>
      </c>
      <c r="H329">
        <f ca="1">IF(AND(G329&lt;=O$3,RAND()&lt;=H$7),1,0)</f>
        <v>1</v>
      </c>
      <c r="I329">
        <f t="shared" ca="1" si="14"/>
        <v>310</v>
      </c>
      <c r="J329" s="80">
        <f t="shared" ca="1" si="13"/>
        <v>0.97178683385579934</v>
      </c>
    </row>
    <row r="330" spans="7:10" x14ac:dyDescent="0.2">
      <c r="G330" s="60">
        <v>320</v>
      </c>
      <c r="H330">
        <f ca="1">IF(AND(G330&lt;=O$3,RAND()&lt;=H$7),1,0)</f>
        <v>1</v>
      </c>
      <c r="I330">
        <f t="shared" ca="1" si="14"/>
        <v>311</v>
      </c>
      <c r="J330" s="80">
        <f t="shared" ca="1" si="13"/>
        <v>0.97187500000000004</v>
      </c>
    </row>
    <row r="331" spans="7:10" x14ac:dyDescent="0.2">
      <c r="G331" s="60">
        <v>321</v>
      </c>
      <c r="H331">
        <f ca="1">IF(AND(G331&lt;=O$3,RAND()&lt;=H$7),1,0)</f>
        <v>1</v>
      </c>
      <c r="I331">
        <f t="shared" ca="1" si="14"/>
        <v>312</v>
      </c>
      <c r="J331" s="80">
        <f t="shared" ca="1" si="13"/>
        <v>0.9719626168224299</v>
      </c>
    </row>
    <row r="332" spans="7:10" x14ac:dyDescent="0.2">
      <c r="G332" s="60">
        <v>322</v>
      </c>
      <c r="H332">
        <f ca="1">IF(AND(G332&lt;=O$3,RAND()&lt;=H$7),1,0)</f>
        <v>0</v>
      </c>
      <c r="I332">
        <f t="shared" ca="1" si="14"/>
        <v>312</v>
      </c>
      <c r="J332" s="80">
        <f t="shared" ref="J332:J395" ca="1" si="15">I332/G332</f>
        <v>0.96894409937888204</v>
      </c>
    </row>
    <row r="333" spans="7:10" x14ac:dyDescent="0.2">
      <c r="G333" s="60">
        <v>323</v>
      </c>
      <c r="H333">
        <f ca="1">IF(AND(G333&lt;=O$3,RAND()&lt;=H$7),1,0)</f>
        <v>1</v>
      </c>
      <c r="I333">
        <f t="shared" ref="I333:I396" ca="1" si="16">H333+I332</f>
        <v>313</v>
      </c>
      <c r="J333" s="80">
        <f t="shared" ca="1" si="15"/>
        <v>0.96904024767801855</v>
      </c>
    </row>
    <row r="334" spans="7:10" x14ac:dyDescent="0.2">
      <c r="G334" s="60">
        <v>324</v>
      </c>
      <c r="H334">
        <f ca="1">IF(AND(G334&lt;=O$3,RAND()&lt;=H$7),1,0)</f>
        <v>1</v>
      </c>
      <c r="I334">
        <f t="shared" ca="1" si="16"/>
        <v>314</v>
      </c>
      <c r="J334" s="80">
        <f t="shared" ca="1" si="15"/>
        <v>0.96913580246913578</v>
      </c>
    </row>
    <row r="335" spans="7:10" x14ac:dyDescent="0.2">
      <c r="G335" s="60">
        <v>325</v>
      </c>
      <c r="H335">
        <f ca="1">IF(AND(G335&lt;=O$3,RAND()&lt;=H$7),1,0)</f>
        <v>1</v>
      </c>
      <c r="I335">
        <f t="shared" ca="1" si="16"/>
        <v>315</v>
      </c>
      <c r="J335" s="80">
        <f t="shared" ca="1" si="15"/>
        <v>0.96923076923076923</v>
      </c>
    </row>
    <row r="336" spans="7:10" x14ac:dyDescent="0.2">
      <c r="G336" s="60">
        <v>326</v>
      </c>
      <c r="H336">
        <f ca="1">IF(AND(G336&lt;=O$3,RAND()&lt;=H$7),1,0)</f>
        <v>1</v>
      </c>
      <c r="I336">
        <f t="shared" ca="1" si="16"/>
        <v>316</v>
      </c>
      <c r="J336" s="80">
        <f t="shared" ca="1" si="15"/>
        <v>0.96932515337423308</v>
      </c>
    </row>
    <row r="337" spans="7:10" x14ac:dyDescent="0.2">
      <c r="G337" s="60">
        <v>327</v>
      </c>
      <c r="H337">
        <f ca="1">IF(AND(G337&lt;=O$3,RAND()&lt;=H$7),1,0)</f>
        <v>1</v>
      </c>
      <c r="I337">
        <f t="shared" ca="1" si="16"/>
        <v>317</v>
      </c>
      <c r="J337" s="80">
        <f t="shared" ca="1" si="15"/>
        <v>0.96941896024464835</v>
      </c>
    </row>
    <row r="338" spans="7:10" x14ac:dyDescent="0.2">
      <c r="G338" s="60">
        <v>328</v>
      </c>
      <c r="H338">
        <f ca="1">IF(AND(G338&lt;=O$3,RAND()&lt;=H$7),1,0)</f>
        <v>1</v>
      </c>
      <c r="I338">
        <f t="shared" ca="1" si="16"/>
        <v>318</v>
      </c>
      <c r="J338" s="80">
        <f t="shared" ca="1" si="15"/>
        <v>0.96951219512195119</v>
      </c>
    </row>
    <row r="339" spans="7:10" x14ac:dyDescent="0.2">
      <c r="G339" s="60">
        <v>329</v>
      </c>
      <c r="H339">
        <f ca="1">IF(AND(G339&lt;=O$3,RAND()&lt;=H$7),1,0)</f>
        <v>1</v>
      </c>
      <c r="I339">
        <f t="shared" ca="1" si="16"/>
        <v>319</v>
      </c>
      <c r="J339" s="80">
        <f t="shared" ca="1" si="15"/>
        <v>0.96960486322188455</v>
      </c>
    </row>
    <row r="340" spans="7:10" x14ac:dyDescent="0.2">
      <c r="G340" s="60">
        <v>330</v>
      </c>
      <c r="H340">
        <f ca="1">IF(AND(G340&lt;=O$3,RAND()&lt;=H$7),1,0)</f>
        <v>1</v>
      </c>
      <c r="I340">
        <f t="shared" ca="1" si="16"/>
        <v>320</v>
      </c>
      <c r="J340" s="80">
        <f t="shared" ca="1" si="15"/>
        <v>0.96969696969696972</v>
      </c>
    </row>
    <row r="341" spans="7:10" x14ac:dyDescent="0.2">
      <c r="G341" s="60">
        <v>331</v>
      </c>
      <c r="H341">
        <f ca="1">IF(AND(G341&lt;=O$3,RAND()&lt;=H$7),1,0)</f>
        <v>1</v>
      </c>
      <c r="I341">
        <f t="shared" ca="1" si="16"/>
        <v>321</v>
      </c>
      <c r="J341" s="80">
        <f t="shared" ca="1" si="15"/>
        <v>0.96978851963746227</v>
      </c>
    </row>
    <row r="342" spans="7:10" x14ac:dyDescent="0.2">
      <c r="G342" s="60">
        <v>332</v>
      </c>
      <c r="H342">
        <f ca="1">IF(AND(G342&lt;=O$3,RAND()&lt;=H$7),1,0)</f>
        <v>1</v>
      </c>
      <c r="I342">
        <f t="shared" ca="1" si="16"/>
        <v>322</v>
      </c>
      <c r="J342" s="80">
        <f t="shared" ca="1" si="15"/>
        <v>0.96987951807228912</v>
      </c>
    </row>
    <row r="343" spans="7:10" x14ac:dyDescent="0.2">
      <c r="G343" s="60">
        <v>333</v>
      </c>
      <c r="H343">
        <f ca="1">IF(AND(G343&lt;=O$3,RAND()&lt;=H$7),1,0)</f>
        <v>1</v>
      </c>
      <c r="I343">
        <f t="shared" ca="1" si="16"/>
        <v>323</v>
      </c>
      <c r="J343" s="80">
        <f t="shared" ca="1" si="15"/>
        <v>0.96996996996996998</v>
      </c>
    </row>
    <row r="344" spans="7:10" x14ac:dyDescent="0.2">
      <c r="G344" s="60">
        <v>334</v>
      </c>
      <c r="H344">
        <f ca="1">IF(AND(G344&lt;=O$3,RAND()&lt;=H$7),1,0)</f>
        <v>1</v>
      </c>
      <c r="I344">
        <f t="shared" ca="1" si="16"/>
        <v>324</v>
      </c>
      <c r="J344" s="80">
        <f t="shared" ca="1" si="15"/>
        <v>0.97005988023952094</v>
      </c>
    </row>
    <row r="345" spans="7:10" x14ac:dyDescent="0.2">
      <c r="G345" s="60">
        <v>335</v>
      </c>
      <c r="H345">
        <f ca="1">IF(AND(G345&lt;=O$3,RAND()&lt;=H$7),1,0)</f>
        <v>1</v>
      </c>
      <c r="I345">
        <f t="shared" ca="1" si="16"/>
        <v>325</v>
      </c>
      <c r="J345" s="80">
        <f t="shared" ca="1" si="15"/>
        <v>0.97014925373134331</v>
      </c>
    </row>
    <row r="346" spans="7:10" x14ac:dyDescent="0.2">
      <c r="G346" s="60">
        <v>336</v>
      </c>
      <c r="H346">
        <f ca="1">IF(AND(G346&lt;=O$3,RAND()&lt;=H$7),1,0)</f>
        <v>1</v>
      </c>
      <c r="I346">
        <f t="shared" ca="1" si="16"/>
        <v>326</v>
      </c>
      <c r="J346" s="80">
        <f t="shared" ca="1" si="15"/>
        <v>0.97023809523809523</v>
      </c>
    </row>
    <row r="347" spans="7:10" x14ac:dyDescent="0.2">
      <c r="G347" s="60">
        <v>337</v>
      </c>
      <c r="H347">
        <f ca="1">IF(AND(G347&lt;=O$3,RAND()&lt;=H$7),1,0)</f>
        <v>1</v>
      </c>
      <c r="I347">
        <f t="shared" ca="1" si="16"/>
        <v>327</v>
      </c>
      <c r="J347" s="80">
        <f t="shared" ca="1" si="15"/>
        <v>0.97032640949554894</v>
      </c>
    </row>
    <row r="348" spans="7:10" x14ac:dyDescent="0.2">
      <c r="G348" s="60">
        <v>338</v>
      </c>
      <c r="H348">
        <f ca="1">IF(AND(G348&lt;=O$3,RAND()&lt;=H$7),1,0)</f>
        <v>1</v>
      </c>
      <c r="I348">
        <f t="shared" ca="1" si="16"/>
        <v>328</v>
      </c>
      <c r="J348" s="80">
        <f t="shared" ca="1" si="15"/>
        <v>0.97041420118343191</v>
      </c>
    </row>
    <row r="349" spans="7:10" x14ac:dyDescent="0.2">
      <c r="G349" s="60">
        <v>339</v>
      </c>
      <c r="H349">
        <f ca="1">IF(AND(G349&lt;=O$3,RAND()&lt;=H$7),1,0)</f>
        <v>1</v>
      </c>
      <c r="I349">
        <f t="shared" ca="1" si="16"/>
        <v>329</v>
      </c>
      <c r="J349" s="80">
        <f t="shared" ca="1" si="15"/>
        <v>0.97050147492625372</v>
      </c>
    </row>
    <row r="350" spans="7:10" x14ac:dyDescent="0.2">
      <c r="G350" s="60">
        <v>340</v>
      </c>
      <c r="H350">
        <f ca="1">IF(AND(G350&lt;=O$3,RAND()&lt;=H$7),1,0)</f>
        <v>1</v>
      </c>
      <c r="I350">
        <f t="shared" ca="1" si="16"/>
        <v>330</v>
      </c>
      <c r="J350" s="80">
        <f t="shared" ca="1" si="15"/>
        <v>0.97058823529411764</v>
      </c>
    </row>
    <row r="351" spans="7:10" x14ac:dyDescent="0.2">
      <c r="G351" s="60">
        <v>341</v>
      </c>
      <c r="H351">
        <f ca="1">IF(AND(G351&lt;=O$3,RAND()&lt;=H$7),1,0)</f>
        <v>1</v>
      </c>
      <c r="I351">
        <f t="shared" ca="1" si="16"/>
        <v>331</v>
      </c>
      <c r="J351" s="80">
        <f t="shared" ca="1" si="15"/>
        <v>0.97067448680351909</v>
      </c>
    </row>
    <row r="352" spans="7:10" x14ac:dyDescent="0.2">
      <c r="G352" s="60">
        <v>342</v>
      </c>
      <c r="H352">
        <f ca="1">IF(AND(G352&lt;=O$3,RAND()&lt;=H$7),1,0)</f>
        <v>1</v>
      </c>
      <c r="I352">
        <f t="shared" ca="1" si="16"/>
        <v>332</v>
      </c>
      <c r="J352" s="80">
        <f t="shared" ca="1" si="15"/>
        <v>0.9707602339181286</v>
      </c>
    </row>
    <row r="353" spans="7:10" x14ac:dyDescent="0.2">
      <c r="G353" s="60">
        <v>343</v>
      </c>
      <c r="H353">
        <f ca="1">IF(AND(G353&lt;=O$3,RAND()&lt;=H$7),1,0)</f>
        <v>1</v>
      </c>
      <c r="I353">
        <f t="shared" ca="1" si="16"/>
        <v>333</v>
      </c>
      <c r="J353" s="80">
        <f t="shared" ca="1" si="15"/>
        <v>0.9708454810495627</v>
      </c>
    </row>
    <row r="354" spans="7:10" x14ac:dyDescent="0.2">
      <c r="G354" s="60">
        <v>344</v>
      </c>
      <c r="H354">
        <f ca="1">IF(AND(G354&lt;=O$3,RAND()&lt;=H$7),1,0)</f>
        <v>1</v>
      </c>
      <c r="I354">
        <f t="shared" ca="1" si="16"/>
        <v>334</v>
      </c>
      <c r="J354" s="80">
        <f t="shared" ca="1" si="15"/>
        <v>0.97093023255813948</v>
      </c>
    </row>
    <row r="355" spans="7:10" x14ac:dyDescent="0.2">
      <c r="G355" s="60">
        <v>345</v>
      </c>
      <c r="H355">
        <f ca="1">IF(AND(G355&lt;=O$3,RAND()&lt;=H$7),1,0)</f>
        <v>1</v>
      </c>
      <c r="I355">
        <f t="shared" ca="1" si="16"/>
        <v>335</v>
      </c>
      <c r="J355" s="80">
        <f t="shared" ca="1" si="15"/>
        <v>0.97101449275362317</v>
      </c>
    </row>
    <row r="356" spans="7:10" x14ac:dyDescent="0.2">
      <c r="G356" s="60">
        <v>346</v>
      </c>
      <c r="H356">
        <f ca="1">IF(AND(G356&lt;=O$3,RAND()&lt;=H$7),1,0)</f>
        <v>1</v>
      </c>
      <c r="I356">
        <f t="shared" ca="1" si="16"/>
        <v>336</v>
      </c>
      <c r="J356" s="80">
        <f t="shared" ca="1" si="15"/>
        <v>0.97109826589595372</v>
      </c>
    </row>
    <row r="357" spans="7:10" x14ac:dyDescent="0.2">
      <c r="G357" s="60">
        <v>347</v>
      </c>
      <c r="H357">
        <f ca="1">IF(AND(G357&lt;=O$3,RAND()&lt;=H$7),1,0)</f>
        <v>1</v>
      </c>
      <c r="I357">
        <f t="shared" ca="1" si="16"/>
        <v>337</v>
      </c>
      <c r="J357" s="80">
        <f t="shared" ca="1" si="15"/>
        <v>0.97118155619596547</v>
      </c>
    </row>
    <row r="358" spans="7:10" x14ac:dyDescent="0.2">
      <c r="G358" s="60">
        <v>348</v>
      </c>
      <c r="H358">
        <f ca="1">IF(AND(G358&lt;=O$3,RAND()&lt;=H$7),1,0)</f>
        <v>1</v>
      </c>
      <c r="I358">
        <f t="shared" ca="1" si="16"/>
        <v>338</v>
      </c>
      <c r="J358" s="80">
        <f t="shared" ca="1" si="15"/>
        <v>0.97126436781609193</v>
      </c>
    </row>
    <row r="359" spans="7:10" x14ac:dyDescent="0.2">
      <c r="G359" s="60">
        <v>349</v>
      </c>
      <c r="H359">
        <f ca="1">IF(AND(G359&lt;=O$3,RAND()&lt;=H$7),1,0)</f>
        <v>1</v>
      </c>
      <c r="I359">
        <f t="shared" ca="1" si="16"/>
        <v>339</v>
      </c>
      <c r="J359" s="80">
        <f t="shared" ca="1" si="15"/>
        <v>0.97134670487106012</v>
      </c>
    </row>
    <row r="360" spans="7:10" x14ac:dyDescent="0.2">
      <c r="G360" s="60">
        <v>350</v>
      </c>
      <c r="H360">
        <f ca="1">IF(AND(G360&lt;=O$3,RAND()&lt;=H$7),1,0)</f>
        <v>1</v>
      </c>
      <c r="I360">
        <f t="shared" ca="1" si="16"/>
        <v>340</v>
      </c>
      <c r="J360" s="80">
        <f t="shared" ca="1" si="15"/>
        <v>0.97142857142857142</v>
      </c>
    </row>
    <row r="361" spans="7:10" x14ac:dyDescent="0.2">
      <c r="G361" s="60">
        <v>351</v>
      </c>
      <c r="H361">
        <f ca="1">IF(AND(G361&lt;=O$3,RAND()&lt;=H$7),1,0)</f>
        <v>1</v>
      </c>
      <c r="I361">
        <f t="shared" ca="1" si="16"/>
        <v>341</v>
      </c>
      <c r="J361" s="80">
        <f t="shared" ca="1" si="15"/>
        <v>0.97150997150997154</v>
      </c>
    </row>
    <row r="362" spans="7:10" x14ac:dyDescent="0.2">
      <c r="G362" s="60">
        <v>352</v>
      </c>
      <c r="H362">
        <f ca="1">IF(AND(G362&lt;=O$3,RAND()&lt;=H$7),1,0)</f>
        <v>1</v>
      </c>
      <c r="I362">
        <f t="shared" ca="1" si="16"/>
        <v>342</v>
      </c>
      <c r="J362" s="80">
        <f t="shared" ca="1" si="15"/>
        <v>0.97159090909090906</v>
      </c>
    </row>
    <row r="363" spans="7:10" x14ac:dyDescent="0.2">
      <c r="G363" s="60">
        <v>353</v>
      </c>
      <c r="H363">
        <f ca="1">IF(AND(G363&lt;=O$3,RAND()&lt;=H$7),1,0)</f>
        <v>1</v>
      </c>
      <c r="I363">
        <f t="shared" ca="1" si="16"/>
        <v>343</v>
      </c>
      <c r="J363" s="80">
        <f t="shared" ca="1" si="15"/>
        <v>0.97167138810198306</v>
      </c>
    </row>
    <row r="364" spans="7:10" x14ac:dyDescent="0.2">
      <c r="G364" s="60">
        <v>354</v>
      </c>
      <c r="H364">
        <f ca="1">IF(AND(G364&lt;=O$3,RAND()&lt;=H$7),1,0)</f>
        <v>1</v>
      </c>
      <c r="I364">
        <f t="shared" ca="1" si="16"/>
        <v>344</v>
      </c>
      <c r="J364" s="80">
        <f t="shared" ca="1" si="15"/>
        <v>0.97175141242937857</v>
      </c>
    </row>
    <row r="365" spans="7:10" x14ac:dyDescent="0.2">
      <c r="G365" s="60">
        <v>355</v>
      </c>
      <c r="H365">
        <f ca="1">IF(AND(G365&lt;=O$3,RAND()&lt;=H$7),1,0)</f>
        <v>1</v>
      </c>
      <c r="I365">
        <f t="shared" ca="1" si="16"/>
        <v>345</v>
      </c>
      <c r="J365" s="80">
        <f t="shared" ca="1" si="15"/>
        <v>0.971830985915493</v>
      </c>
    </row>
    <row r="366" spans="7:10" x14ac:dyDescent="0.2">
      <c r="G366" s="60">
        <v>356</v>
      </c>
      <c r="H366">
        <f ca="1">IF(AND(G366&lt;=O$3,RAND()&lt;=H$7),1,0)</f>
        <v>1</v>
      </c>
      <c r="I366">
        <f t="shared" ca="1" si="16"/>
        <v>346</v>
      </c>
      <c r="J366" s="80">
        <f t="shared" ca="1" si="15"/>
        <v>0.9719101123595506</v>
      </c>
    </row>
    <row r="367" spans="7:10" x14ac:dyDescent="0.2">
      <c r="G367" s="60">
        <v>357</v>
      </c>
      <c r="H367">
        <f ca="1">IF(AND(G367&lt;=O$3,RAND()&lt;=H$7),1,0)</f>
        <v>1</v>
      </c>
      <c r="I367">
        <f t="shared" ca="1" si="16"/>
        <v>347</v>
      </c>
      <c r="J367" s="80">
        <f t="shared" ca="1" si="15"/>
        <v>0.97198879551820727</v>
      </c>
    </row>
    <row r="368" spans="7:10" x14ac:dyDescent="0.2">
      <c r="G368" s="60">
        <v>358</v>
      </c>
      <c r="H368">
        <f ca="1">IF(AND(G368&lt;=O$3,RAND()&lt;=H$7),1,0)</f>
        <v>1</v>
      </c>
      <c r="I368">
        <f t="shared" ca="1" si="16"/>
        <v>348</v>
      </c>
      <c r="J368" s="80">
        <f t="shared" ca="1" si="15"/>
        <v>0.97206703910614523</v>
      </c>
    </row>
    <row r="369" spans="7:10" x14ac:dyDescent="0.2">
      <c r="G369" s="60">
        <v>359</v>
      </c>
      <c r="H369">
        <f ca="1">IF(AND(G369&lt;=O$3,RAND()&lt;=H$7),1,0)</f>
        <v>1</v>
      </c>
      <c r="I369">
        <f t="shared" ca="1" si="16"/>
        <v>349</v>
      </c>
      <c r="J369" s="80">
        <f t="shared" ca="1" si="15"/>
        <v>0.97214484679665736</v>
      </c>
    </row>
    <row r="370" spans="7:10" x14ac:dyDescent="0.2">
      <c r="G370" s="60">
        <v>360</v>
      </c>
      <c r="H370">
        <f ca="1">IF(AND(G370&lt;=O$3,RAND()&lt;=H$7),1,0)</f>
        <v>0</v>
      </c>
      <c r="I370">
        <f t="shared" ca="1" si="16"/>
        <v>349</v>
      </c>
      <c r="J370" s="80">
        <f t="shared" ca="1" si="15"/>
        <v>0.96944444444444444</v>
      </c>
    </row>
    <row r="371" spans="7:10" x14ac:dyDescent="0.2">
      <c r="G371" s="60">
        <v>361</v>
      </c>
      <c r="H371">
        <f ca="1">IF(AND(G371&lt;=O$3,RAND()&lt;=H$7),1,0)</f>
        <v>1</v>
      </c>
      <c r="I371">
        <f t="shared" ca="1" si="16"/>
        <v>350</v>
      </c>
      <c r="J371" s="80">
        <f t="shared" ca="1" si="15"/>
        <v>0.96952908587257614</v>
      </c>
    </row>
    <row r="372" spans="7:10" x14ac:dyDescent="0.2">
      <c r="G372" s="60">
        <v>362</v>
      </c>
      <c r="H372">
        <f ca="1">IF(AND(G372&lt;=O$3,RAND()&lt;=H$7),1,0)</f>
        <v>1</v>
      </c>
      <c r="I372">
        <f t="shared" ca="1" si="16"/>
        <v>351</v>
      </c>
      <c r="J372" s="80">
        <f t="shared" ca="1" si="15"/>
        <v>0.96961325966850831</v>
      </c>
    </row>
    <row r="373" spans="7:10" x14ac:dyDescent="0.2">
      <c r="G373" s="60">
        <v>363</v>
      </c>
      <c r="H373">
        <f ca="1">IF(AND(G373&lt;=O$3,RAND()&lt;=H$7),1,0)</f>
        <v>1</v>
      </c>
      <c r="I373">
        <f t="shared" ca="1" si="16"/>
        <v>352</v>
      </c>
      <c r="J373" s="80">
        <f t="shared" ca="1" si="15"/>
        <v>0.96969696969696972</v>
      </c>
    </row>
    <row r="374" spans="7:10" x14ac:dyDescent="0.2">
      <c r="G374" s="60">
        <v>364</v>
      </c>
      <c r="H374">
        <f ca="1">IF(AND(G374&lt;=O$3,RAND()&lt;=H$7),1,0)</f>
        <v>1</v>
      </c>
      <c r="I374">
        <f t="shared" ca="1" si="16"/>
        <v>353</v>
      </c>
      <c r="J374" s="80">
        <f t="shared" ca="1" si="15"/>
        <v>0.96978021978021978</v>
      </c>
    </row>
    <row r="375" spans="7:10" x14ac:dyDescent="0.2">
      <c r="G375" s="60">
        <v>365</v>
      </c>
      <c r="H375">
        <f ca="1">IF(AND(G375&lt;=O$3,RAND()&lt;=H$7),1,0)</f>
        <v>1</v>
      </c>
      <c r="I375">
        <f t="shared" ca="1" si="16"/>
        <v>354</v>
      </c>
      <c r="J375" s="80">
        <f t="shared" ca="1" si="15"/>
        <v>0.96986301369863015</v>
      </c>
    </row>
    <row r="376" spans="7:10" x14ac:dyDescent="0.2">
      <c r="G376" s="60">
        <v>366</v>
      </c>
      <c r="H376">
        <f ca="1">IF(AND(G376&lt;=O$3,RAND()&lt;=H$7),1,0)</f>
        <v>1</v>
      </c>
      <c r="I376">
        <f t="shared" ca="1" si="16"/>
        <v>355</v>
      </c>
      <c r="J376" s="80">
        <f t="shared" ca="1" si="15"/>
        <v>0.9699453551912568</v>
      </c>
    </row>
    <row r="377" spans="7:10" x14ac:dyDescent="0.2">
      <c r="G377" s="60">
        <v>367</v>
      </c>
      <c r="H377">
        <f ca="1">IF(AND(G377&lt;=O$3,RAND()&lt;=H$7),1,0)</f>
        <v>1</v>
      </c>
      <c r="I377">
        <f t="shared" ca="1" si="16"/>
        <v>356</v>
      </c>
      <c r="J377" s="80">
        <f t="shared" ca="1" si="15"/>
        <v>0.97002724795640327</v>
      </c>
    </row>
    <row r="378" spans="7:10" x14ac:dyDescent="0.2">
      <c r="G378" s="60">
        <v>368</v>
      </c>
      <c r="H378">
        <f ca="1">IF(AND(G378&lt;=O$3,RAND()&lt;=H$7),1,0)</f>
        <v>1</v>
      </c>
      <c r="I378">
        <f t="shared" ca="1" si="16"/>
        <v>357</v>
      </c>
      <c r="J378" s="80">
        <f t="shared" ca="1" si="15"/>
        <v>0.97010869565217395</v>
      </c>
    </row>
    <row r="379" spans="7:10" x14ac:dyDescent="0.2">
      <c r="G379" s="60">
        <v>369</v>
      </c>
      <c r="H379">
        <f ca="1">IF(AND(G379&lt;=O$3,RAND()&lt;=H$7),1,0)</f>
        <v>1</v>
      </c>
      <c r="I379">
        <f t="shared" ca="1" si="16"/>
        <v>358</v>
      </c>
      <c r="J379" s="80">
        <f t="shared" ca="1" si="15"/>
        <v>0.97018970189701892</v>
      </c>
    </row>
    <row r="380" spans="7:10" x14ac:dyDescent="0.2">
      <c r="G380" s="60">
        <v>370</v>
      </c>
      <c r="H380">
        <f ca="1">IF(AND(G380&lt;=O$3,RAND()&lt;=H$7),1,0)</f>
        <v>1</v>
      </c>
      <c r="I380">
        <f t="shared" ca="1" si="16"/>
        <v>359</v>
      </c>
      <c r="J380" s="80">
        <f t="shared" ca="1" si="15"/>
        <v>0.97027027027027024</v>
      </c>
    </row>
    <row r="381" spans="7:10" x14ac:dyDescent="0.2">
      <c r="G381" s="60">
        <v>371</v>
      </c>
      <c r="H381">
        <f ca="1">IF(AND(G381&lt;=O$3,RAND()&lt;=H$7),1,0)</f>
        <v>1</v>
      </c>
      <c r="I381">
        <f t="shared" ca="1" si="16"/>
        <v>360</v>
      </c>
      <c r="J381" s="80">
        <f t="shared" ca="1" si="15"/>
        <v>0.9703504043126685</v>
      </c>
    </row>
    <row r="382" spans="7:10" x14ac:dyDescent="0.2">
      <c r="G382" s="60">
        <v>372</v>
      </c>
      <c r="H382">
        <f ca="1">IF(AND(G382&lt;=O$3,RAND()&lt;=H$7),1,0)</f>
        <v>1</v>
      </c>
      <c r="I382">
        <f t="shared" ca="1" si="16"/>
        <v>361</v>
      </c>
      <c r="J382" s="80">
        <f t="shared" ca="1" si="15"/>
        <v>0.97043010752688175</v>
      </c>
    </row>
    <row r="383" spans="7:10" x14ac:dyDescent="0.2">
      <c r="G383" s="60">
        <v>373</v>
      </c>
      <c r="H383">
        <f ca="1">IF(AND(G383&lt;=O$3,RAND()&lt;=H$7),1,0)</f>
        <v>0</v>
      </c>
      <c r="I383">
        <f t="shared" ca="1" si="16"/>
        <v>361</v>
      </c>
      <c r="J383" s="80">
        <f t="shared" ca="1" si="15"/>
        <v>0.96782841823056298</v>
      </c>
    </row>
    <row r="384" spans="7:10" x14ac:dyDescent="0.2">
      <c r="G384" s="60">
        <v>374</v>
      </c>
      <c r="H384">
        <f ca="1">IF(AND(G384&lt;=O$3,RAND()&lt;=H$7),1,0)</f>
        <v>1</v>
      </c>
      <c r="I384">
        <f t="shared" ca="1" si="16"/>
        <v>362</v>
      </c>
      <c r="J384" s="80">
        <f t="shared" ca="1" si="15"/>
        <v>0.96791443850267378</v>
      </c>
    </row>
    <row r="385" spans="7:10" x14ac:dyDescent="0.2">
      <c r="G385" s="60">
        <v>375</v>
      </c>
      <c r="H385">
        <f ca="1">IF(AND(G385&lt;=O$3,RAND()&lt;=H$7),1,0)</f>
        <v>1</v>
      </c>
      <c r="I385">
        <f t="shared" ca="1" si="16"/>
        <v>363</v>
      </c>
      <c r="J385" s="80">
        <f t="shared" ca="1" si="15"/>
        <v>0.96799999999999997</v>
      </c>
    </row>
    <row r="386" spans="7:10" x14ac:dyDescent="0.2">
      <c r="G386" s="60">
        <v>376</v>
      </c>
      <c r="H386">
        <f ca="1">IF(AND(G386&lt;=O$3,RAND()&lt;=H$7),1,0)</f>
        <v>1</v>
      </c>
      <c r="I386">
        <f t="shared" ca="1" si="16"/>
        <v>364</v>
      </c>
      <c r="J386" s="80">
        <f t="shared" ca="1" si="15"/>
        <v>0.96808510638297873</v>
      </c>
    </row>
    <row r="387" spans="7:10" x14ac:dyDescent="0.2">
      <c r="G387" s="60">
        <v>377</v>
      </c>
      <c r="H387">
        <f ca="1">IF(AND(G387&lt;=O$3,RAND()&lt;=H$7),1,0)</f>
        <v>1</v>
      </c>
      <c r="I387">
        <f t="shared" ca="1" si="16"/>
        <v>365</v>
      </c>
      <c r="J387" s="80">
        <f t="shared" ca="1" si="15"/>
        <v>0.96816976127320953</v>
      </c>
    </row>
    <row r="388" spans="7:10" x14ac:dyDescent="0.2">
      <c r="G388" s="60">
        <v>378</v>
      </c>
      <c r="H388">
        <f ca="1">IF(AND(G388&lt;=O$3,RAND()&lt;=H$7),1,0)</f>
        <v>1</v>
      </c>
      <c r="I388">
        <f t="shared" ca="1" si="16"/>
        <v>366</v>
      </c>
      <c r="J388" s="80">
        <f t="shared" ca="1" si="15"/>
        <v>0.96825396825396826</v>
      </c>
    </row>
    <row r="389" spans="7:10" x14ac:dyDescent="0.2">
      <c r="G389" s="60">
        <v>379</v>
      </c>
      <c r="H389">
        <f ca="1">IF(AND(G389&lt;=O$3,RAND()&lt;=H$7),1,0)</f>
        <v>0</v>
      </c>
      <c r="I389">
        <f t="shared" ca="1" si="16"/>
        <v>366</v>
      </c>
      <c r="J389" s="80">
        <f t="shared" ca="1" si="15"/>
        <v>0.96569920844327173</v>
      </c>
    </row>
    <row r="390" spans="7:10" x14ac:dyDescent="0.2">
      <c r="G390" s="60">
        <v>380</v>
      </c>
      <c r="H390">
        <f ca="1">IF(AND(G390&lt;=O$3,RAND()&lt;=H$7),1,0)</f>
        <v>1</v>
      </c>
      <c r="I390">
        <f t="shared" ca="1" si="16"/>
        <v>367</v>
      </c>
      <c r="J390" s="80">
        <f t="shared" ca="1" si="15"/>
        <v>0.96578947368421053</v>
      </c>
    </row>
    <row r="391" spans="7:10" x14ac:dyDescent="0.2">
      <c r="G391" s="60">
        <v>381</v>
      </c>
      <c r="H391">
        <f ca="1">IF(AND(G391&lt;=O$3,RAND()&lt;=H$7),1,0)</f>
        <v>1</v>
      </c>
      <c r="I391">
        <f t="shared" ca="1" si="16"/>
        <v>368</v>
      </c>
      <c r="J391" s="80">
        <f t="shared" ca="1" si="15"/>
        <v>0.9658792650918635</v>
      </c>
    </row>
    <row r="392" spans="7:10" x14ac:dyDescent="0.2">
      <c r="G392" s="60">
        <v>382</v>
      </c>
      <c r="H392">
        <f ca="1">IF(AND(G392&lt;=O$3,RAND()&lt;=H$7),1,0)</f>
        <v>1</v>
      </c>
      <c r="I392">
        <f t="shared" ca="1" si="16"/>
        <v>369</v>
      </c>
      <c r="J392" s="80">
        <f t="shared" ca="1" si="15"/>
        <v>0.96596858638743455</v>
      </c>
    </row>
    <row r="393" spans="7:10" x14ac:dyDescent="0.2">
      <c r="G393" s="60">
        <v>383</v>
      </c>
      <c r="H393">
        <f ca="1">IF(AND(G393&lt;=O$3,RAND()&lt;=H$7),1,0)</f>
        <v>1</v>
      </c>
      <c r="I393">
        <f t="shared" ca="1" si="16"/>
        <v>370</v>
      </c>
      <c r="J393" s="80">
        <f t="shared" ca="1" si="15"/>
        <v>0.96605744125326376</v>
      </c>
    </row>
    <row r="394" spans="7:10" x14ac:dyDescent="0.2">
      <c r="G394" s="60">
        <v>384</v>
      </c>
      <c r="H394">
        <f ca="1">IF(AND(G394&lt;=O$3,RAND()&lt;=H$7),1,0)</f>
        <v>1</v>
      </c>
      <c r="I394">
        <f t="shared" ca="1" si="16"/>
        <v>371</v>
      </c>
      <c r="J394" s="80">
        <f t="shared" ca="1" si="15"/>
        <v>0.96614583333333337</v>
      </c>
    </row>
    <row r="395" spans="7:10" x14ac:dyDescent="0.2">
      <c r="G395" s="60">
        <v>385</v>
      </c>
      <c r="H395">
        <f ca="1">IF(AND(G395&lt;=O$3,RAND()&lt;=H$7),1,0)</f>
        <v>1</v>
      </c>
      <c r="I395">
        <f t="shared" ca="1" si="16"/>
        <v>372</v>
      </c>
      <c r="J395" s="80">
        <f t="shared" ca="1" si="15"/>
        <v>0.96623376623376622</v>
      </c>
    </row>
    <row r="396" spans="7:10" x14ac:dyDescent="0.2">
      <c r="G396" s="60">
        <v>386</v>
      </c>
      <c r="H396">
        <f ca="1">IF(AND(G396&lt;=O$3,RAND()&lt;=H$7),1,0)</f>
        <v>1</v>
      </c>
      <c r="I396">
        <f t="shared" ca="1" si="16"/>
        <v>373</v>
      </c>
      <c r="J396" s="80">
        <f t="shared" ref="J396:J459" ca="1" si="17">I396/G396</f>
        <v>0.96632124352331605</v>
      </c>
    </row>
    <row r="397" spans="7:10" x14ac:dyDescent="0.2">
      <c r="G397" s="60">
        <v>387</v>
      </c>
      <c r="H397">
        <f ca="1">IF(AND(G397&lt;=O$3,RAND()&lt;=H$7),1,0)</f>
        <v>1</v>
      </c>
      <c r="I397">
        <f t="shared" ref="I397:I460" ca="1" si="18">H397+I396</f>
        <v>374</v>
      </c>
      <c r="J397" s="80">
        <f t="shared" ca="1" si="17"/>
        <v>0.96640826873385011</v>
      </c>
    </row>
    <row r="398" spans="7:10" x14ac:dyDescent="0.2">
      <c r="G398" s="60">
        <v>388</v>
      </c>
      <c r="H398">
        <f ca="1">IF(AND(G398&lt;=O$3,RAND()&lt;=H$7),1,0)</f>
        <v>1</v>
      </c>
      <c r="I398">
        <f t="shared" ca="1" si="18"/>
        <v>375</v>
      </c>
      <c r="J398" s="80">
        <f t="shared" ca="1" si="17"/>
        <v>0.96649484536082475</v>
      </c>
    </row>
    <row r="399" spans="7:10" x14ac:dyDescent="0.2">
      <c r="G399" s="60">
        <v>389</v>
      </c>
      <c r="H399">
        <f ca="1">IF(AND(G399&lt;=O$3,RAND()&lt;=H$7),1,0)</f>
        <v>1</v>
      </c>
      <c r="I399">
        <f t="shared" ca="1" si="18"/>
        <v>376</v>
      </c>
      <c r="J399" s="80">
        <f t="shared" ca="1" si="17"/>
        <v>0.96658097686375322</v>
      </c>
    </row>
    <row r="400" spans="7:10" x14ac:dyDescent="0.2">
      <c r="G400" s="60">
        <v>390</v>
      </c>
      <c r="H400">
        <f ca="1">IF(AND(G400&lt;=O$3,RAND()&lt;=H$7),1,0)</f>
        <v>1</v>
      </c>
      <c r="I400">
        <f t="shared" ca="1" si="18"/>
        <v>377</v>
      </c>
      <c r="J400" s="80">
        <f t="shared" ca="1" si="17"/>
        <v>0.96666666666666667</v>
      </c>
    </row>
    <row r="401" spans="7:10" x14ac:dyDescent="0.2">
      <c r="G401" s="60">
        <v>391</v>
      </c>
      <c r="H401">
        <f ca="1">IF(AND(G401&lt;=O$3,RAND()&lt;=H$7),1,0)</f>
        <v>1</v>
      </c>
      <c r="I401">
        <f t="shared" ca="1" si="18"/>
        <v>378</v>
      </c>
      <c r="J401" s="80">
        <f t="shared" ca="1" si="17"/>
        <v>0.96675191815856776</v>
      </c>
    </row>
    <row r="402" spans="7:10" x14ac:dyDescent="0.2">
      <c r="G402" s="60">
        <v>392</v>
      </c>
      <c r="H402">
        <f ca="1">IF(AND(G402&lt;=O$3,RAND()&lt;=H$7),1,0)</f>
        <v>1</v>
      </c>
      <c r="I402">
        <f t="shared" ca="1" si="18"/>
        <v>379</v>
      </c>
      <c r="J402" s="80">
        <f t="shared" ca="1" si="17"/>
        <v>0.96683673469387754</v>
      </c>
    </row>
    <row r="403" spans="7:10" x14ac:dyDescent="0.2">
      <c r="G403" s="60">
        <v>393</v>
      </c>
      <c r="H403">
        <f ca="1">IF(AND(G403&lt;=O$3,RAND()&lt;=H$7),1,0)</f>
        <v>1</v>
      </c>
      <c r="I403">
        <f t="shared" ca="1" si="18"/>
        <v>380</v>
      </c>
      <c r="J403" s="80">
        <f t="shared" ca="1" si="17"/>
        <v>0.9669211195928753</v>
      </c>
    </row>
    <row r="404" spans="7:10" x14ac:dyDescent="0.2">
      <c r="G404" s="60">
        <v>394</v>
      </c>
      <c r="H404">
        <f ca="1">IF(AND(G404&lt;=O$3,RAND()&lt;=H$7),1,0)</f>
        <v>1</v>
      </c>
      <c r="I404">
        <f t="shared" ca="1" si="18"/>
        <v>381</v>
      </c>
      <c r="J404" s="80">
        <f t="shared" ca="1" si="17"/>
        <v>0.96700507614213194</v>
      </c>
    </row>
    <row r="405" spans="7:10" x14ac:dyDescent="0.2">
      <c r="G405" s="60">
        <v>395</v>
      </c>
      <c r="H405">
        <f ca="1">IF(AND(G405&lt;=O$3,RAND()&lt;=H$7),1,0)</f>
        <v>1</v>
      </c>
      <c r="I405">
        <f t="shared" ca="1" si="18"/>
        <v>382</v>
      </c>
      <c r="J405" s="80">
        <f t="shared" ca="1" si="17"/>
        <v>0.96708860759493676</v>
      </c>
    </row>
    <row r="406" spans="7:10" x14ac:dyDescent="0.2">
      <c r="G406" s="60">
        <v>396</v>
      </c>
      <c r="H406">
        <f ca="1">IF(AND(G406&lt;=O$3,RAND()&lt;=H$7),1,0)</f>
        <v>1</v>
      </c>
      <c r="I406">
        <f t="shared" ca="1" si="18"/>
        <v>383</v>
      </c>
      <c r="J406" s="80">
        <f t="shared" ca="1" si="17"/>
        <v>0.96717171717171713</v>
      </c>
    </row>
    <row r="407" spans="7:10" x14ac:dyDescent="0.2">
      <c r="G407" s="60">
        <v>397</v>
      </c>
      <c r="H407">
        <f ca="1">IF(AND(G407&lt;=O$3,RAND()&lt;=H$7),1,0)</f>
        <v>1</v>
      </c>
      <c r="I407">
        <f t="shared" ca="1" si="18"/>
        <v>384</v>
      </c>
      <c r="J407" s="80">
        <f t="shared" ca="1" si="17"/>
        <v>0.96725440806045337</v>
      </c>
    </row>
    <row r="408" spans="7:10" x14ac:dyDescent="0.2">
      <c r="G408" s="60">
        <v>398</v>
      </c>
      <c r="H408">
        <f ca="1">IF(AND(G408&lt;=O$3,RAND()&lt;=H$7),1,0)</f>
        <v>1</v>
      </c>
      <c r="I408">
        <f t="shared" ca="1" si="18"/>
        <v>385</v>
      </c>
      <c r="J408" s="80">
        <f t="shared" ca="1" si="17"/>
        <v>0.96733668341708545</v>
      </c>
    </row>
    <row r="409" spans="7:10" x14ac:dyDescent="0.2">
      <c r="G409" s="60">
        <v>399</v>
      </c>
      <c r="H409">
        <f ca="1">IF(AND(G409&lt;=O$3,RAND()&lt;=H$7),1,0)</f>
        <v>1</v>
      </c>
      <c r="I409">
        <f t="shared" ca="1" si="18"/>
        <v>386</v>
      </c>
      <c r="J409" s="80">
        <f t="shared" ca="1" si="17"/>
        <v>0.96741854636591473</v>
      </c>
    </row>
    <row r="410" spans="7:10" x14ac:dyDescent="0.2">
      <c r="G410" s="60">
        <v>400</v>
      </c>
      <c r="H410">
        <f ca="1">IF(AND(G410&lt;=O$3,RAND()&lt;=H$7),1,0)</f>
        <v>1</v>
      </c>
      <c r="I410">
        <f t="shared" ca="1" si="18"/>
        <v>387</v>
      </c>
      <c r="J410" s="80">
        <f t="shared" ca="1" si="17"/>
        <v>0.96750000000000003</v>
      </c>
    </row>
    <row r="411" spans="7:10" x14ac:dyDescent="0.2">
      <c r="G411" s="60">
        <v>401</v>
      </c>
      <c r="H411">
        <f ca="1">IF(AND(G411&lt;=O$3,RAND()&lt;=H$7),1,0)</f>
        <v>1</v>
      </c>
      <c r="I411">
        <f t="shared" ca="1" si="18"/>
        <v>388</v>
      </c>
      <c r="J411" s="80">
        <f t="shared" ca="1" si="17"/>
        <v>0.96758104738154616</v>
      </c>
    </row>
    <row r="412" spans="7:10" x14ac:dyDescent="0.2">
      <c r="G412" s="60">
        <v>402</v>
      </c>
      <c r="H412">
        <f ca="1">IF(AND(G412&lt;=O$3,RAND()&lt;=H$7),1,0)</f>
        <v>1</v>
      </c>
      <c r="I412">
        <f t="shared" ca="1" si="18"/>
        <v>389</v>
      </c>
      <c r="J412" s="80">
        <f t="shared" ca="1" si="17"/>
        <v>0.96766169154228854</v>
      </c>
    </row>
    <row r="413" spans="7:10" x14ac:dyDescent="0.2">
      <c r="G413" s="60">
        <v>403</v>
      </c>
      <c r="H413">
        <f ca="1">IF(AND(G413&lt;=O$3,RAND()&lt;=H$7),1,0)</f>
        <v>1</v>
      </c>
      <c r="I413">
        <f t="shared" ca="1" si="18"/>
        <v>390</v>
      </c>
      <c r="J413" s="80">
        <f t="shared" ca="1" si="17"/>
        <v>0.967741935483871</v>
      </c>
    </row>
    <row r="414" spans="7:10" x14ac:dyDescent="0.2">
      <c r="G414" s="60">
        <v>404</v>
      </c>
      <c r="H414">
        <f ca="1">IF(AND(G414&lt;=O$3,RAND()&lt;=H$7),1,0)</f>
        <v>1</v>
      </c>
      <c r="I414">
        <f t="shared" ca="1" si="18"/>
        <v>391</v>
      </c>
      <c r="J414" s="80">
        <f t="shared" ca="1" si="17"/>
        <v>0.96782178217821779</v>
      </c>
    </row>
    <row r="415" spans="7:10" x14ac:dyDescent="0.2">
      <c r="G415" s="60">
        <v>405</v>
      </c>
      <c r="H415">
        <f ca="1">IF(AND(G415&lt;=O$3,RAND()&lt;=H$7),1,0)</f>
        <v>1</v>
      </c>
      <c r="I415">
        <f t="shared" ca="1" si="18"/>
        <v>392</v>
      </c>
      <c r="J415" s="80">
        <f t="shared" ca="1" si="17"/>
        <v>0.96790123456790123</v>
      </c>
    </row>
    <row r="416" spans="7:10" x14ac:dyDescent="0.2">
      <c r="G416" s="60">
        <v>406</v>
      </c>
      <c r="H416">
        <f ca="1">IF(AND(G416&lt;=O$3,RAND()&lt;=H$7),1,0)</f>
        <v>1</v>
      </c>
      <c r="I416">
        <f t="shared" ca="1" si="18"/>
        <v>393</v>
      </c>
      <c r="J416" s="80">
        <f t="shared" ca="1" si="17"/>
        <v>0.96798029556650245</v>
      </c>
    </row>
    <row r="417" spans="7:10" x14ac:dyDescent="0.2">
      <c r="G417" s="60">
        <v>407</v>
      </c>
      <c r="H417">
        <f ca="1">IF(AND(G417&lt;=O$3,RAND()&lt;=H$7),1,0)</f>
        <v>1</v>
      </c>
      <c r="I417">
        <f t="shared" ca="1" si="18"/>
        <v>394</v>
      </c>
      <c r="J417" s="80">
        <f t="shared" ca="1" si="17"/>
        <v>0.96805896805896807</v>
      </c>
    </row>
    <row r="418" spans="7:10" x14ac:dyDescent="0.2">
      <c r="G418" s="60">
        <v>408</v>
      </c>
      <c r="H418">
        <f ca="1">IF(AND(G418&lt;=O$3,RAND()&lt;=H$7),1,0)</f>
        <v>1</v>
      </c>
      <c r="I418">
        <f t="shared" ca="1" si="18"/>
        <v>395</v>
      </c>
      <c r="J418" s="80">
        <f t="shared" ca="1" si="17"/>
        <v>0.96813725490196079</v>
      </c>
    </row>
    <row r="419" spans="7:10" x14ac:dyDescent="0.2">
      <c r="G419" s="60">
        <v>409</v>
      </c>
      <c r="H419">
        <f ca="1">IF(AND(G419&lt;=O$3,RAND()&lt;=H$7),1,0)</f>
        <v>1</v>
      </c>
      <c r="I419">
        <f t="shared" ca="1" si="18"/>
        <v>396</v>
      </c>
      <c r="J419" s="80">
        <f t="shared" ca="1" si="17"/>
        <v>0.9682151589242054</v>
      </c>
    </row>
    <row r="420" spans="7:10" x14ac:dyDescent="0.2">
      <c r="G420" s="60">
        <v>410</v>
      </c>
      <c r="H420">
        <f ca="1">IF(AND(G420&lt;=O$3,RAND()&lt;=H$7),1,0)</f>
        <v>1</v>
      </c>
      <c r="I420">
        <f t="shared" ca="1" si="18"/>
        <v>397</v>
      </c>
      <c r="J420" s="80">
        <f t="shared" ca="1" si="17"/>
        <v>0.96829268292682924</v>
      </c>
    </row>
    <row r="421" spans="7:10" x14ac:dyDescent="0.2">
      <c r="G421" s="60">
        <v>411</v>
      </c>
      <c r="H421">
        <f ca="1">IF(AND(G421&lt;=O$3,RAND()&lt;=H$7),1,0)</f>
        <v>1</v>
      </c>
      <c r="I421">
        <f t="shared" ca="1" si="18"/>
        <v>398</v>
      </c>
      <c r="J421" s="80">
        <f t="shared" ca="1" si="17"/>
        <v>0.96836982968369834</v>
      </c>
    </row>
    <row r="422" spans="7:10" x14ac:dyDescent="0.2">
      <c r="G422" s="60">
        <v>412</v>
      </c>
      <c r="H422">
        <f ca="1">IF(AND(G422&lt;=O$3,RAND()&lt;=H$7),1,0)</f>
        <v>1</v>
      </c>
      <c r="I422">
        <f t="shared" ca="1" si="18"/>
        <v>399</v>
      </c>
      <c r="J422" s="80">
        <f t="shared" ca="1" si="17"/>
        <v>0.96844660194174759</v>
      </c>
    </row>
    <row r="423" spans="7:10" x14ac:dyDescent="0.2">
      <c r="G423" s="60">
        <v>413</v>
      </c>
      <c r="H423">
        <f ca="1">IF(AND(G423&lt;=O$3,RAND()&lt;=H$7),1,0)</f>
        <v>1</v>
      </c>
      <c r="I423">
        <f t="shared" ca="1" si="18"/>
        <v>400</v>
      </c>
      <c r="J423" s="80">
        <f t="shared" ca="1" si="17"/>
        <v>0.96852300242130751</v>
      </c>
    </row>
    <row r="424" spans="7:10" x14ac:dyDescent="0.2">
      <c r="G424" s="60">
        <v>414</v>
      </c>
      <c r="H424">
        <f ca="1">IF(AND(G424&lt;=O$3,RAND()&lt;=H$7),1,0)</f>
        <v>1</v>
      </c>
      <c r="I424">
        <f t="shared" ca="1" si="18"/>
        <v>401</v>
      </c>
      <c r="J424" s="80">
        <f t="shared" ca="1" si="17"/>
        <v>0.96859903381642509</v>
      </c>
    </row>
    <row r="425" spans="7:10" x14ac:dyDescent="0.2">
      <c r="G425" s="60">
        <v>415</v>
      </c>
      <c r="H425">
        <f ca="1">IF(AND(G425&lt;=O$3,RAND()&lt;=H$7),1,0)</f>
        <v>1</v>
      </c>
      <c r="I425">
        <f t="shared" ca="1" si="18"/>
        <v>402</v>
      </c>
      <c r="J425" s="80">
        <f t="shared" ca="1" si="17"/>
        <v>0.96867469879518076</v>
      </c>
    </row>
    <row r="426" spans="7:10" x14ac:dyDescent="0.2">
      <c r="G426" s="60">
        <v>416</v>
      </c>
      <c r="H426">
        <f ca="1">IF(AND(G426&lt;=O$3,RAND()&lt;=H$7),1,0)</f>
        <v>0</v>
      </c>
      <c r="I426">
        <f t="shared" ca="1" si="18"/>
        <v>402</v>
      </c>
      <c r="J426" s="80">
        <f t="shared" ca="1" si="17"/>
        <v>0.96634615384615385</v>
      </c>
    </row>
    <row r="427" spans="7:10" x14ac:dyDescent="0.2">
      <c r="G427" s="60">
        <v>417</v>
      </c>
      <c r="H427">
        <f ca="1">IF(AND(G427&lt;=O$3,RAND()&lt;=H$7),1,0)</f>
        <v>1</v>
      </c>
      <c r="I427">
        <f t="shared" ca="1" si="18"/>
        <v>403</v>
      </c>
      <c r="J427" s="80">
        <f t="shared" ca="1" si="17"/>
        <v>0.96642685851318944</v>
      </c>
    </row>
    <row r="428" spans="7:10" x14ac:dyDescent="0.2">
      <c r="G428" s="60">
        <v>418</v>
      </c>
      <c r="H428">
        <f ca="1">IF(AND(G428&lt;=O$3,RAND()&lt;=H$7),1,0)</f>
        <v>1</v>
      </c>
      <c r="I428">
        <f t="shared" ca="1" si="18"/>
        <v>404</v>
      </c>
      <c r="J428" s="80">
        <f t="shared" ca="1" si="17"/>
        <v>0.96650717703349287</v>
      </c>
    </row>
    <row r="429" spans="7:10" x14ac:dyDescent="0.2">
      <c r="G429" s="60">
        <v>419</v>
      </c>
      <c r="H429">
        <f ca="1">IF(AND(G429&lt;=O$3,RAND()&lt;=H$7),1,0)</f>
        <v>1</v>
      </c>
      <c r="I429">
        <f t="shared" ca="1" si="18"/>
        <v>405</v>
      </c>
      <c r="J429" s="80">
        <f t="shared" ca="1" si="17"/>
        <v>0.96658711217183768</v>
      </c>
    </row>
    <row r="430" spans="7:10" x14ac:dyDescent="0.2">
      <c r="G430" s="60">
        <v>420</v>
      </c>
      <c r="H430">
        <f ca="1">IF(AND(G430&lt;=O$3,RAND()&lt;=H$7),1,0)</f>
        <v>1</v>
      </c>
      <c r="I430">
        <f t="shared" ca="1" si="18"/>
        <v>406</v>
      </c>
      <c r="J430" s="80">
        <f t="shared" ca="1" si="17"/>
        <v>0.96666666666666667</v>
      </c>
    </row>
    <row r="431" spans="7:10" x14ac:dyDescent="0.2">
      <c r="G431" s="60">
        <v>421</v>
      </c>
      <c r="H431">
        <f ca="1">IF(AND(G431&lt;=O$3,RAND()&lt;=H$7),1,0)</f>
        <v>1</v>
      </c>
      <c r="I431">
        <f t="shared" ca="1" si="18"/>
        <v>407</v>
      </c>
      <c r="J431" s="80">
        <f t="shared" ca="1" si="17"/>
        <v>0.9667458432304038</v>
      </c>
    </row>
    <row r="432" spans="7:10" x14ac:dyDescent="0.2">
      <c r="G432" s="60">
        <v>422</v>
      </c>
      <c r="H432">
        <f ca="1">IF(AND(G432&lt;=O$3,RAND()&lt;=H$7),1,0)</f>
        <v>1</v>
      </c>
      <c r="I432">
        <f t="shared" ca="1" si="18"/>
        <v>408</v>
      </c>
      <c r="J432" s="80">
        <f t="shared" ca="1" si="17"/>
        <v>0.96682464454976302</v>
      </c>
    </row>
    <row r="433" spans="7:10" x14ac:dyDescent="0.2">
      <c r="G433" s="60">
        <v>423</v>
      </c>
      <c r="H433">
        <f ca="1">IF(AND(G433&lt;=O$3,RAND()&lt;=H$7),1,0)</f>
        <v>1</v>
      </c>
      <c r="I433">
        <f t="shared" ca="1" si="18"/>
        <v>409</v>
      </c>
      <c r="J433" s="80">
        <f t="shared" ca="1" si="17"/>
        <v>0.96690307328605196</v>
      </c>
    </row>
    <row r="434" spans="7:10" x14ac:dyDescent="0.2">
      <c r="G434" s="60">
        <v>424</v>
      </c>
      <c r="H434">
        <f ca="1">IF(AND(G434&lt;=O$3,RAND()&lt;=H$7),1,0)</f>
        <v>1</v>
      </c>
      <c r="I434">
        <f t="shared" ca="1" si="18"/>
        <v>410</v>
      </c>
      <c r="J434" s="80">
        <f t="shared" ca="1" si="17"/>
        <v>0.96698113207547165</v>
      </c>
    </row>
    <row r="435" spans="7:10" x14ac:dyDescent="0.2">
      <c r="G435" s="60">
        <v>425</v>
      </c>
      <c r="H435">
        <f ca="1">IF(AND(G435&lt;=O$3,RAND()&lt;=H$7),1,0)</f>
        <v>1</v>
      </c>
      <c r="I435">
        <f t="shared" ca="1" si="18"/>
        <v>411</v>
      </c>
      <c r="J435" s="80">
        <f t="shared" ca="1" si="17"/>
        <v>0.96705882352941175</v>
      </c>
    </row>
    <row r="436" spans="7:10" x14ac:dyDescent="0.2">
      <c r="G436" s="60">
        <v>426</v>
      </c>
      <c r="H436">
        <f ca="1">IF(AND(G436&lt;=O$3,RAND()&lt;=H$7),1,0)</f>
        <v>1</v>
      </c>
      <c r="I436">
        <f t="shared" ca="1" si="18"/>
        <v>412</v>
      </c>
      <c r="J436" s="80">
        <f t="shared" ca="1" si="17"/>
        <v>0.96713615023474175</v>
      </c>
    </row>
    <row r="437" spans="7:10" x14ac:dyDescent="0.2">
      <c r="G437" s="60">
        <v>427</v>
      </c>
      <c r="H437">
        <f ca="1">IF(AND(G437&lt;=O$3,RAND()&lt;=H$7),1,0)</f>
        <v>1</v>
      </c>
      <c r="I437">
        <f t="shared" ca="1" si="18"/>
        <v>413</v>
      </c>
      <c r="J437" s="80">
        <f t="shared" ca="1" si="17"/>
        <v>0.96721311475409832</v>
      </c>
    </row>
    <row r="438" spans="7:10" x14ac:dyDescent="0.2">
      <c r="G438" s="60">
        <v>428</v>
      </c>
      <c r="H438">
        <f ca="1">IF(AND(G438&lt;=O$3,RAND()&lt;=H$7),1,0)</f>
        <v>1</v>
      </c>
      <c r="I438">
        <f t="shared" ca="1" si="18"/>
        <v>414</v>
      </c>
      <c r="J438" s="80">
        <f t="shared" ca="1" si="17"/>
        <v>0.96728971962616828</v>
      </c>
    </row>
    <row r="439" spans="7:10" x14ac:dyDescent="0.2">
      <c r="G439" s="60">
        <v>429</v>
      </c>
      <c r="H439">
        <f ca="1">IF(AND(G439&lt;=O$3,RAND()&lt;=H$7),1,0)</f>
        <v>1</v>
      </c>
      <c r="I439">
        <f t="shared" ca="1" si="18"/>
        <v>415</v>
      </c>
      <c r="J439" s="80">
        <f t="shared" ca="1" si="17"/>
        <v>0.96736596736596736</v>
      </c>
    </row>
    <row r="440" spans="7:10" x14ac:dyDescent="0.2">
      <c r="G440" s="60">
        <v>430</v>
      </c>
      <c r="H440">
        <f ca="1">IF(AND(G440&lt;=O$3,RAND()&lt;=H$7),1,0)</f>
        <v>1</v>
      </c>
      <c r="I440">
        <f t="shared" ca="1" si="18"/>
        <v>416</v>
      </c>
      <c r="J440" s="80">
        <f t="shared" ca="1" si="17"/>
        <v>0.96744186046511627</v>
      </c>
    </row>
    <row r="441" spans="7:10" x14ac:dyDescent="0.2">
      <c r="G441" s="60">
        <v>431</v>
      </c>
      <c r="H441">
        <f ca="1">IF(AND(G441&lt;=O$3,RAND()&lt;=H$7),1,0)</f>
        <v>1</v>
      </c>
      <c r="I441">
        <f t="shared" ca="1" si="18"/>
        <v>417</v>
      </c>
      <c r="J441" s="80">
        <f t="shared" ca="1" si="17"/>
        <v>0.9675174013921114</v>
      </c>
    </row>
    <row r="442" spans="7:10" x14ac:dyDescent="0.2">
      <c r="G442" s="60">
        <v>432</v>
      </c>
      <c r="H442">
        <f ca="1">IF(AND(G442&lt;=O$3,RAND()&lt;=H$7),1,0)</f>
        <v>1</v>
      </c>
      <c r="I442">
        <f t="shared" ca="1" si="18"/>
        <v>418</v>
      </c>
      <c r="J442" s="80">
        <f t="shared" ca="1" si="17"/>
        <v>0.96759259259259256</v>
      </c>
    </row>
    <row r="443" spans="7:10" x14ac:dyDescent="0.2">
      <c r="G443" s="60">
        <v>433</v>
      </c>
      <c r="H443">
        <f ca="1">IF(AND(G443&lt;=O$3,RAND()&lt;=H$7),1,0)</f>
        <v>1</v>
      </c>
      <c r="I443">
        <f t="shared" ca="1" si="18"/>
        <v>419</v>
      </c>
      <c r="J443" s="80">
        <f t="shared" ca="1" si="17"/>
        <v>0.9676674364896074</v>
      </c>
    </row>
    <row r="444" spans="7:10" x14ac:dyDescent="0.2">
      <c r="G444" s="60">
        <v>434</v>
      </c>
      <c r="H444">
        <f ca="1">IF(AND(G444&lt;=O$3,RAND()&lt;=H$7),1,0)</f>
        <v>1</v>
      </c>
      <c r="I444">
        <f t="shared" ca="1" si="18"/>
        <v>420</v>
      </c>
      <c r="J444" s="80">
        <f t="shared" ca="1" si="17"/>
        <v>0.967741935483871</v>
      </c>
    </row>
    <row r="445" spans="7:10" x14ac:dyDescent="0.2">
      <c r="G445" s="60">
        <v>435</v>
      </c>
      <c r="H445">
        <f ca="1">IF(AND(G445&lt;=O$3,RAND()&lt;=H$7),1,0)</f>
        <v>1</v>
      </c>
      <c r="I445">
        <f t="shared" ca="1" si="18"/>
        <v>421</v>
      </c>
      <c r="J445" s="80">
        <f t="shared" ca="1" si="17"/>
        <v>0.96781609195402296</v>
      </c>
    </row>
    <row r="446" spans="7:10" x14ac:dyDescent="0.2">
      <c r="G446" s="60">
        <v>436</v>
      </c>
      <c r="H446">
        <f ca="1">IF(AND(G446&lt;=O$3,RAND()&lt;=H$7),1,0)</f>
        <v>1</v>
      </c>
      <c r="I446">
        <f t="shared" ca="1" si="18"/>
        <v>422</v>
      </c>
      <c r="J446" s="80">
        <f t="shared" ca="1" si="17"/>
        <v>0.9678899082568807</v>
      </c>
    </row>
    <row r="447" spans="7:10" x14ac:dyDescent="0.2">
      <c r="G447" s="60">
        <v>437</v>
      </c>
      <c r="H447">
        <f ca="1">IF(AND(G447&lt;=O$3,RAND()&lt;=H$7),1,0)</f>
        <v>1</v>
      </c>
      <c r="I447">
        <f t="shared" ca="1" si="18"/>
        <v>423</v>
      </c>
      <c r="J447" s="80">
        <f t="shared" ca="1" si="17"/>
        <v>0.96796338672768878</v>
      </c>
    </row>
    <row r="448" spans="7:10" x14ac:dyDescent="0.2">
      <c r="G448" s="60">
        <v>438</v>
      </c>
      <c r="H448">
        <f ca="1">IF(AND(G448&lt;=O$3,RAND()&lt;=H$7),1,0)</f>
        <v>1</v>
      </c>
      <c r="I448">
        <f t="shared" ca="1" si="18"/>
        <v>424</v>
      </c>
      <c r="J448" s="80">
        <f t="shared" ca="1" si="17"/>
        <v>0.96803652968036524</v>
      </c>
    </row>
    <row r="449" spans="7:10" x14ac:dyDescent="0.2">
      <c r="G449" s="60">
        <v>439</v>
      </c>
      <c r="H449">
        <f ca="1">IF(AND(G449&lt;=O$3,RAND()&lt;=H$7),1,0)</f>
        <v>1</v>
      </c>
      <c r="I449">
        <f t="shared" ca="1" si="18"/>
        <v>425</v>
      </c>
      <c r="J449" s="80">
        <f t="shared" ca="1" si="17"/>
        <v>0.96810933940774491</v>
      </c>
    </row>
    <row r="450" spans="7:10" x14ac:dyDescent="0.2">
      <c r="G450" s="60">
        <v>440</v>
      </c>
      <c r="H450">
        <f ca="1">IF(AND(G450&lt;=O$3,RAND()&lt;=H$7),1,0)</f>
        <v>1</v>
      </c>
      <c r="I450">
        <f t="shared" ca="1" si="18"/>
        <v>426</v>
      </c>
      <c r="J450" s="80">
        <f t="shared" ca="1" si="17"/>
        <v>0.96818181818181814</v>
      </c>
    </row>
    <row r="451" spans="7:10" x14ac:dyDescent="0.2">
      <c r="G451" s="60">
        <v>441</v>
      </c>
      <c r="H451">
        <f ca="1">IF(AND(G451&lt;=O$3,RAND()&lt;=H$7),1,0)</f>
        <v>1</v>
      </c>
      <c r="I451">
        <f t="shared" ca="1" si="18"/>
        <v>427</v>
      </c>
      <c r="J451" s="80">
        <f t="shared" ca="1" si="17"/>
        <v>0.96825396825396826</v>
      </c>
    </row>
    <row r="452" spans="7:10" x14ac:dyDescent="0.2">
      <c r="G452" s="60">
        <v>442</v>
      </c>
      <c r="H452">
        <f ca="1">IF(AND(G452&lt;=O$3,RAND()&lt;=H$7),1,0)</f>
        <v>1</v>
      </c>
      <c r="I452">
        <f t="shared" ca="1" si="18"/>
        <v>428</v>
      </c>
      <c r="J452" s="80">
        <f t="shared" ca="1" si="17"/>
        <v>0.96832579185520362</v>
      </c>
    </row>
    <row r="453" spans="7:10" x14ac:dyDescent="0.2">
      <c r="G453" s="60">
        <v>443</v>
      </c>
      <c r="H453">
        <f ca="1">IF(AND(G453&lt;=O$3,RAND()&lt;=H$7),1,0)</f>
        <v>1</v>
      </c>
      <c r="I453">
        <f t="shared" ca="1" si="18"/>
        <v>429</v>
      </c>
      <c r="J453" s="80">
        <f t="shared" ca="1" si="17"/>
        <v>0.96839729119638829</v>
      </c>
    </row>
    <row r="454" spans="7:10" x14ac:dyDescent="0.2">
      <c r="G454" s="60">
        <v>444</v>
      </c>
      <c r="H454">
        <f ca="1">IF(AND(G454&lt;=O$3,RAND()&lt;=H$7),1,0)</f>
        <v>0</v>
      </c>
      <c r="I454">
        <f t="shared" ca="1" si="18"/>
        <v>429</v>
      </c>
      <c r="J454" s="80">
        <f t="shared" ca="1" si="17"/>
        <v>0.96621621621621623</v>
      </c>
    </row>
    <row r="455" spans="7:10" x14ac:dyDescent="0.2">
      <c r="G455" s="60">
        <v>445</v>
      </c>
      <c r="H455">
        <f ca="1">IF(AND(G455&lt;=O$3,RAND()&lt;=H$7),1,0)</f>
        <v>1</v>
      </c>
      <c r="I455">
        <f t="shared" ca="1" si="18"/>
        <v>430</v>
      </c>
      <c r="J455" s="80">
        <f t="shared" ca="1" si="17"/>
        <v>0.9662921348314607</v>
      </c>
    </row>
    <row r="456" spans="7:10" x14ac:dyDescent="0.2">
      <c r="G456" s="60">
        <v>446</v>
      </c>
      <c r="H456">
        <f ca="1">IF(AND(G456&lt;=O$3,RAND()&lt;=H$7),1,0)</f>
        <v>1</v>
      </c>
      <c r="I456">
        <f t="shared" ca="1" si="18"/>
        <v>431</v>
      </c>
      <c r="J456" s="80">
        <f t="shared" ca="1" si="17"/>
        <v>0.96636771300448432</v>
      </c>
    </row>
    <row r="457" spans="7:10" x14ac:dyDescent="0.2">
      <c r="G457" s="60">
        <v>447</v>
      </c>
      <c r="H457">
        <f ca="1">IF(AND(G457&lt;=O$3,RAND()&lt;=H$7),1,0)</f>
        <v>1</v>
      </c>
      <c r="I457">
        <f t="shared" ca="1" si="18"/>
        <v>432</v>
      </c>
      <c r="J457" s="80">
        <f t="shared" ca="1" si="17"/>
        <v>0.96644295302013428</v>
      </c>
    </row>
    <row r="458" spans="7:10" x14ac:dyDescent="0.2">
      <c r="G458" s="60">
        <v>448</v>
      </c>
      <c r="H458">
        <f ca="1">IF(AND(G458&lt;=O$3,RAND()&lt;=H$7),1,0)</f>
        <v>1</v>
      </c>
      <c r="I458">
        <f t="shared" ca="1" si="18"/>
        <v>433</v>
      </c>
      <c r="J458" s="80">
        <f t="shared" ca="1" si="17"/>
        <v>0.9665178571428571</v>
      </c>
    </row>
    <row r="459" spans="7:10" x14ac:dyDescent="0.2">
      <c r="G459" s="60">
        <v>449</v>
      </c>
      <c r="H459">
        <f ca="1">IF(AND(G459&lt;=O$3,RAND()&lt;=H$7),1,0)</f>
        <v>1</v>
      </c>
      <c r="I459">
        <f t="shared" ca="1" si="18"/>
        <v>434</v>
      </c>
      <c r="J459" s="80">
        <f t="shared" ca="1" si="17"/>
        <v>0.96659242761692654</v>
      </c>
    </row>
    <row r="460" spans="7:10" x14ac:dyDescent="0.2">
      <c r="G460" s="60">
        <v>450</v>
      </c>
      <c r="H460">
        <f ca="1">IF(AND(G460&lt;=O$3,RAND()&lt;=H$7),1,0)</f>
        <v>1</v>
      </c>
      <c r="I460">
        <f t="shared" ca="1" si="18"/>
        <v>435</v>
      </c>
      <c r="J460" s="80">
        <f t="shared" ref="J460:J523" ca="1" si="19">I460/G460</f>
        <v>0.96666666666666667</v>
      </c>
    </row>
    <row r="461" spans="7:10" x14ac:dyDescent="0.2">
      <c r="G461" s="60">
        <v>451</v>
      </c>
      <c r="H461">
        <f ca="1">IF(AND(G461&lt;=O$3,RAND()&lt;=H$7),1,0)</f>
        <v>1</v>
      </c>
      <c r="I461">
        <f t="shared" ref="I461:I524" ca="1" si="20">H461+I460</f>
        <v>436</v>
      </c>
      <c r="J461" s="80">
        <f t="shared" ca="1" si="19"/>
        <v>0.96674057649667411</v>
      </c>
    </row>
    <row r="462" spans="7:10" x14ac:dyDescent="0.2">
      <c r="G462" s="60">
        <v>452</v>
      </c>
      <c r="H462">
        <f ca="1">IF(AND(G462&lt;=O$3,RAND()&lt;=H$7),1,0)</f>
        <v>1</v>
      </c>
      <c r="I462">
        <f t="shared" ca="1" si="20"/>
        <v>437</v>
      </c>
      <c r="J462" s="80">
        <f t="shared" ca="1" si="19"/>
        <v>0.9668141592920354</v>
      </c>
    </row>
    <row r="463" spans="7:10" x14ac:dyDescent="0.2">
      <c r="G463" s="60">
        <v>453</v>
      </c>
      <c r="H463">
        <f ca="1">IF(AND(G463&lt;=O$3,RAND()&lt;=H$7),1,0)</f>
        <v>1</v>
      </c>
      <c r="I463">
        <f t="shared" ca="1" si="20"/>
        <v>438</v>
      </c>
      <c r="J463" s="80">
        <f t="shared" ca="1" si="19"/>
        <v>0.9668874172185431</v>
      </c>
    </row>
    <row r="464" spans="7:10" x14ac:dyDescent="0.2">
      <c r="G464" s="60">
        <v>454</v>
      </c>
      <c r="H464">
        <f ca="1">IF(AND(G464&lt;=O$3,RAND()&lt;=H$7),1,0)</f>
        <v>1</v>
      </c>
      <c r="I464">
        <f t="shared" ca="1" si="20"/>
        <v>439</v>
      </c>
      <c r="J464" s="80">
        <f t="shared" ca="1" si="19"/>
        <v>0.96696035242290745</v>
      </c>
    </row>
    <row r="465" spans="7:10" x14ac:dyDescent="0.2">
      <c r="G465" s="60">
        <v>455</v>
      </c>
      <c r="H465">
        <f ca="1">IF(AND(G465&lt;=O$3,RAND()&lt;=H$7),1,0)</f>
        <v>1</v>
      </c>
      <c r="I465">
        <f t="shared" ca="1" si="20"/>
        <v>440</v>
      </c>
      <c r="J465" s="80">
        <f t="shared" ca="1" si="19"/>
        <v>0.96703296703296704</v>
      </c>
    </row>
    <row r="466" spans="7:10" x14ac:dyDescent="0.2">
      <c r="G466" s="60">
        <v>456</v>
      </c>
      <c r="H466">
        <f ca="1">IF(AND(G466&lt;=O$3,RAND()&lt;=H$7),1,0)</f>
        <v>1</v>
      </c>
      <c r="I466">
        <f t="shared" ca="1" si="20"/>
        <v>441</v>
      </c>
      <c r="J466" s="80">
        <f t="shared" ca="1" si="19"/>
        <v>0.96710526315789469</v>
      </c>
    </row>
    <row r="467" spans="7:10" x14ac:dyDescent="0.2">
      <c r="G467" s="60">
        <v>457</v>
      </c>
      <c r="H467">
        <f ca="1">IF(AND(G467&lt;=O$3,RAND()&lt;=H$7),1,0)</f>
        <v>1</v>
      </c>
      <c r="I467">
        <f t="shared" ca="1" si="20"/>
        <v>442</v>
      </c>
      <c r="J467" s="80">
        <f t="shared" ca="1" si="19"/>
        <v>0.96717724288840268</v>
      </c>
    </row>
    <row r="468" spans="7:10" x14ac:dyDescent="0.2">
      <c r="G468" s="60">
        <v>458</v>
      </c>
      <c r="H468">
        <f ca="1">IF(AND(G468&lt;=O$3,RAND()&lt;=H$7),1,0)</f>
        <v>1</v>
      </c>
      <c r="I468">
        <f t="shared" ca="1" si="20"/>
        <v>443</v>
      </c>
      <c r="J468" s="80">
        <f t="shared" ca="1" si="19"/>
        <v>0.96724890829694321</v>
      </c>
    </row>
    <row r="469" spans="7:10" x14ac:dyDescent="0.2">
      <c r="G469" s="60">
        <v>459</v>
      </c>
      <c r="H469">
        <f ca="1">IF(AND(G469&lt;=O$3,RAND()&lt;=H$7),1,0)</f>
        <v>1</v>
      </c>
      <c r="I469">
        <f t="shared" ca="1" si="20"/>
        <v>444</v>
      </c>
      <c r="J469" s="80">
        <f t="shared" ca="1" si="19"/>
        <v>0.9673202614379085</v>
      </c>
    </row>
    <row r="470" spans="7:10" x14ac:dyDescent="0.2">
      <c r="G470" s="60">
        <v>460</v>
      </c>
      <c r="H470">
        <f ca="1">IF(AND(G470&lt;=O$3,RAND()&lt;=H$7),1,0)</f>
        <v>1</v>
      </c>
      <c r="I470">
        <f t="shared" ca="1" si="20"/>
        <v>445</v>
      </c>
      <c r="J470" s="80">
        <f t="shared" ca="1" si="19"/>
        <v>0.96739130434782605</v>
      </c>
    </row>
    <row r="471" spans="7:10" x14ac:dyDescent="0.2">
      <c r="G471" s="60">
        <v>461</v>
      </c>
      <c r="H471">
        <f ca="1">IF(AND(G471&lt;=O$3,RAND()&lt;=H$7),1,0)</f>
        <v>1</v>
      </c>
      <c r="I471">
        <f t="shared" ca="1" si="20"/>
        <v>446</v>
      </c>
      <c r="J471" s="80">
        <f t="shared" ca="1" si="19"/>
        <v>0.96746203904555317</v>
      </c>
    </row>
    <row r="472" spans="7:10" x14ac:dyDescent="0.2">
      <c r="G472" s="60">
        <v>462</v>
      </c>
      <c r="H472">
        <f ca="1">IF(AND(G472&lt;=O$3,RAND()&lt;=H$7),1,0)</f>
        <v>1</v>
      </c>
      <c r="I472">
        <f t="shared" ca="1" si="20"/>
        <v>447</v>
      </c>
      <c r="J472" s="80">
        <f t="shared" ca="1" si="19"/>
        <v>0.96753246753246758</v>
      </c>
    </row>
    <row r="473" spans="7:10" x14ac:dyDescent="0.2">
      <c r="G473" s="60">
        <v>463</v>
      </c>
      <c r="H473">
        <f ca="1">IF(AND(G473&lt;=O$3,RAND()&lt;=H$7),1,0)</f>
        <v>1</v>
      </c>
      <c r="I473">
        <f t="shared" ca="1" si="20"/>
        <v>448</v>
      </c>
      <c r="J473" s="80">
        <f t="shared" ca="1" si="19"/>
        <v>0.96760259179265662</v>
      </c>
    </row>
    <row r="474" spans="7:10" x14ac:dyDescent="0.2">
      <c r="G474" s="60">
        <v>464</v>
      </c>
      <c r="H474">
        <f ca="1">IF(AND(G474&lt;=O$3,RAND()&lt;=H$7),1,0)</f>
        <v>1</v>
      </c>
      <c r="I474">
        <f t="shared" ca="1" si="20"/>
        <v>449</v>
      </c>
      <c r="J474" s="80">
        <f t="shared" ca="1" si="19"/>
        <v>0.96767241379310343</v>
      </c>
    </row>
    <row r="475" spans="7:10" x14ac:dyDescent="0.2">
      <c r="G475" s="60">
        <v>465</v>
      </c>
      <c r="H475">
        <f ca="1">IF(AND(G475&lt;=O$3,RAND()&lt;=H$7),1,0)</f>
        <v>1</v>
      </c>
      <c r="I475">
        <f t="shared" ca="1" si="20"/>
        <v>450</v>
      </c>
      <c r="J475" s="80">
        <f t="shared" ca="1" si="19"/>
        <v>0.967741935483871</v>
      </c>
    </row>
    <row r="476" spans="7:10" x14ac:dyDescent="0.2">
      <c r="G476" s="60">
        <v>466</v>
      </c>
      <c r="H476">
        <f ca="1">IF(AND(G476&lt;=O$3,RAND()&lt;=H$7),1,0)</f>
        <v>1</v>
      </c>
      <c r="I476">
        <f t="shared" ca="1" si="20"/>
        <v>451</v>
      </c>
      <c r="J476" s="80">
        <f t="shared" ca="1" si="19"/>
        <v>0.96781115879828328</v>
      </c>
    </row>
    <row r="477" spans="7:10" x14ac:dyDescent="0.2">
      <c r="G477" s="60">
        <v>467</v>
      </c>
      <c r="H477">
        <f ca="1">IF(AND(G477&lt;=O$3,RAND()&lt;=H$7),1,0)</f>
        <v>1</v>
      </c>
      <c r="I477">
        <f t="shared" ca="1" si="20"/>
        <v>452</v>
      </c>
      <c r="J477" s="80">
        <f t="shared" ca="1" si="19"/>
        <v>0.9678800856531049</v>
      </c>
    </row>
    <row r="478" spans="7:10" x14ac:dyDescent="0.2">
      <c r="G478" s="60">
        <v>468</v>
      </c>
      <c r="H478">
        <f ca="1">IF(AND(G478&lt;=O$3,RAND()&lt;=H$7),1,0)</f>
        <v>1</v>
      </c>
      <c r="I478">
        <f t="shared" ca="1" si="20"/>
        <v>453</v>
      </c>
      <c r="J478" s="80">
        <f t="shared" ca="1" si="19"/>
        <v>0.96794871794871795</v>
      </c>
    </row>
    <row r="479" spans="7:10" x14ac:dyDescent="0.2">
      <c r="G479" s="60">
        <v>469</v>
      </c>
      <c r="H479">
        <f ca="1">IF(AND(G479&lt;=O$3,RAND()&lt;=H$7),1,0)</f>
        <v>1</v>
      </c>
      <c r="I479">
        <f t="shared" ca="1" si="20"/>
        <v>454</v>
      </c>
      <c r="J479" s="80">
        <f t="shared" ca="1" si="19"/>
        <v>0.96801705756929635</v>
      </c>
    </row>
    <row r="480" spans="7:10" x14ac:dyDescent="0.2">
      <c r="G480" s="60">
        <v>470</v>
      </c>
      <c r="H480">
        <f ca="1">IF(AND(G480&lt;=O$3,RAND()&lt;=H$7),1,0)</f>
        <v>1</v>
      </c>
      <c r="I480">
        <f t="shared" ca="1" si="20"/>
        <v>455</v>
      </c>
      <c r="J480" s="80">
        <f t="shared" ca="1" si="19"/>
        <v>0.96808510638297873</v>
      </c>
    </row>
    <row r="481" spans="7:10" x14ac:dyDescent="0.2">
      <c r="G481" s="60">
        <v>471</v>
      </c>
      <c r="H481">
        <f ca="1">IF(AND(G481&lt;=O$3,RAND()&lt;=H$7),1,0)</f>
        <v>1</v>
      </c>
      <c r="I481">
        <f t="shared" ca="1" si="20"/>
        <v>456</v>
      </c>
      <c r="J481" s="80">
        <f t="shared" ca="1" si="19"/>
        <v>0.96815286624203822</v>
      </c>
    </row>
    <row r="482" spans="7:10" x14ac:dyDescent="0.2">
      <c r="G482" s="60">
        <v>472</v>
      </c>
      <c r="H482">
        <f ca="1">IF(AND(G482&lt;=O$3,RAND()&lt;=H$7),1,0)</f>
        <v>1</v>
      </c>
      <c r="I482">
        <f t="shared" ca="1" si="20"/>
        <v>457</v>
      </c>
      <c r="J482" s="80">
        <f t="shared" ca="1" si="19"/>
        <v>0.96822033898305082</v>
      </c>
    </row>
    <row r="483" spans="7:10" x14ac:dyDescent="0.2">
      <c r="G483" s="60">
        <v>473</v>
      </c>
      <c r="H483">
        <f ca="1">IF(AND(G483&lt;=O$3,RAND()&lt;=H$7),1,0)</f>
        <v>1</v>
      </c>
      <c r="I483">
        <f t="shared" ca="1" si="20"/>
        <v>458</v>
      </c>
      <c r="J483" s="80">
        <f t="shared" ca="1" si="19"/>
        <v>0.96828752642706128</v>
      </c>
    </row>
    <row r="484" spans="7:10" x14ac:dyDescent="0.2">
      <c r="G484" s="60">
        <v>474</v>
      </c>
      <c r="H484">
        <f ca="1">IF(AND(G484&lt;=O$3,RAND()&lt;=H$7),1,0)</f>
        <v>0</v>
      </c>
      <c r="I484">
        <f t="shared" ca="1" si="20"/>
        <v>458</v>
      </c>
      <c r="J484" s="80">
        <f t="shared" ca="1" si="19"/>
        <v>0.96624472573839659</v>
      </c>
    </row>
    <row r="485" spans="7:10" x14ac:dyDescent="0.2">
      <c r="G485" s="60">
        <v>475</v>
      </c>
      <c r="H485">
        <f ca="1">IF(AND(G485&lt;=O$3,RAND()&lt;=H$7),1,0)</f>
        <v>1</v>
      </c>
      <c r="I485">
        <f t="shared" ca="1" si="20"/>
        <v>459</v>
      </c>
      <c r="J485" s="80">
        <f t="shared" ca="1" si="19"/>
        <v>0.96631578947368424</v>
      </c>
    </row>
    <row r="486" spans="7:10" x14ac:dyDescent="0.2">
      <c r="G486" s="60">
        <v>476</v>
      </c>
      <c r="H486">
        <f ca="1">IF(AND(G486&lt;=O$3,RAND()&lt;=H$7),1,0)</f>
        <v>1</v>
      </c>
      <c r="I486">
        <f t="shared" ca="1" si="20"/>
        <v>460</v>
      </c>
      <c r="J486" s="80">
        <f t="shared" ca="1" si="19"/>
        <v>0.96638655462184875</v>
      </c>
    </row>
    <row r="487" spans="7:10" x14ac:dyDescent="0.2">
      <c r="G487" s="60">
        <v>477</v>
      </c>
      <c r="H487">
        <f ca="1">IF(AND(G487&lt;=O$3,RAND()&lt;=H$7),1,0)</f>
        <v>1</v>
      </c>
      <c r="I487">
        <f t="shared" ca="1" si="20"/>
        <v>461</v>
      </c>
      <c r="J487" s="80">
        <f t="shared" ca="1" si="19"/>
        <v>0.96645702306079662</v>
      </c>
    </row>
    <row r="488" spans="7:10" x14ac:dyDescent="0.2">
      <c r="G488" s="60">
        <v>478</v>
      </c>
      <c r="H488">
        <f ca="1">IF(AND(G488&lt;=O$3,RAND()&lt;=H$7),1,0)</f>
        <v>1</v>
      </c>
      <c r="I488">
        <f t="shared" ca="1" si="20"/>
        <v>462</v>
      </c>
      <c r="J488" s="80">
        <f t="shared" ca="1" si="19"/>
        <v>0.96652719665271969</v>
      </c>
    </row>
    <row r="489" spans="7:10" x14ac:dyDescent="0.2">
      <c r="G489" s="60">
        <v>479</v>
      </c>
      <c r="H489">
        <f ca="1">IF(AND(G489&lt;=O$3,RAND()&lt;=H$7),1,0)</f>
        <v>0</v>
      </c>
      <c r="I489">
        <f t="shared" ca="1" si="20"/>
        <v>462</v>
      </c>
      <c r="J489" s="80">
        <f t="shared" ca="1" si="19"/>
        <v>0.964509394572025</v>
      </c>
    </row>
    <row r="490" spans="7:10" x14ac:dyDescent="0.2">
      <c r="G490" s="60">
        <v>480</v>
      </c>
      <c r="H490">
        <f ca="1">IF(AND(G490&lt;=O$3,RAND()&lt;=H$7),1,0)</f>
        <v>1</v>
      </c>
      <c r="I490">
        <f t="shared" ca="1" si="20"/>
        <v>463</v>
      </c>
      <c r="J490" s="80">
        <f t="shared" ca="1" si="19"/>
        <v>0.96458333333333335</v>
      </c>
    </row>
    <row r="491" spans="7:10" x14ac:dyDescent="0.2">
      <c r="G491" s="60">
        <v>481</v>
      </c>
      <c r="H491">
        <f ca="1">IF(AND(G491&lt;=O$3,RAND()&lt;=H$7),1,0)</f>
        <v>1</v>
      </c>
      <c r="I491">
        <f t="shared" ca="1" si="20"/>
        <v>464</v>
      </c>
      <c r="J491" s="80">
        <f t="shared" ca="1" si="19"/>
        <v>0.96465696465696471</v>
      </c>
    </row>
    <row r="492" spans="7:10" x14ac:dyDescent="0.2">
      <c r="G492" s="60">
        <v>482</v>
      </c>
      <c r="H492">
        <f ca="1">IF(AND(G492&lt;=O$3,RAND()&lt;=H$7),1,0)</f>
        <v>1</v>
      </c>
      <c r="I492">
        <f t="shared" ca="1" si="20"/>
        <v>465</v>
      </c>
      <c r="J492" s="80">
        <f t="shared" ca="1" si="19"/>
        <v>0.96473029045643155</v>
      </c>
    </row>
    <row r="493" spans="7:10" x14ac:dyDescent="0.2">
      <c r="G493" s="60">
        <v>483</v>
      </c>
      <c r="H493">
        <f ca="1">IF(AND(G493&lt;=O$3,RAND()&lt;=H$7),1,0)</f>
        <v>1</v>
      </c>
      <c r="I493">
        <f t="shared" ca="1" si="20"/>
        <v>466</v>
      </c>
      <c r="J493" s="80">
        <f t="shared" ca="1" si="19"/>
        <v>0.96480331262939956</v>
      </c>
    </row>
    <row r="494" spans="7:10" x14ac:dyDescent="0.2">
      <c r="G494" s="60">
        <v>484</v>
      </c>
      <c r="H494">
        <f ca="1">IF(AND(G494&lt;=O$3,RAND()&lt;=H$7),1,0)</f>
        <v>1</v>
      </c>
      <c r="I494">
        <f t="shared" ca="1" si="20"/>
        <v>467</v>
      </c>
      <c r="J494" s="80">
        <f t="shared" ca="1" si="19"/>
        <v>0.96487603305785119</v>
      </c>
    </row>
    <row r="495" spans="7:10" x14ac:dyDescent="0.2">
      <c r="G495" s="60">
        <v>485</v>
      </c>
      <c r="H495">
        <f ca="1">IF(AND(G495&lt;=O$3,RAND()&lt;=H$7),1,0)</f>
        <v>1</v>
      </c>
      <c r="I495">
        <f t="shared" ca="1" si="20"/>
        <v>468</v>
      </c>
      <c r="J495" s="80">
        <f t="shared" ca="1" si="19"/>
        <v>0.96494845360824744</v>
      </c>
    </row>
    <row r="496" spans="7:10" x14ac:dyDescent="0.2">
      <c r="G496" s="60">
        <v>486</v>
      </c>
      <c r="H496">
        <f ca="1">IF(AND(G496&lt;=O$3,RAND()&lt;=H$7),1,0)</f>
        <v>1</v>
      </c>
      <c r="I496">
        <f t="shared" ca="1" si="20"/>
        <v>469</v>
      </c>
      <c r="J496" s="80">
        <f t="shared" ca="1" si="19"/>
        <v>0.96502057613168724</v>
      </c>
    </row>
    <row r="497" spans="7:10" x14ac:dyDescent="0.2">
      <c r="G497" s="60">
        <v>487</v>
      </c>
      <c r="H497">
        <f ca="1">IF(AND(G497&lt;=O$3,RAND()&lt;=H$7),1,0)</f>
        <v>1</v>
      </c>
      <c r="I497">
        <f t="shared" ca="1" si="20"/>
        <v>470</v>
      </c>
      <c r="J497" s="80">
        <f t="shared" ca="1" si="19"/>
        <v>0.96509240246406569</v>
      </c>
    </row>
    <row r="498" spans="7:10" x14ac:dyDescent="0.2">
      <c r="G498" s="60">
        <v>488</v>
      </c>
      <c r="H498">
        <f ca="1">IF(AND(G498&lt;=O$3,RAND()&lt;=H$7),1,0)</f>
        <v>1</v>
      </c>
      <c r="I498">
        <f t="shared" ca="1" si="20"/>
        <v>471</v>
      </c>
      <c r="J498" s="80">
        <f t="shared" ca="1" si="19"/>
        <v>0.9651639344262295</v>
      </c>
    </row>
    <row r="499" spans="7:10" x14ac:dyDescent="0.2">
      <c r="G499" s="60">
        <v>489</v>
      </c>
      <c r="H499">
        <f ca="1">IF(AND(G499&lt;=O$3,RAND()&lt;=H$7),1,0)</f>
        <v>1</v>
      </c>
      <c r="I499">
        <f t="shared" ca="1" si="20"/>
        <v>472</v>
      </c>
      <c r="J499" s="80">
        <f t="shared" ca="1" si="19"/>
        <v>0.96523517382413093</v>
      </c>
    </row>
    <row r="500" spans="7:10" x14ac:dyDescent="0.2">
      <c r="G500" s="60">
        <v>490</v>
      </c>
      <c r="H500">
        <f ca="1">IF(AND(G500&lt;=O$3,RAND()&lt;=H$7),1,0)</f>
        <v>1</v>
      </c>
      <c r="I500">
        <f t="shared" ca="1" si="20"/>
        <v>473</v>
      </c>
      <c r="J500" s="80">
        <f t="shared" ca="1" si="19"/>
        <v>0.96530612244897962</v>
      </c>
    </row>
    <row r="501" spans="7:10" x14ac:dyDescent="0.2">
      <c r="G501" s="60">
        <v>491</v>
      </c>
      <c r="H501">
        <f ca="1">IF(AND(G501&lt;=O$3,RAND()&lt;=H$7),1,0)</f>
        <v>1</v>
      </c>
      <c r="I501">
        <f t="shared" ca="1" si="20"/>
        <v>474</v>
      </c>
      <c r="J501" s="80">
        <f t="shared" ca="1" si="19"/>
        <v>0.96537678207739308</v>
      </c>
    </row>
    <row r="502" spans="7:10" x14ac:dyDescent="0.2">
      <c r="G502" s="60">
        <v>492</v>
      </c>
      <c r="H502">
        <f ca="1">IF(AND(G502&lt;=O$3,RAND()&lt;=H$7),1,0)</f>
        <v>1</v>
      </c>
      <c r="I502">
        <f t="shared" ca="1" si="20"/>
        <v>475</v>
      </c>
      <c r="J502" s="80">
        <f t="shared" ca="1" si="19"/>
        <v>0.96544715447154472</v>
      </c>
    </row>
    <row r="503" spans="7:10" x14ac:dyDescent="0.2">
      <c r="G503" s="60">
        <v>493</v>
      </c>
      <c r="H503">
        <f ca="1">IF(AND(G503&lt;=O$3,RAND()&lt;=H$7),1,0)</f>
        <v>1</v>
      </c>
      <c r="I503">
        <f t="shared" ca="1" si="20"/>
        <v>476</v>
      </c>
      <c r="J503" s="80">
        <f t="shared" ca="1" si="19"/>
        <v>0.96551724137931039</v>
      </c>
    </row>
    <row r="504" spans="7:10" x14ac:dyDescent="0.2">
      <c r="G504" s="60">
        <v>494</v>
      </c>
      <c r="H504">
        <f ca="1">IF(AND(G504&lt;=O$3,RAND()&lt;=H$7),1,0)</f>
        <v>1</v>
      </c>
      <c r="I504">
        <f t="shared" ca="1" si="20"/>
        <v>477</v>
      </c>
      <c r="J504" s="80">
        <f t="shared" ca="1" si="19"/>
        <v>0.96558704453441291</v>
      </c>
    </row>
    <row r="505" spans="7:10" x14ac:dyDescent="0.2">
      <c r="G505" s="60">
        <v>495</v>
      </c>
      <c r="H505">
        <f ca="1">IF(AND(G505&lt;=O$3,RAND()&lt;=H$7),1,0)</f>
        <v>1</v>
      </c>
      <c r="I505">
        <f t="shared" ca="1" si="20"/>
        <v>478</v>
      </c>
      <c r="J505" s="80">
        <f t="shared" ca="1" si="19"/>
        <v>0.96565656565656566</v>
      </c>
    </row>
    <row r="506" spans="7:10" x14ac:dyDescent="0.2">
      <c r="G506" s="60">
        <v>496</v>
      </c>
      <c r="H506">
        <f ca="1">IF(AND(G506&lt;=O$3,RAND()&lt;=H$7),1,0)</f>
        <v>1</v>
      </c>
      <c r="I506">
        <f t="shared" ca="1" si="20"/>
        <v>479</v>
      </c>
      <c r="J506" s="80">
        <f t="shared" ca="1" si="19"/>
        <v>0.96572580645161288</v>
      </c>
    </row>
    <row r="507" spans="7:10" x14ac:dyDescent="0.2">
      <c r="G507" s="60">
        <v>497</v>
      </c>
      <c r="H507">
        <f ca="1">IF(AND(G507&lt;=O$3,RAND()&lt;=H$7),1,0)</f>
        <v>1</v>
      </c>
      <c r="I507">
        <f t="shared" ca="1" si="20"/>
        <v>480</v>
      </c>
      <c r="J507" s="80">
        <f t="shared" ca="1" si="19"/>
        <v>0.96579476861167002</v>
      </c>
    </row>
    <row r="508" spans="7:10" x14ac:dyDescent="0.2">
      <c r="G508" s="60">
        <v>498</v>
      </c>
      <c r="H508">
        <f ca="1">IF(AND(G508&lt;=O$3,RAND()&lt;=H$7),1,0)</f>
        <v>1</v>
      </c>
      <c r="I508">
        <f t="shared" ca="1" si="20"/>
        <v>481</v>
      </c>
      <c r="J508" s="80">
        <f t="shared" ca="1" si="19"/>
        <v>0.96586345381526106</v>
      </c>
    </row>
    <row r="509" spans="7:10" x14ac:dyDescent="0.2">
      <c r="G509" s="60">
        <v>499</v>
      </c>
      <c r="H509">
        <f ca="1">IF(AND(G509&lt;=O$3,RAND()&lt;=H$7),1,0)</f>
        <v>1</v>
      </c>
      <c r="I509">
        <f t="shared" ca="1" si="20"/>
        <v>482</v>
      </c>
      <c r="J509" s="80">
        <f t="shared" ca="1" si="19"/>
        <v>0.96593186372745488</v>
      </c>
    </row>
    <row r="510" spans="7:10" x14ac:dyDescent="0.2">
      <c r="G510" s="60">
        <v>500</v>
      </c>
      <c r="H510">
        <f ca="1">IF(AND(G510&lt;=O$3,RAND()&lt;=H$7),1,0)</f>
        <v>1</v>
      </c>
      <c r="I510">
        <f t="shared" ca="1" si="20"/>
        <v>483</v>
      </c>
      <c r="J510" s="80">
        <f t="shared" ca="1" si="19"/>
        <v>0.96599999999999997</v>
      </c>
    </row>
    <row r="511" spans="7:10" x14ac:dyDescent="0.2">
      <c r="G511" s="60">
        <v>501</v>
      </c>
      <c r="H511">
        <f ca="1">IF(AND(G511&lt;=O$3,RAND()&lt;=H$7),1,0)</f>
        <v>1</v>
      </c>
      <c r="I511">
        <f t="shared" ca="1" si="20"/>
        <v>484</v>
      </c>
      <c r="J511" s="80">
        <f t="shared" ca="1" si="19"/>
        <v>0.96606786427145708</v>
      </c>
    </row>
    <row r="512" spans="7:10" x14ac:dyDescent="0.2">
      <c r="G512" s="60">
        <v>502</v>
      </c>
      <c r="H512">
        <f ca="1">IF(AND(G512&lt;=O$3,RAND()&lt;=H$7),1,0)</f>
        <v>1</v>
      </c>
      <c r="I512">
        <f t="shared" ca="1" si="20"/>
        <v>485</v>
      </c>
      <c r="J512" s="80">
        <f t="shared" ca="1" si="19"/>
        <v>0.96613545816733071</v>
      </c>
    </row>
    <row r="513" spans="7:10" x14ac:dyDescent="0.2">
      <c r="G513" s="60">
        <v>503</v>
      </c>
      <c r="H513">
        <f ca="1">IF(AND(G513&lt;=O$3,RAND()&lt;=H$7),1,0)</f>
        <v>1</v>
      </c>
      <c r="I513">
        <f t="shared" ca="1" si="20"/>
        <v>486</v>
      </c>
      <c r="J513" s="80">
        <f t="shared" ca="1" si="19"/>
        <v>0.96620278330019882</v>
      </c>
    </row>
    <row r="514" spans="7:10" x14ac:dyDescent="0.2">
      <c r="G514" s="60">
        <v>504</v>
      </c>
      <c r="H514">
        <f ca="1">IF(AND(G514&lt;=O$3,RAND()&lt;=H$7),1,0)</f>
        <v>1</v>
      </c>
      <c r="I514">
        <f t="shared" ca="1" si="20"/>
        <v>487</v>
      </c>
      <c r="J514" s="80">
        <f t="shared" ca="1" si="19"/>
        <v>0.96626984126984128</v>
      </c>
    </row>
    <row r="515" spans="7:10" x14ac:dyDescent="0.2">
      <c r="G515" s="60">
        <v>505</v>
      </c>
      <c r="H515">
        <f ca="1">IF(AND(G515&lt;=O$3,RAND()&lt;=H$7),1,0)</f>
        <v>1</v>
      </c>
      <c r="I515">
        <f t="shared" ca="1" si="20"/>
        <v>488</v>
      </c>
      <c r="J515" s="80">
        <f t="shared" ca="1" si="19"/>
        <v>0.96633663366336631</v>
      </c>
    </row>
    <row r="516" spans="7:10" x14ac:dyDescent="0.2">
      <c r="G516" s="60">
        <v>506</v>
      </c>
      <c r="H516">
        <f ca="1">IF(AND(G516&lt;=O$3,RAND()&lt;=H$7),1,0)</f>
        <v>1</v>
      </c>
      <c r="I516">
        <f t="shared" ca="1" si="20"/>
        <v>489</v>
      </c>
      <c r="J516" s="80">
        <f t="shared" ca="1" si="19"/>
        <v>0.96640316205533594</v>
      </c>
    </row>
    <row r="517" spans="7:10" x14ac:dyDescent="0.2">
      <c r="G517" s="60">
        <v>507</v>
      </c>
      <c r="H517">
        <f ca="1">IF(AND(G517&lt;=O$3,RAND()&lt;=H$7),1,0)</f>
        <v>1</v>
      </c>
      <c r="I517">
        <f t="shared" ca="1" si="20"/>
        <v>490</v>
      </c>
      <c r="J517" s="80">
        <f t="shared" ca="1" si="19"/>
        <v>0.9664694280078896</v>
      </c>
    </row>
    <row r="518" spans="7:10" x14ac:dyDescent="0.2">
      <c r="G518" s="60">
        <v>508</v>
      </c>
      <c r="H518">
        <f ca="1">IF(AND(G518&lt;=O$3,RAND()&lt;=H$7),1,0)</f>
        <v>1</v>
      </c>
      <c r="I518">
        <f t="shared" ca="1" si="20"/>
        <v>491</v>
      </c>
      <c r="J518" s="80">
        <f t="shared" ca="1" si="19"/>
        <v>0.96653543307086609</v>
      </c>
    </row>
    <row r="519" spans="7:10" x14ac:dyDescent="0.2">
      <c r="G519" s="60">
        <v>509</v>
      </c>
      <c r="H519">
        <f ca="1">IF(AND(G519&lt;=O$3,RAND()&lt;=H$7),1,0)</f>
        <v>1</v>
      </c>
      <c r="I519">
        <f t="shared" ca="1" si="20"/>
        <v>492</v>
      </c>
      <c r="J519" s="80">
        <f t="shared" ca="1" si="19"/>
        <v>0.96660117878192531</v>
      </c>
    </row>
    <row r="520" spans="7:10" x14ac:dyDescent="0.2">
      <c r="G520" s="60">
        <v>510</v>
      </c>
      <c r="H520">
        <f ca="1">IF(AND(G520&lt;=O$3,RAND()&lt;=H$7),1,0)</f>
        <v>1</v>
      </c>
      <c r="I520">
        <f t="shared" ca="1" si="20"/>
        <v>493</v>
      </c>
      <c r="J520" s="80">
        <f t="shared" ca="1" si="19"/>
        <v>0.96666666666666667</v>
      </c>
    </row>
    <row r="521" spans="7:10" x14ac:dyDescent="0.2">
      <c r="G521" s="60">
        <v>511</v>
      </c>
      <c r="H521">
        <f ca="1">IF(AND(G521&lt;=O$3,RAND()&lt;=H$7),1,0)</f>
        <v>1</v>
      </c>
      <c r="I521">
        <f t="shared" ca="1" si="20"/>
        <v>494</v>
      </c>
      <c r="J521" s="80">
        <f t="shared" ca="1" si="19"/>
        <v>0.9667318982387475</v>
      </c>
    </row>
    <row r="522" spans="7:10" x14ac:dyDescent="0.2">
      <c r="G522" s="60">
        <v>512</v>
      </c>
      <c r="H522">
        <f ca="1">IF(AND(G522&lt;=O$3,RAND()&lt;=H$7),1,0)</f>
        <v>1</v>
      </c>
      <c r="I522">
        <f t="shared" ca="1" si="20"/>
        <v>495</v>
      </c>
      <c r="J522" s="80">
        <f t="shared" ca="1" si="19"/>
        <v>0.966796875</v>
      </c>
    </row>
    <row r="523" spans="7:10" x14ac:dyDescent="0.2">
      <c r="G523" s="60">
        <v>513</v>
      </c>
      <c r="H523">
        <f ca="1">IF(AND(G523&lt;=O$3,RAND()&lt;=H$7),1,0)</f>
        <v>1</v>
      </c>
      <c r="I523">
        <f t="shared" ca="1" si="20"/>
        <v>496</v>
      </c>
      <c r="J523" s="80">
        <f t="shared" ca="1" si="19"/>
        <v>0.96686159844054576</v>
      </c>
    </row>
    <row r="524" spans="7:10" x14ac:dyDescent="0.2">
      <c r="G524" s="60">
        <v>514</v>
      </c>
      <c r="H524">
        <f ca="1">IF(AND(G524&lt;=O$3,RAND()&lt;=H$7),1,0)</f>
        <v>1</v>
      </c>
      <c r="I524">
        <f t="shared" ca="1" si="20"/>
        <v>497</v>
      </c>
      <c r="J524" s="80">
        <f t="shared" ref="J524:J587" ca="1" si="21">I524/G524</f>
        <v>0.96692607003891051</v>
      </c>
    </row>
    <row r="525" spans="7:10" x14ac:dyDescent="0.2">
      <c r="G525" s="60">
        <v>515</v>
      </c>
      <c r="H525">
        <f ca="1">IF(AND(G525&lt;=O$3,RAND()&lt;=H$7),1,0)</f>
        <v>1</v>
      </c>
      <c r="I525">
        <f t="shared" ref="I525:I588" ca="1" si="22">H525+I524</f>
        <v>498</v>
      </c>
      <c r="J525" s="80">
        <f t="shared" ca="1" si="21"/>
        <v>0.96699029126213587</v>
      </c>
    </row>
    <row r="526" spans="7:10" x14ac:dyDescent="0.2">
      <c r="G526" s="60">
        <v>516</v>
      </c>
      <c r="H526">
        <f ca="1">IF(AND(G526&lt;=O$3,RAND()&lt;=H$7),1,0)</f>
        <v>1</v>
      </c>
      <c r="I526">
        <f t="shared" ca="1" si="22"/>
        <v>499</v>
      </c>
      <c r="J526" s="80">
        <f t="shared" ca="1" si="21"/>
        <v>0.96705426356589153</v>
      </c>
    </row>
    <row r="527" spans="7:10" x14ac:dyDescent="0.2">
      <c r="G527" s="60">
        <v>517</v>
      </c>
      <c r="H527">
        <f ca="1">IF(AND(G527&lt;=O$3,RAND()&lt;=H$7),1,0)</f>
        <v>1</v>
      </c>
      <c r="I527">
        <f t="shared" ca="1" si="22"/>
        <v>500</v>
      </c>
      <c r="J527" s="80">
        <f t="shared" ca="1" si="21"/>
        <v>0.96711798839458418</v>
      </c>
    </row>
    <row r="528" spans="7:10" x14ac:dyDescent="0.2">
      <c r="G528" s="60">
        <v>518</v>
      </c>
      <c r="H528">
        <f ca="1">IF(AND(G528&lt;=O$3,RAND()&lt;=H$7),1,0)</f>
        <v>1</v>
      </c>
      <c r="I528">
        <f t="shared" ca="1" si="22"/>
        <v>501</v>
      </c>
      <c r="J528" s="80">
        <f t="shared" ca="1" si="21"/>
        <v>0.96718146718146714</v>
      </c>
    </row>
    <row r="529" spans="7:10" x14ac:dyDescent="0.2">
      <c r="G529" s="60">
        <v>519</v>
      </c>
      <c r="H529">
        <f ca="1">IF(AND(G529&lt;=O$3,RAND()&lt;=H$7),1,0)</f>
        <v>1</v>
      </c>
      <c r="I529">
        <f t="shared" ca="1" si="22"/>
        <v>502</v>
      </c>
      <c r="J529" s="80">
        <f t="shared" ca="1" si="21"/>
        <v>0.96724470134874763</v>
      </c>
    </row>
    <row r="530" spans="7:10" x14ac:dyDescent="0.2">
      <c r="G530" s="60">
        <v>520</v>
      </c>
      <c r="H530">
        <f ca="1">IF(AND(G530&lt;=O$3,RAND()&lt;=H$7),1,0)</f>
        <v>1</v>
      </c>
      <c r="I530">
        <f t="shared" ca="1" si="22"/>
        <v>503</v>
      </c>
      <c r="J530" s="80">
        <f t="shared" ca="1" si="21"/>
        <v>0.96730769230769231</v>
      </c>
    </row>
    <row r="531" spans="7:10" x14ac:dyDescent="0.2">
      <c r="G531" s="60">
        <v>521</v>
      </c>
      <c r="H531">
        <f ca="1">IF(AND(G531&lt;=O$3,RAND()&lt;=H$7),1,0)</f>
        <v>1</v>
      </c>
      <c r="I531">
        <f t="shared" ca="1" si="22"/>
        <v>504</v>
      </c>
      <c r="J531" s="80">
        <f t="shared" ca="1" si="21"/>
        <v>0.96737044145873319</v>
      </c>
    </row>
    <row r="532" spans="7:10" x14ac:dyDescent="0.2">
      <c r="G532" s="60">
        <v>522</v>
      </c>
      <c r="H532">
        <f ca="1">IF(AND(G532&lt;=O$3,RAND()&lt;=H$7),1,0)</f>
        <v>1</v>
      </c>
      <c r="I532">
        <f t="shared" ca="1" si="22"/>
        <v>505</v>
      </c>
      <c r="J532" s="80">
        <f t="shared" ca="1" si="21"/>
        <v>0.96743295019157083</v>
      </c>
    </row>
    <row r="533" spans="7:10" x14ac:dyDescent="0.2">
      <c r="G533" s="60">
        <v>523</v>
      </c>
      <c r="H533">
        <f ca="1">IF(AND(G533&lt;=O$3,RAND()&lt;=H$7),1,0)</f>
        <v>1</v>
      </c>
      <c r="I533">
        <f t="shared" ca="1" si="22"/>
        <v>506</v>
      </c>
      <c r="J533" s="80">
        <f t="shared" ca="1" si="21"/>
        <v>0.9674952198852772</v>
      </c>
    </row>
    <row r="534" spans="7:10" x14ac:dyDescent="0.2">
      <c r="G534" s="60">
        <v>524</v>
      </c>
      <c r="H534">
        <f ca="1">IF(AND(G534&lt;=O$3,RAND()&lt;=H$7),1,0)</f>
        <v>1</v>
      </c>
      <c r="I534">
        <f t="shared" ca="1" si="22"/>
        <v>507</v>
      </c>
      <c r="J534" s="80">
        <f t="shared" ca="1" si="21"/>
        <v>0.96755725190839692</v>
      </c>
    </row>
    <row r="535" spans="7:10" x14ac:dyDescent="0.2">
      <c r="G535" s="60">
        <v>525</v>
      </c>
      <c r="H535">
        <f ca="1">IF(AND(G535&lt;=O$3,RAND()&lt;=H$7),1,0)</f>
        <v>1</v>
      </c>
      <c r="I535">
        <f t="shared" ca="1" si="22"/>
        <v>508</v>
      </c>
      <c r="J535" s="80">
        <f t="shared" ca="1" si="21"/>
        <v>0.9676190476190476</v>
      </c>
    </row>
    <row r="536" spans="7:10" x14ac:dyDescent="0.2">
      <c r="G536" s="60">
        <v>526</v>
      </c>
      <c r="H536">
        <f ca="1">IF(AND(G536&lt;=O$3,RAND()&lt;=H$7),1,0)</f>
        <v>1</v>
      </c>
      <c r="I536">
        <f t="shared" ca="1" si="22"/>
        <v>509</v>
      </c>
      <c r="J536" s="80">
        <f t="shared" ca="1" si="21"/>
        <v>0.96768060836501901</v>
      </c>
    </row>
    <row r="537" spans="7:10" x14ac:dyDescent="0.2">
      <c r="G537" s="60">
        <v>527</v>
      </c>
      <c r="H537">
        <f ca="1">IF(AND(G537&lt;=O$3,RAND()&lt;=H$7),1,0)</f>
        <v>1</v>
      </c>
      <c r="I537">
        <f t="shared" ca="1" si="22"/>
        <v>510</v>
      </c>
      <c r="J537" s="80">
        <f t="shared" ca="1" si="21"/>
        <v>0.967741935483871</v>
      </c>
    </row>
    <row r="538" spans="7:10" x14ac:dyDescent="0.2">
      <c r="G538" s="60">
        <v>528</v>
      </c>
      <c r="H538">
        <f ca="1">IF(AND(G538&lt;=O$3,RAND()&lt;=H$7),1,0)</f>
        <v>1</v>
      </c>
      <c r="I538">
        <f t="shared" ca="1" si="22"/>
        <v>511</v>
      </c>
      <c r="J538" s="80">
        <f t="shared" ca="1" si="21"/>
        <v>0.96780303030303028</v>
      </c>
    </row>
    <row r="539" spans="7:10" x14ac:dyDescent="0.2">
      <c r="G539" s="60">
        <v>529</v>
      </c>
      <c r="H539">
        <f ca="1">IF(AND(G539&lt;=O$3,RAND()&lt;=H$7),1,0)</f>
        <v>1</v>
      </c>
      <c r="I539">
        <f t="shared" ca="1" si="22"/>
        <v>512</v>
      </c>
      <c r="J539" s="80">
        <f t="shared" ca="1" si="21"/>
        <v>0.9678638941398866</v>
      </c>
    </row>
    <row r="540" spans="7:10" x14ac:dyDescent="0.2">
      <c r="G540" s="60">
        <v>530</v>
      </c>
      <c r="H540">
        <f ca="1">IF(AND(G540&lt;=O$3,RAND()&lt;=H$7),1,0)</f>
        <v>1</v>
      </c>
      <c r="I540">
        <f t="shared" ca="1" si="22"/>
        <v>513</v>
      </c>
      <c r="J540" s="80">
        <f t="shared" ca="1" si="21"/>
        <v>0.9679245283018868</v>
      </c>
    </row>
    <row r="541" spans="7:10" x14ac:dyDescent="0.2">
      <c r="G541" s="60">
        <v>531</v>
      </c>
      <c r="H541">
        <f ca="1">IF(AND(G541&lt;=O$3,RAND()&lt;=H$7),1,0)</f>
        <v>1</v>
      </c>
      <c r="I541">
        <f t="shared" ca="1" si="22"/>
        <v>514</v>
      </c>
      <c r="J541" s="80">
        <f t="shared" ca="1" si="21"/>
        <v>0.967984934086629</v>
      </c>
    </row>
    <row r="542" spans="7:10" x14ac:dyDescent="0.2">
      <c r="G542" s="60">
        <v>532</v>
      </c>
      <c r="H542">
        <f ca="1">IF(AND(G542&lt;=O$3,RAND()&lt;=H$7),1,0)</f>
        <v>1</v>
      </c>
      <c r="I542">
        <f t="shared" ca="1" si="22"/>
        <v>515</v>
      </c>
      <c r="J542" s="80">
        <f t="shared" ca="1" si="21"/>
        <v>0.96804511278195493</v>
      </c>
    </row>
    <row r="543" spans="7:10" x14ac:dyDescent="0.2">
      <c r="G543" s="60">
        <v>533</v>
      </c>
      <c r="H543">
        <f ca="1">IF(AND(G543&lt;=O$3,RAND()&lt;=H$7),1,0)</f>
        <v>1</v>
      </c>
      <c r="I543">
        <f t="shared" ca="1" si="22"/>
        <v>516</v>
      </c>
      <c r="J543" s="80">
        <f t="shared" ca="1" si="21"/>
        <v>0.96810506566604126</v>
      </c>
    </row>
    <row r="544" spans="7:10" x14ac:dyDescent="0.2">
      <c r="G544" s="60">
        <v>534</v>
      </c>
      <c r="H544">
        <f ca="1">IF(AND(G544&lt;=O$3,RAND()&lt;=H$7),1,0)</f>
        <v>1</v>
      </c>
      <c r="I544">
        <f t="shared" ca="1" si="22"/>
        <v>517</v>
      </c>
      <c r="J544" s="80">
        <f t="shared" ca="1" si="21"/>
        <v>0.96816479400749067</v>
      </c>
    </row>
    <row r="545" spans="7:10" x14ac:dyDescent="0.2">
      <c r="G545" s="60">
        <v>535</v>
      </c>
      <c r="H545">
        <f ca="1">IF(AND(G545&lt;=O$3,RAND()&lt;=H$7),1,0)</f>
        <v>1</v>
      </c>
      <c r="I545">
        <f t="shared" ca="1" si="22"/>
        <v>518</v>
      </c>
      <c r="J545" s="80">
        <f t="shared" ca="1" si="21"/>
        <v>0.96822429906542051</v>
      </c>
    </row>
    <row r="546" spans="7:10" x14ac:dyDescent="0.2">
      <c r="G546" s="60">
        <v>536</v>
      </c>
      <c r="H546">
        <f ca="1">IF(AND(G546&lt;=O$3,RAND()&lt;=H$7),1,0)</f>
        <v>1</v>
      </c>
      <c r="I546">
        <f t="shared" ca="1" si="22"/>
        <v>519</v>
      </c>
      <c r="J546" s="80">
        <f t="shared" ca="1" si="21"/>
        <v>0.96828358208955223</v>
      </c>
    </row>
    <row r="547" spans="7:10" x14ac:dyDescent="0.2">
      <c r="G547" s="60">
        <v>537</v>
      </c>
      <c r="H547">
        <f ca="1">IF(AND(G547&lt;=O$3,RAND()&lt;=H$7),1,0)</f>
        <v>1</v>
      </c>
      <c r="I547">
        <f t="shared" ca="1" si="22"/>
        <v>520</v>
      </c>
      <c r="J547" s="80">
        <f t="shared" ca="1" si="21"/>
        <v>0.96834264432029793</v>
      </c>
    </row>
    <row r="548" spans="7:10" x14ac:dyDescent="0.2">
      <c r="G548" s="60">
        <v>538</v>
      </c>
      <c r="H548">
        <f ca="1">IF(AND(G548&lt;=O$3,RAND()&lt;=H$7),1,0)</f>
        <v>1</v>
      </c>
      <c r="I548">
        <f t="shared" ca="1" si="22"/>
        <v>521</v>
      </c>
      <c r="J548" s="80">
        <f t="shared" ca="1" si="21"/>
        <v>0.96840148698884754</v>
      </c>
    </row>
    <row r="549" spans="7:10" x14ac:dyDescent="0.2">
      <c r="G549" s="60">
        <v>539</v>
      </c>
      <c r="H549">
        <f ca="1">IF(AND(G549&lt;=O$3,RAND()&lt;=H$7),1,0)</f>
        <v>1</v>
      </c>
      <c r="I549">
        <f t="shared" ca="1" si="22"/>
        <v>522</v>
      </c>
      <c r="J549" s="80">
        <f t="shared" ca="1" si="21"/>
        <v>0.96846011131725418</v>
      </c>
    </row>
    <row r="550" spans="7:10" x14ac:dyDescent="0.2">
      <c r="G550" s="60">
        <v>540</v>
      </c>
      <c r="H550">
        <f ca="1">IF(AND(G550&lt;=O$3,RAND()&lt;=H$7),1,0)</f>
        <v>0</v>
      </c>
      <c r="I550">
        <f t="shared" ca="1" si="22"/>
        <v>522</v>
      </c>
      <c r="J550" s="80">
        <f t="shared" ca="1" si="21"/>
        <v>0.96666666666666667</v>
      </c>
    </row>
    <row r="551" spans="7:10" x14ac:dyDescent="0.2">
      <c r="G551" s="60">
        <v>541</v>
      </c>
      <c r="H551">
        <f ca="1">IF(AND(G551&lt;=O$3,RAND()&lt;=H$7),1,0)</f>
        <v>1</v>
      </c>
      <c r="I551">
        <f t="shared" ca="1" si="22"/>
        <v>523</v>
      </c>
      <c r="J551" s="80">
        <f t="shared" ca="1" si="21"/>
        <v>0.96672828096118302</v>
      </c>
    </row>
    <row r="552" spans="7:10" x14ac:dyDescent="0.2">
      <c r="G552" s="60">
        <v>542</v>
      </c>
      <c r="H552">
        <f ca="1">IF(AND(G552&lt;=O$3,RAND()&lt;=H$7),1,0)</f>
        <v>1</v>
      </c>
      <c r="I552">
        <f t="shared" ca="1" si="22"/>
        <v>524</v>
      </c>
      <c r="J552" s="80">
        <f t="shared" ca="1" si="21"/>
        <v>0.96678966789667897</v>
      </c>
    </row>
    <row r="553" spans="7:10" x14ac:dyDescent="0.2">
      <c r="G553" s="60">
        <v>543</v>
      </c>
      <c r="H553">
        <f ca="1">IF(AND(G553&lt;=O$3,RAND()&lt;=H$7),1,0)</f>
        <v>1</v>
      </c>
      <c r="I553">
        <f t="shared" ca="1" si="22"/>
        <v>525</v>
      </c>
      <c r="J553" s="80">
        <f t="shared" ca="1" si="21"/>
        <v>0.96685082872928174</v>
      </c>
    </row>
    <row r="554" spans="7:10" x14ac:dyDescent="0.2">
      <c r="G554" s="60">
        <v>544</v>
      </c>
      <c r="H554">
        <f ca="1">IF(AND(G554&lt;=O$3,RAND()&lt;=H$7),1,0)</f>
        <v>1</v>
      </c>
      <c r="I554">
        <f t="shared" ca="1" si="22"/>
        <v>526</v>
      </c>
      <c r="J554" s="80">
        <f t="shared" ca="1" si="21"/>
        <v>0.96691176470588236</v>
      </c>
    </row>
    <row r="555" spans="7:10" x14ac:dyDescent="0.2">
      <c r="G555" s="60">
        <v>545</v>
      </c>
      <c r="H555">
        <f ca="1">IF(AND(G555&lt;=O$3,RAND()&lt;=H$7),1,0)</f>
        <v>1</v>
      </c>
      <c r="I555">
        <f t="shared" ca="1" si="22"/>
        <v>527</v>
      </c>
      <c r="J555" s="80">
        <f t="shared" ca="1" si="21"/>
        <v>0.96697247706422018</v>
      </c>
    </row>
    <row r="556" spans="7:10" x14ac:dyDescent="0.2">
      <c r="G556" s="60">
        <v>546</v>
      </c>
      <c r="H556">
        <f ca="1">IF(AND(G556&lt;=O$3,RAND()&lt;=H$7),1,0)</f>
        <v>0</v>
      </c>
      <c r="I556">
        <f t="shared" ca="1" si="22"/>
        <v>527</v>
      </c>
      <c r="J556" s="80">
        <f t="shared" ca="1" si="21"/>
        <v>0.96520146520146521</v>
      </c>
    </row>
    <row r="557" spans="7:10" x14ac:dyDescent="0.2">
      <c r="G557" s="60">
        <v>547</v>
      </c>
      <c r="H557">
        <f ca="1">IF(AND(G557&lt;=O$3,RAND()&lt;=H$7),1,0)</f>
        <v>1</v>
      </c>
      <c r="I557">
        <f t="shared" ca="1" si="22"/>
        <v>528</v>
      </c>
      <c r="J557" s="80">
        <f t="shared" ca="1" si="21"/>
        <v>0.96526508226691043</v>
      </c>
    </row>
    <row r="558" spans="7:10" x14ac:dyDescent="0.2">
      <c r="G558" s="60">
        <v>548</v>
      </c>
      <c r="H558">
        <f ca="1">IF(AND(G558&lt;=O$3,RAND()&lt;=H$7),1,0)</f>
        <v>1</v>
      </c>
      <c r="I558">
        <f t="shared" ca="1" si="22"/>
        <v>529</v>
      </c>
      <c r="J558" s="80">
        <f t="shared" ca="1" si="21"/>
        <v>0.96532846715328469</v>
      </c>
    </row>
    <row r="559" spans="7:10" x14ac:dyDescent="0.2">
      <c r="G559" s="60">
        <v>549</v>
      </c>
      <c r="H559">
        <f ca="1">IF(AND(G559&lt;=O$3,RAND()&lt;=H$7),1,0)</f>
        <v>1</v>
      </c>
      <c r="I559">
        <f t="shared" ca="1" si="22"/>
        <v>530</v>
      </c>
      <c r="J559" s="80">
        <f t="shared" ca="1" si="21"/>
        <v>0.96539162112932608</v>
      </c>
    </row>
    <row r="560" spans="7:10" x14ac:dyDescent="0.2">
      <c r="G560" s="60">
        <v>550</v>
      </c>
      <c r="H560">
        <f ca="1">IF(AND(G560&lt;=O$3,RAND()&lt;=H$7),1,0)</f>
        <v>1</v>
      </c>
      <c r="I560">
        <f t="shared" ca="1" si="22"/>
        <v>531</v>
      </c>
      <c r="J560" s="80">
        <f t="shared" ca="1" si="21"/>
        <v>0.96545454545454545</v>
      </c>
    </row>
    <row r="561" spans="7:10" x14ac:dyDescent="0.2">
      <c r="G561" s="60">
        <v>551</v>
      </c>
      <c r="H561">
        <f ca="1">IF(AND(G561&lt;=O$3,RAND()&lt;=H$7),1,0)</f>
        <v>1</v>
      </c>
      <c r="I561">
        <f t="shared" ca="1" si="22"/>
        <v>532</v>
      </c>
      <c r="J561" s="80">
        <f t="shared" ca="1" si="21"/>
        <v>0.96551724137931039</v>
      </c>
    </row>
    <row r="562" spans="7:10" x14ac:dyDescent="0.2">
      <c r="G562" s="60">
        <v>552</v>
      </c>
      <c r="H562">
        <f ca="1">IF(AND(G562&lt;=O$3,RAND()&lt;=H$7),1,0)</f>
        <v>1</v>
      </c>
      <c r="I562">
        <f t="shared" ca="1" si="22"/>
        <v>533</v>
      </c>
      <c r="J562" s="80">
        <f t="shared" ca="1" si="21"/>
        <v>0.96557971014492749</v>
      </c>
    </row>
    <row r="563" spans="7:10" x14ac:dyDescent="0.2">
      <c r="G563" s="60">
        <v>553</v>
      </c>
      <c r="H563">
        <f ca="1">IF(AND(G563&lt;=O$3,RAND()&lt;=H$7),1,0)</f>
        <v>1</v>
      </c>
      <c r="I563">
        <f t="shared" ca="1" si="22"/>
        <v>534</v>
      </c>
      <c r="J563" s="80">
        <f t="shared" ca="1" si="21"/>
        <v>0.96564195298372513</v>
      </c>
    </row>
    <row r="564" spans="7:10" x14ac:dyDescent="0.2">
      <c r="G564" s="60">
        <v>554</v>
      </c>
      <c r="H564">
        <f ca="1">IF(AND(G564&lt;=O$3,RAND()&lt;=H$7),1,0)</f>
        <v>1</v>
      </c>
      <c r="I564">
        <f t="shared" ca="1" si="22"/>
        <v>535</v>
      </c>
      <c r="J564" s="80">
        <f t="shared" ca="1" si="21"/>
        <v>0.96570397111913353</v>
      </c>
    </row>
    <row r="565" spans="7:10" x14ac:dyDescent="0.2">
      <c r="G565" s="60">
        <v>555</v>
      </c>
      <c r="H565">
        <f ca="1">IF(AND(G565&lt;=O$3,RAND()&lt;=H$7),1,0)</f>
        <v>1</v>
      </c>
      <c r="I565">
        <f t="shared" ca="1" si="22"/>
        <v>536</v>
      </c>
      <c r="J565" s="80">
        <f t="shared" ca="1" si="21"/>
        <v>0.96576576576576578</v>
      </c>
    </row>
    <row r="566" spans="7:10" x14ac:dyDescent="0.2">
      <c r="G566" s="60">
        <v>556</v>
      </c>
      <c r="H566">
        <f ca="1">IF(AND(G566&lt;=O$3,RAND()&lt;=H$7),1,0)</f>
        <v>1</v>
      </c>
      <c r="I566">
        <f t="shared" ca="1" si="22"/>
        <v>537</v>
      </c>
      <c r="J566" s="80">
        <f t="shared" ca="1" si="21"/>
        <v>0.96582733812949639</v>
      </c>
    </row>
    <row r="567" spans="7:10" x14ac:dyDescent="0.2">
      <c r="G567" s="60">
        <v>557</v>
      </c>
      <c r="H567">
        <f ca="1">IF(AND(G567&lt;=O$3,RAND()&lt;=H$7),1,0)</f>
        <v>1</v>
      </c>
      <c r="I567">
        <f t="shared" ca="1" si="22"/>
        <v>538</v>
      </c>
      <c r="J567" s="80">
        <f t="shared" ca="1" si="21"/>
        <v>0.96588868940754036</v>
      </c>
    </row>
    <row r="568" spans="7:10" x14ac:dyDescent="0.2">
      <c r="G568" s="60">
        <v>558</v>
      </c>
      <c r="H568">
        <f ca="1">IF(AND(G568&lt;=O$3,RAND()&lt;=H$7),1,0)</f>
        <v>1</v>
      </c>
      <c r="I568">
        <f t="shared" ca="1" si="22"/>
        <v>539</v>
      </c>
      <c r="J568" s="80">
        <f t="shared" ca="1" si="21"/>
        <v>0.96594982078853042</v>
      </c>
    </row>
    <row r="569" spans="7:10" x14ac:dyDescent="0.2">
      <c r="G569" s="60">
        <v>559</v>
      </c>
      <c r="H569">
        <f ca="1">IF(AND(G569&lt;=O$3,RAND()&lt;=H$7),1,0)</f>
        <v>1</v>
      </c>
      <c r="I569">
        <f t="shared" ca="1" si="22"/>
        <v>540</v>
      </c>
      <c r="J569" s="80">
        <f t="shared" ca="1" si="21"/>
        <v>0.96601073345259392</v>
      </c>
    </row>
    <row r="570" spans="7:10" x14ac:dyDescent="0.2">
      <c r="G570" s="60">
        <v>560</v>
      </c>
      <c r="H570">
        <f ca="1">IF(AND(G570&lt;=O$3,RAND()&lt;=H$7),1,0)</f>
        <v>1</v>
      </c>
      <c r="I570">
        <f t="shared" ca="1" si="22"/>
        <v>541</v>
      </c>
      <c r="J570" s="80">
        <f t="shared" ca="1" si="21"/>
        <v>0.96607142857142858</v>
      </c>
    </row>
    <row r="571" spans="7:10" x14ac:dyDescent="0.2">
      <c r="G571" s="60">
        <v>561</v>
      </c>
      <c r="H571">
        <f ca="1">IF(AND(G571&lt;=O$3,RAND()&lt;=H$7),1,0)</f>
        <v>1</v>
      </c>
      <c r="I571">
        <f t="shared" ca="1" si="22"/>
        <v>542</v>
      </c>
      <c r="J571" s="80">
        <f t="shared" ca="1" si="21"/>
        <v>0.96613190730837795</v>
      </c>
    </row>
    <row r="572" spans="7:10" x14ac:dyDescent="0.2">
      <c r="G572" s="60">
        <v>562</v>
      </c>
      <c r="H572">
        <f ca="1">IF(AND(G572&lt;=O$3,RAND()&lt;=H$7),1,0)</f>
        <v>1</v>
      </c>
      <c r="I572">
        <f t="shared" ca="1" si="22"/>
        <v>543</v>
      </c>
      <c r="J572" s="80">
        <f t="shared" ca="1" si="21"/>
        <v>0.96619217081850539</v>
      </c>
    </row>
    <row r="573" spans="7:10" x14ac:dyDescent="0.2">
      <c r="G573" s="60">
        <v>563</v>
      </c>
      <c r="H573">
        <f ca="1">IF(AND(G573&lt;=O$3,RAND()&lt;=H$7),1,0)</f>
        <v>1</v>
      </c>
      <c r="I573">
        <f t="shared" ca="1" si="22"/>
        <v>544</v>
      </c>
      <c r="J573" s="80">
        <f t="shared" ca="1" si="21"/>
        <v>0.96625222024866786</v>
      </c>
    </row>
    <row r="574" spans="7:10" x14ac:dyDescent="0.2">
      <c r="G574" s="60">
        <v>564</v>
      </c>
      <c r="H574">
        <f ca="1">IF(AND(G574&lt;=O$3,RAND()&lt;=H$7),1,0)</f>
        <v>1</v>
      </c>
      <c r="I574">
        <f t="shared" ca="1" si="22"/>
        <v>545</v>
      </c>
      <c r="J574" s="80">
        <f t="shared" ca="1" si="21"/>
        <v>0.96631205673758869</v>
      </c>
    </row>
    <row r="575" spans="7:10" x14ac:dyDescent="0.2">
      <c r="G575" s="60">
        <v>565</v>
      </c>
      <c r="H575">
        <f ca="1">IF(AND(G575&lt;=O$3,RAND()&lt;=H$7),1,0)</f>
        <v>1</v>
      </c>
      <c r="I575">
        <f t="shared" ca="1" si="22"/>
        <v>546</v>
      </c>
      <c r="J575" s="80">
        <f t="shared" ca="1" si="21"/>
        <v>0.96637168141592922</v>
      </c>
    </row>
    <row r="576" spans="7:10" x14ac:dyDescent="0.2">
      <c r="G576" s="60">
        <v>566</v>
      </c>
      <c r="H576">
        <f ca="1">IF(AND(G576&lt;=O$3,RAND()&lt;=H$7),1,0)</f>
        <v>1</v>
      </c>
      <c r="I576">
        <f t="shared" ca="1" si="22"/>
        <v>547</v>
      </c>
      <c r="J576" s="80">
        <f t="shared" ca="1" si="21"/>
        <v>0.96643109540636041</v>
      </c>
    </row>
    <row r="577" spans="7:10" x14ac:dyDescent="0.2">
      <c r="G577" s="60">
        <v>567</v>
      </c>
      <c r="H577">
        <f ca="1">IF(AND(G577&lt;=O$3,RAND()&lt;=H$7),1,0)</f>
        <v>1</v>
      </c>
      <c r="I577">
        <f t="shared" ca="1" si="22"/>
        <v>548</v>
      </c>
      <c r="J577" s="80">
        <f t="shared" ca="1" si="21"/>
        <v>0.9664902998236331</v>
      </c>
    </row>
    <row r="578" spans="7:10" x14ac:dyDescent="0.2">
      <c r="G578" s="60">
        <v>568</v>
      </c>
      <c r="H578">
        <f ca="1">IF(AND(G578&lt;=O$3,RAND()&lt;=H$7),1,0)</f>
        <v>1</v>
      </c>
      <c r="I578">
        <f t="shared" ca="1" si="22"/>
        <v>549</v>
      </c>
      <c r="J578" s="80">
        <f t="shared" ca="1" si="21"/>
        <v>0.96654929577464788</v>
      </c>
    </row>
    <row r="579" spans="7:10" x14ac:dyDescent="0.2">
      <c r="G579" s="60">
        <v>569</v>
      </c>
      <c r="H579">
        <f ca="1">IF(AND(G579&lt;=O$3,RAND()&lt;=H$7),1,0)</f>
        <v>1</v>
      </c>
      <c r="I579">
        <f t="shared" ca="1" si="22"/>
        <v>550</v>
      </c>
      <c r="J579" s="80">
        <f t="shared" ca="1" si="21"/>
        <v>0.96660808435852374</v>
      </c>
    </row>
    <row r="580" spans="7:10" x14ac:dyDescent="0.2">
      <c r="G580" s="60">
        <v>570</v>
      </c>
      <c r="H580">
        <f ca="1">IF(AND(G580&lt;=O$3,RAND()&lt;=H$7),1,0)</f>
        <v>1</v>
      </c>
      <c r="I580">
        <f t="shared" ca="1" si="22"/>
        <v>551</v>
      </c>
      <c r="J580" s="80">
        <f t="shared" ca="1" si="21"/>
        <v>0.96666666666666667</v>
      </c>
    </row>
    <row r="581" spans="7:10" x14ac:dyDescent="0.2">
      <c r="G581" s="60">
        <v>571</v>
      </c>
      <c r="H581">
        <f ca="1">IF(AND(G581&lt;=O$3,RAND()&lt;=H$7),1,0)</f>
        <v>1</v>
      </c>
      <c r="I581">
        <f t="shared" ca="1" si="22"/>
        <v>552</v>
      </c>
      <c r="J581" s="80">
        <f t="shared" ca="1" si="21"/>
        <v>0.96672504378283708</v>
      </c>
    </row>
    <row r="582" spans="7:10" x14ac:dyDescent="0.2">
      <c r="G582" s="60">
        <v>572</v>
      </c>
      <c r="H582">
        <f ca="1">IF(AND(G582&lt;=O$3,RAND()&lt;=H$7),1,0)</f>
        <v>1</v>
      </c>
      <c r="I582">
        <f t="shared" ca="1" si="22"/>
        <v>553</v>
      </c>
      <c r="J582" s="80">
        <f t="shared" ca="1" si="21"/>
        <v>0.96678321678321677</v>
      </c>
    </row>
    <row r="583" spans="7:10" x14ac:dyDescent="0.2">
      <c r="G583" s="60">
        <v>573</v>
      </c>
      <c r="H583">
        <f ca="1">IF(AND(G583&lt;=O$3,RAND()&lt;=H$7),1,0)</f>
        <v>1</v>
      </c>
      <c r="I583">
        <f t="shared" ca="1" si="22"/>
        <v>554</v>
      </c>
      <c r="J583" s="80">
        <f t="shared" ca="1" si="21"/>
        <v>0.96684118673647468</v>
      </c>
    </row>
    <row r="584" spans="7:10" x14ac:dyDescent="0.2">
      <c r="G584" s="60">
        <v>574</v>
      </c>
      <c r="H584">
        <f ca="1">IF(AND(G584&lt;=O$3,RAND()&lt;=H$7),1,0)</f>
        <v>1</v>
      </c>
      <c r="I584">
        <f t="shared" ca="1" si="22"/>
        <v>555</v>
      </c>
      <c r="J584" s="80">
        <f t="shared" ca="1" si="21"/>
        <v>0.9668989547038328</v>
      </c>
    </row>
    <row r="585" spans="7:10" x14ac:dyDescent="0.2">
      <c r="G585" s="60">
        <v>575</v>
      </c>
      <c r="H585">
        <f ca="1">IF(AND(G585&lt;=O$3,RAND()&lt;=H$7),1,0)</f>
        <v>1</v>
      </c>
      <c r="I585">
        <f t="shared" ca="1" si="22"/>
        <v>556</v>
      </c>
      <c r="J585" s="80">
        <f t="shared" ca="1" si="21"/>
        <v>0.96695652173913038</v>
      </c>
    </row>
    <row r="586" spans="7:10" x14ac:dyDescent="0.2">
      <c r="G586" s="60">
        <v>576</v>
      </c>
      <c r="H586">
        <f ca="1">IF(AND(G586&lt;=O$3,RAND()&lt;=H$7),1,0)</f>
        <v>1</v>
      </c>
      <c r="I586">
        <f t="shared" ca="1" si="22"/>
        <v>557</v>
      </c>
      <c r="J586" s="80">
        <f t="shared" ca="1" si="21"/>
        <v>0.96701388888888884</v>
      </c>
    </row>
    <row r="587" spans="7:10" x14ac:dyDescent="0.2">
      <c r="G587" s="60">
        <v>577</v>
      </c>
      <c r="H587">
        <f ca="1">IF(AND(G587&lt;=O$3,RAND()&lt;=H$7),1,0)</f>
        <v>1</v>
      </c>
      <c r="I587">
        <f t="shared" ca="1" si="22"/>
        <v>558</v>
      </c>
      <c r="J587" s="80">
        <f t="shared" ca="1" si="21"/>
        <v>0.96707105719237429</v>
      </c>
    </row>
    <row r="588" spans="7:10" x14ac:dyDescent="0.2">
      <c r="G588" s="60">
        <v>578</v>
      </c>
      <c r="H588">
        <f ca="1">IF(AND(G588&lt;=O$3,RAND()&lt;=H$7),1,0)</f>
        <v>1</v>
      </c>
      <c r="I588">
        <f t="shared" ca="1" si="22"/>
        <v>559</v>
      </c>
      <c r="J588" s="80">
        <f t="shared" ref="J588:J651" ca="1" si="23">I588/G588</f>
        <v>0.96712802768166095</v>
      </c>
    </row>
    <row r="589" spans="7:10" x14ac:dyDescent="0.2">
      <c r="G589" s="60">
        <v>579</v>
      </c>
      <c r="H589">
        <f ca="1">IF(AND(G589&lt;=O$3,RAND()&lt;=H$7),1,0)</f>
        <v>1</v>
      </c>
      <c r="I589">
        <f t="shared" ref="I589:I652" ca="1" si="24">H589+I588</f>
        <v>560</v>
      </c>
      <c r="J589" s="80">
        <f t="shared" ca="1" si="23"/>
        <v>0.9671848013816926</v>
      </c>
    </row>
    <row r="590" spans="7:10" x14ac:dyDescent="0.2">
      <c r="G590" s="60">
        <v>580</v>
      </c>
      <c r="H590">
        <f ca="1">IF(AND(G590&lt;=O$3,RAND()&lt;=H$7),1,0)</f>
        <v>1</v>
      </c>
      <c r="I590">
        <f t="shared" ca="1" si="24"/>
        <v>561</v>
      </c>
      <c r="J590" s="80">
        <f t="shared" ca="1" si="23"/>
        <v>0.96724137931034482</v>
      </c>
    </row>
    <row r="591" spans="7:10" x14ac:dyDescent="0.2">
      <c r="G591" s="60">
        <v>581</v>
      </c>
      <c r="H591">
        <f ca="1">IF(AND(G591&lt;=O$3,RAND()&lt;=H$7),1,0)</f>
        <v>1</v>
      </c>
      <c r="I591">
        <f t="shared" ca="1" si="24"/>
        <v>562</v>
      </c>
      <c r="J591" s="80">
        <f t="shared" ca="1" si="23"/>
        <v>0.96729776247848542</v>
      </c>
    </row>
    <row r="592" spans="7:10" x14ac:dyDescent="0.2">
      <c r="G592" s="60">
        <v>582</v>
      </c>
      <c r="H592">
        <f ca="1">IF(AND(G592&lt;=O$3,RAND()&lt;=H$7),1,0)</f>
        <v>1</v>
      </c>
      <c r="I592">
        <f t="shared" ca="1" si="24"/>
        <v>563</v>
      </c>
      <c r="J592" s="80">
        <f t="shared" ca="1" si="23"/>
        <v>0.96735395189003437</v>
      </c>
    </row>
    <row r="593" spans="7:10" x14ac:dyDescent="0.2">
      <c r="G593" s="60">
        <v>583</v>
      </c>
      <c r="H593">
        <f ca="1">IF(AND(G593&lt;=O$3,RAND()&lt;=H$7),1,0)</f>
        <v>1</v>
      </c>
      <c r="I593">
        <f t="shared" ca="1" si="24"/>
        <v>564</v>
      </c>
      <c r="J593" s="80">
        <f t="shared" ca="1" si="23"/>
        <v>0.967409948542024</v>
      </c>
    </row>
    <row r="594" spans="7:10" x14ac:dyDescent="0.2">
      <c r="G594" s="60">
        <v>584</v>
      </c>
      <c r="H594">
        <f ca="1">IF(AND(G594&lt;=O$3,RAND()&lt;=H$7),1,0)</f>
        <v>1</v>
      </c>
      <c r="I594">
        <f t="shared" ca="1" si="24"/>
        <v>565</v>
      </c>
      <c r="J594" s="80">
        <f t="shared" ca="1" si="23"/>
        <v>0.96746575342465757</v>
      </c>
    </row>
    <row r="595" spans="7:10" x14ac:dyDescent="0.2">
      <c r="G595" s="60">
        <v>585</v>
      </c>
      <c r="H595">
        <f ca="1">IF(AND(G595&lt;=O$3,RAND()&lt;=H$7),1,0)</f>
        <v>1</v>
      </c>
      <c r="I595">
        <f t="shared" ca="1" si="24"/>
        <v>566</v>
      </c>
      <c r="J595" s="80">
        <f t="shared" ca="1" si="23"/>
        <v>0.96752136752136753</v>
      </c>
    </row>
    <row r="596" spans="7:10" x14ac:dyDescent="0.2">
      <c r="G596" s="60">
        <v>586</v>
      </c>
      <c r="H596">
        <f ca="1">IF(AND(G596&lt;=O$3,RAND()&lt;=H$7),1,0)</f>
        <v>1</v>
      </c>
      <c r="I596">
        <f t="shared" ca="1" si="24"/>
        <v>567</v>
      </c>
      <c r="J596" s="80">
        <f t="shared" ca="1" si="23"/>
        <v>0.96757679180887368</v>
      </c>
    </row>
    <row r="597" spans="7:10" x14ac:dyDescent="0.2">
      <c r="G597" s="60">
        <v>587</v>
      </c>
      <c r="H597">
        <f ca="1">IF(AND(G597&lt;=O$3,RAND()&lt;=H$7),1,0)</f>
        <v>1</v>
      </c>
      <c r="I597">
        <f t="shared" ca="1" si="24"/>
        <v>568</v>
      </c>
      <c r="J597" s="80">
        <f t="shared" ca="1" si="23"/>
        <v>0.96763202725724018</v>
      </c>
    </row>
    <row r="598" spans="7:10" x14ac:dyDescent="0.2">
      <c r="G598" s="60">
        <v>588</v>
      </c>
      <c r="H598">
        <f ca="1">IF(AND(G598&lt;=O$3,RAND()&lt;=H$7),1,0)</f>
        <v>1</v>
      </c>
      <c r="I598">
        <f t="shared" ca="1" si="24"/>
        <v>569</v>
      </c>
      <c r="J598" s="80">
        <f t="shared" ca="1" si="23"/>
        <v>0.96768707482993199</v>
      </c>
    </row>
    <row r="599" spans="7:10" x14ac:dyDescent="0.2">
      <c r="G599" s="60">
        <v>589</v>
      </c>
      <c r="H599">
        <f ca="1">IF(AND(G599&lt;=O$3,RAND()&lt;=H$7),1,0)</f>
        <v>1</v>
      </c>
      <c r="I599">
        <f t="shared" ca="1" si="24"/>
        <v>570</v>
      </c>
      <c r="J599" s="80">
        <f t="shared" ca="1" si="23"/>
        <v>0.967741935483871</v>
      </c>
    </row>
    <row r="600" spans="7:10" x14ac:dyDescent="0.2">
      <c r="G600" s="60">
        <v>590</v>
      </c>
      <c r="H600">
        <f ca="1">IF(AND(G600&lt;=O$3,RAND()&lt;=H$7),1,0)</f>
        <v>1</v>
      </c>
      <c r="I600">
        <f t="shared" ca="1" si="24"/>
        <v>571</v>
      </c>
      <c r="J600" s="80">
        <f t="shared" ca="1" si="23"/>
        <v>0.96779661016949148</v>
      </c>
    </row>
    <row r="601" spans="7:10" x14ac:dyDescent="0.2">
      <c r="G601" s="60">
        <v>591</v>
      </c>
      <c r="H601">
        <f ca="1">IF(AND(G601&lt;=O$3,RAND()&lt;=H$7),1,0)</f>
        <v>1</v>
      </c>
      <c r="I601">
        <f t="shared" ca="1" si="24"/>
        <v>572</v>
      </c>
      <c r="J601" s="80">
        <f t="shared" ca="1" si="23"/>
        <v>0.96785109983079531</v>
      </c>
    </row>
    <row r="602" spans="7:10" x14ac:dyDescent="0.2">
      <c r="G602" s="60">
        <v>592</v>
      </c>
      <c r="H602">
        <f ca="1">IF(AND(G602&lt;=O$3,RAND()&lt;=H$7),1,0)</f>
        <v>1</v>
      </c>
      <c r="I602">
        <f t="shared" ca="1" si="24"/>
        <v>573</v>
      </c>
      <c r="J602" s="80">
        <f t="shared" ca="1" si="23"/>
        <v>0.96790540540540537</v>
      </c>
    </row>
    <row r="603" spans="7:10" x14ac:dyDescent="0.2">
      <c r="G603" s="60">
        <v>593</v>
      </c>
      <c r="H603">
        <f ca="1">IF(AND(G603&lt;=O$3,RAND()&lt;=H$7),1,0)</f>
        <v>0</v>
      </c>
      <c r="I603">
        <f t="shared" ca="1" si="24"/>
        <v>573</v>
      </c>
      <c r="J603" s="80">
        <f t="shared" ca="1" si="23"/>
        <v>0.96627318718381117</v>
      </c>
    </row>
    <row r="604" spans="7:10" x14ac:dyDescent="0.2">
      <c r="G604" s="60">
        <v>594</v>
      </c>
      <c r="H604">
        <f ca="1">IF(AND(G604&lt;=O$3,RAND()&lt;=H$7),1,0)</f>
        <v>1</v>
      </c>
      <c r="I604">
        <f t="shared" ca="1" si="24"/>
        <v>574</v>
      </c>
      <c r="J604" s="80">
        <f t="shared" ca="1" si="23"/>
        <v>0.96632996632996637</v>
      </c>
    </row>
    <row r="605" spans="7:10" x14ac:dyDescent="0.2">
      <c r="G605" s="60">
        <v>595</v>
      </c>
      <c r="H605">
        <f ca="1">IF(AND(G605&lt;=O$3,RAND()&lt;=H$7),1,0)</f>
        <v>1</v>
      </c>
      <c r="I605">
        <f t="shared" ca="1" si="24"/>
        <v>575</v>
      </c>
      <c r="J605" s="80">
        <f t="shared" ca="1" si="23"/>
        <v>0.96638655462184875</v>
      </c>
    </row>
    <row r="606" spans="7:10" x14ac:dyDescent="0.2">
      <c r="G606" s="60">
        <v>596</v>
      </c>
      <c r="H606">
        <f ca="1">IF(AND(G606&lt;=O$3,RAND()&lt;=H$7),1,0)</f>
        <v>1</v>
      </c>
      <c r="I606">
        <f t="shared" ca="1" si="24"/>
        <v>576</v>
      </c>
      <c r="J606" s="80">
        <f t="shared" ca="1" si="23"/>
        <v>0.96644295302013428</v>
      </c>
    </row>
    <row r="607" spans="7:10" x14ac:dyDescent="0.2">
      <c r="G607" s="60">
        <v>597</v>
      </c>
      <c r="H607">
        <f ca="1">IF(AND(G607&lt;=O$3,RAND()&lt;=H$7),1,0)</f>
        <v>1</v>
      </c>
      <c r="I607">
        <f t="shared" ca="1" si="24"/>
        <v>577</v>
      </c>
      <c r="J607" s="80">
        <f t="shared" ca="1" si="23"/>
        <v>0.96649916247906198</v>
      </c>
    </row>
    <row r="608" spans="7:10" x14ac:dyDescent="0.2">
      <c r="G608" s="60">
        <v>598</v>
      </c>
      <c r="H608">
        <f ca="1">IF(AND(G608&lt;=O$3,RAND()&lt;=H$7),1,0)</f>
        <v>1</v>
      </c>
      <c r="I608">
        <f t="shared" ca="1" si="24"/>
        <v>578</v>
      </c>
      <c r="J608" s="80">
        <f t="shared" ca="1" si="23"/>
        <v>0.96655518394648832</v>
      </c>
    </row>
    <row r="609" spans="7:10" x14ac:dyDescent="0.2">
      <c r="G609" s="60">
        <v>599</v>
      </c>
      <c r="H609">
        <f ca="1">IF(AND(G609&lt;=O$3,RAND()&lt;=H$7),1,0)</f>
        <v>1</v>
      </c>
      <c r="I609">
        <f t="shared" ca="1" si="24"/>
        <v>579</v>
      </c>
      <c r="J609" s="80">
        <f t="shared" ca="1" si="23"/>
        <v>0.96661101836393992</v>
      </c>
    </row>
    <row r="610" spans="7:10" x14ac:dyDescent="0.2">
      <c r="G610" s="60">
        <v>600</v>
      </c>
      <c r="H610">
        <f ca="1">IF(AND(G610&lt;=O$3,RAND()&lt;=H$7),1,0)</f>
        <v>1</v>
      </c>
      <c r="I610">
        <f t="shared" ca="1" si="24"/>
        <v>580</v>
      </c>
      <c r="J610" s="80">
        <f t="shared" ca="1" si="23"/>
        <v>0.96666666666666667</v>
      </c>
    </row>
    <row r="611" spans="7:10" x14ac:dyDescent="0.2">
      <c r="G611" s="60">
        <v>601</v>
      </c>
      <c r="H611">
        <f ca="1">IF(AND(G611&lt;=O$3,RAND()&lt;=H$7),1,0)</f>
        <v>1</v>
      </c>
      <c r="I611">
        <f t="shared" ca="1" si="24"/>
        <v>581</v>
      </c>
      <c r="J611" s="80">
        <f t="shared" ca="1" si="23"/>
        <v>0.96672212978369387</v>
      </c>
    </row>
    <row r="612" spans="7:10" x14ac:dyDescent="0.2">
      <c r="G612" s="60">
        <v>602</v>
      </c>
      <c r="H612">
        <f ca="1">IF(AND(G612&lt;=O$3,RAND()&lt;=H$7),1,0)</f>
        <v>1</v>
      </c>
      <c r="I612">
        <f t="shared" ca="1" si="24"/>
        <v>582</v>
      </c>
      <c r="J612" s="80">
        <f t="shared" ca="1" si="23"/>
        <v>0.96677740863787376</v>
      </c>
    </row>
    <row r="613" spans="7:10" x14ac:dyDescent="0.2">
      <c r="G613" s="60">
        <v>603</v>
      </c>
      <c r="H613">
        <f ca="1">IF(AND(G613&lt;=O$3,RAND()&lt;=H$7),1,0)</f>
        <v>1</v>
      </c>
      <c r="I613">
        <f t="shared" ca="1" si="24"/>
        <v>583</v>
      </c>
      <c r="J613" s="80">
        <f t="shared" ca="1" si="23"/>
        <v>0.96683250414593702</v>
      </c>
    </row>
    <row r="614" spans="7:10" x14ac:dyDescent="0.2">
      <c r="G614" s="60">
        <v>604</v>
      </c>
      <c r="H614">
        <f ca="1">IF(AND(G614&lt;=O$3,RAND()&lt;=H$7),1,0)</f>
        <v>1</v>
      </c>
      <c r="I614">
        <f t="shared" ca="1" si="24"/>
        <v>584</v>
      </c>
      <c r="J614" s="80">
        <f t="shared" ca="1" si="23"/>
        <v>0.9668874172185431</v>
      </c>
    </row>
    <row r="615" spans="7:10" x14ac:dyDescent="0.2">
      <c r="G615" s="60">
        <v>605</v>
      </c>
      <c r="H615">
        <f ca="1">IF(AND(G615&lt;=O$3,RAND()&lt;=H$7),1,0)</f>
        <v>1</v>
      </c>
      <c r="I615">
        <f t="shared" ca="1" si="24"/>
        <v>585</v>
      </c>
      <c r="J615" s="80">
        <f t="shared" ca="1" si="23"/>
        <v>0.96694214876033058</v>
      </c>
    </row>
    <row r="616" spans="7:10" x14ac:dyDescent="0.2">
      <c r="G616" s="60">
        <v>606</v>
      </c>
      <c r="H616">
        <f ca="1">IF(AND(G616&lt;=O$3,RAND()&lt;=H$7),1,0)</f>
        <v>1</v>
      </c>
      <c r="I616">
        <f t="shared" ca="1" si="24"/>
        <v>586</v>
      </c>
      <c r="J616" s="80">
        <f t="shared" ca="1" si="23"/>
        <v>0.96699669966996704</v>
      </c>
    </row>
    <row r="617" spans="7:10" x14ac:dyDescent="0.2">
      <c r="G617" s="60">
        <v>607</v>
      </c>
      <c r="H617">
        <f ca="1">IF(AND(G617&lt;=O$3,RAND()&lt;=H$7),1,0)</f>
        <v>1</v>
      </c>
      <c r="I617">
        <f t="shared" ca="1" si="24"/>
        <v>587</v>
      </c>
      <c r="J617" s="80">
        <f t="shared" ca="1" si="23"/>
        <v>0.9670510708401977</v>
      </c>
    </row>
    <row r="618" spans="7:10" x14ac:dyDescent="0.2">
      <c r="G618" s="60">
        <v>608</v>
      </c>
      <c r="H618">
        <f ca="1">IF(AND(G618&lt;=O$3,RAND()&lt;=H$7),1,0)</f>
        <v>1</v>
      </c>
      <c r="I618">
        <f t="shared" ca="1" si="24"/>
        <v>588</v>
      </c>
      <c r="J618" s="80">
        <f t="shared" ca="1" si="23"/>
        <v>0.96710526315789469</v>
      </c>
    </row>
    <row r="619" spans="7:10" x14ac:dyDescent="0.2">
      <c r="G619" s="60">
        <v>609</v>
      </c>
      <c r="H619">
        <f ca="1">IF(AND(G619&lt;=O$3,RAND()&lt;=H$7),1,0)</f>
        <v>1</v>
      </c>
      <c r="I619">
        <f t="shared" ca="1" si="24"/>
        <v>589</v>
      </c>
      <c r="J619" s="80">
        <f t="shared" ca="1" si="23"/>
        <v>0.96715927750410513</v>
      </c>
    </row>
    <row r="620" spans="7:10" x14ac:dyDescent="0.2">
      <c r="G620" s="60">
        <v>610</v>
      </c>
      <c r="H620">
        <f ca="1">IF(AND(G620&lt;=O$3,RAND()&lt;=H$7),1,0)</f>
        <v>1</v>
      </c>
      <c r="I620">
        <f t="shared" ca="1" si="24"/>
        <v>590</v>
      </c>
      <c r="J620" s="80">
        <f t="shared" ca="1" si="23"/>
        <v>0.96721311475409832</v>
      </c>
    </row>
    <row r="621" spans="7:10" x14ac:dyDescent="0.2">
      <c r="G621" s="60">
        <v>611</v>
      </c>
      <c r="H621">
        <f ca="1">IF(AND(G621&lt;=O$3,RAND()&lt;=H$7),1,0)</f>
        <v>1</v>
      </c>
      <c r="I621">
        <f t="shared" ca="1" si="24"/>
        <v>591</v>
      </c>
      <c r="J621" s="80">
        <f t="shared" ca="1" si="23"/>
        <v>0.96726677577741405</v>
      </c>
    </row>
    <row r="622" spans="7:10" x14ac:dyDescent="0.2">
      <c r="G622" s="60">
        <v>612</v>
      </c>
      <c r="H622">
        <f ca="1">IF(AND(G622&lt;=O$3,RAND()&lt;=H$7),1,0)</f>
        <v>1</v>
      </c>
      <c r="I622">
        <f t="shared" ca="1" si="24"/>
        <v>592</v>
      </c>
      <c r="J622" s="80">
        <f t="shared" ca="1" si="23"/>
        <v>0.9673202614379085</v>
      </c>
    </row>
    <row r="623" spans="7:10" x14ac:dyDescent="0.2">
      <c r="G623" s="60">
        <v>613</v>
      </c>
      <c r="H623">
        <f ca="1">IF(AND(G623&lt;=O$3,RAND()&lt;=H$7),1,0)</f>
        <v>1</v>
      </c>
      <c r="I623">
        <f t="shared" ca="1" si="24"/>
        <v>593</v>
      </c>
      <c r="J623" s="80">
        <f t="shared" ca="1" si="23"/>
        <v>0.96737357259380097</v>
      </c>
    </row>
    <row r="624" spans="7:10" x14ac:dyDescent="0.2">
      <c r="G624" s="60">
        <v>614</v>
      </c>
      <c r="H624">
        <f ca="1">IF(AND(G624&lt;=O$3,RAND()&lt;=H$7),1,0)</f>
        <v>1</v>
      </c>
      <c r="I624">
        <f t="shared" ca="1" si="24"/>
        <v>594</v>
      </c>
      <c r="J624" s="80">
        <f t="shared" ca="1" si="23"/>
        <v>0.96742671009771986</v>
      </c>
    </row>
    <row r="625" spans="7:10" x14ac:dyDescent="0.2">
      <c r="G625" s="60">
        <v>615</v>
      </c>
      <c r="H625">
        <f ca="1">IF(AND(G625&lt;=O$3,RAND()&lt;=H$7),1,0)</f>
        <v>1</v>
      </c>
      <c r="I625">
        <f t="shared" ca="1" si="24"/>
        <v>595</v>
      </c>
      <c r="J625" s="80">
        <f t="shared" ca="1" si="23"/>
        <v>0.96747967479674801</v>
      </c>
    </row>
    <row r="626" spans="7:10" x14ac:dyDescent="0.2">
      <c r="G626" s="60">
        <v>616</v>
      </c>
      <c r="H626">
        <f ca="1">IF(AND(G626&lt;=O$3,RAND()&lt;=H$7),1,0)</f>
        <v>1</v>
      </c>
      <c r="I626">
        <f t="shared" ca="1" si="24"/>
        <v>596</v>
      </c>
      <c r="J626" s="80">
        <f t="shared" ca="1" si="23"/>
        <v>0.96753246753246758</v>
      </c>
    </row>
    <row r="627" spans="7:10" x14ac:dyDescent="0.2">
      <c r="G627" s="60">
        <v>617</v>
      </c>
      <c r="H627">
        <f ca="1">IF(AND(G627&lt;=O$3,RAND()&lt;=H$7),1,0)</f>
        <v>1</v>
      </c>
      <c r="I627">
        <f t="shared" ca="1" si="24"/>
        <v>597</v>
      </c>
      <c r="J627" s="80">
        <f t="shared" ca="1" si="23"/>
        <v>0.96758508914100483</v>
      </c>
    </row>
    <row r="628" spans="7:10" x14ac:dyDescent="0.2">
      <c r="G628" s="60">
        <v>618</v>
      </c>
      <c r="H628">
        <f ca="1">IF(AND(G628&lt;=O$3,RAND()&lt;=H$7),1,0)</f>
        <v>1</v>
      </c>
      <c r="I628">
        <f t="shared" ca="1" si="24"/>
        <v>598</v>
      </c>
      <c r="J628" s="80">
        <f t="shared" ca="1" si="23"/>
        <v>0.96763754045307449</v>
      </c>
    </row>
    <row r="629" spans="7:10" x14ac:dyDescent="0.2">
      <c r="G629" s="60">
        <v>619</v>
      </c>
      <c r="H629">
        <f ca="1">IF(AND(G629&lt;=O$3,RAND()&lt;=H$7),1,0)</f>
        <v>0</v>
      </c>
      <c r="I629">
        <f t="shared" ca="1" si="24"/>
        <v>598</v>
      </c>
      <c r="J629" s="80">
        <f t="shared" ca="1" si="23"/>
        <v>0.96607431340872374</v>
      </c>
    </row>
    <row r="630" spans="7:10" x14ac:dyDescent="0.2">
      <c r="G630" s="60">
        <v>620</v>
      </c>
      <c r="H630">
        <f ca="1">IF(AND(G630&lt;=O$3,RAND()&lt;=H$7),1,0)</f>
        <v>1</v>
      </c>
      <c r="I630">
        <f t="shared" ca="1" si="24"/>
        <v>599</v>
      </c>
      <c r="J630" s="80">
        <f t="shared" ca="1" si="23"/>
        <v>0.96612903225806457</v>
      </c>
    </row>
    <row r="631" spans="7:10" x14ac:dyDescent="0.2">
      <c r="G631" s="60">
        <v>621</v>
      </c>
      <c r="H631">
        <f ca="1">IF(AND(G631&lt;=O$3,RAND()&lt;=H$7),1,0)</f>
        <v>1</v>
      </c>
      <c r="I631">
        <f t="shared" ca="1" si="24"/>
        <v>600</v>
      </c>
      <c r="J631" s="80">
        <f t="shared" ca="1" si="23"/>
        <v>0.96618357487922701</v>
      </c>
    </row>
    <row r="632" spans="7:10" x14ac:dyDescent="0.2">
      <c r="G632" s="60">
        <v>622</v>
      </c>
      <c r="H632">
        <f ca="1">IF(AND(G632&lt;=O$3,RAND()&lt;=H$7),1,0)</f>
        <v>1</v>
      </c>
      <c r="I632">
        <f t="shared" ca="1" si="24"/>
        <v>601</v>
      </c>
      <c r="J632" s="80">
        <f t="shared" ca="1" si="23"/>
        <v>0.9662379421221865</v>
      </c>
    </row>
    <row r="633" spans="7:10" x14ac:dyDescent="0.2">
      <c r="G633" s="60">
        <v>623</v>
      </c>
      <c r="H633">
        <f ca="1">IF(AND(G633&lt;=O$3,RAND()&lt;=H$7),1,0)</f>
        <v>1</v>
      </c>
      <c r="I633">
        <f t="shared" ca="1" si="24"/>
        <v>602</v>
      </c>
      <c r="J633" s="80">
        <f t="shared" ca="1" si="23"/>
        <v>0.9662921348314607</v>
      </c>
    </row>
    <row r="634" spans="7:10" x14ac:dyDescent="0.2">
      <c r="G634" s="60">
        <v>624</v>
      </c>
      <c r="H634">
        <f ca="1">IF(AND(G634&lt;=O$3,RAND()&lt;=H$7),1,0)</f>
        <v>1</v>
      </c>
      <c r="I634">
        <f t="shared" ca="1" si="24"/>
        <v>603</v>
      </c>
      <c r="J634" s="80">
        <f t="shared" ca="1" si="23"/>
        <v>0.96634615384615385</v>
      </c>
    </row>
    <row r="635" spans="7:10" x14ac:dyDescent="0.2">
      <c r="G635" s="60">
        <v>625</v>
      </c>
      <c r="H635">
        <f ca="1">IF(AND(G635&lt;=O$3,RAND()&lt;=H$7),1,0)</f>
        <v>1</v>
      </c>
      <c r="I635">
        <f t="shared" ca="1" si="24"/>
        <v>604</v>
      </c>
      <c r="J635" s="80">
        <f t="shared" ca="1" si="23"/>
        <v>0.96640000000000004</v>
      </c>
    </row>
    <row r="636" spans="7:10" x14ac:dyDescent="0.2">
      <c r="G636" s="60">
        <v>626</v>
      </c>
      <c r="H636">
        <f ca="1">IF(AND(G636&lt;=O$3,RAND()&lt;=H$7),1,0)</f>
        <v>1</v>
      </c>
      <c r="I636">
        <f t="shared" ca="1" si="24"/>
        <v>605</v>
      </c>
      <c r="J636" s="80">
        <f t="shared" ca="1" si="23"/>
        <v>0.9664536741214057</v>
      </c>
    </row>
    <row r="637" spans="7:10" x14ac:dyDescent="0.2">
      <c r="G637" s="60">
        <v>627</v>
      </c>
      <c r="H637">
        <f ca="1">IF(AND(G637&lt;=O$3,RAND()&lt;=H$7),1,0)</f>
        <v>1</v>
      </c>
      <c r="I637">
        <f t="shared" ca="1" si="24"/>
        <v>606</v>
      </c>
      <c r="J637" s="80">
        <f t="shared" ca="1" si="23"/>
        <v>0.96650717703349287</v>
      </c>
    </row>
    <row r="638" spans="7:10" x14ac:dyDescent="0.2">
      <c r="G638" s="60">
        <v>628</v>
      </c>
      <c r="H638">
        <f ca="1">IF(AND(G638&lt;=O$3,RAND()&lt;=H$7),1,0)</f>
        <v>1</v>
      </c>
      <c r="I638">
        <f t="shared" ca="1" si="24"/>
        <v>607</v>
      </c>
      <c r="J638" s="80">
        <f t="shared" ca="1" si="23"/>
        <v>0.96656050955414008</v>
      </c>
    </row>
    <row r="639" spans="7:10" x14ac:dyDescent="0.2">
      <c r="G639" s="60">
        <v>629</v>
      </c>
      <c r="H639">
        <f ca="1">IF(AND(G639&lt;=O$3,RAND()&lt;=H$7),1,0)</f>
        <v>1</v>
      </c>
      <c r="I639">
        <f t="shared" ca="1" si="24"/>
        <v>608</v>
      </c>
      <c r="J639" s="80">
        <f t="shared" ca="1" si="23"/>
        <v>0.96661367249602548</v>
      </c>
    </row>
    <row r="640" spans="7:10" x14ac:dyDescent="0.2">
      <c r="G640" s="60">
        <v>630</v>
      </c>
      <c r="H640">
        <f ca="1">IF(AND(G640&lt;=O$3,RAND()&lt;=H$7),1,0)</f>
        <v>1</v>
      </c>
      <c r="I640">
        <f t="shared" ca="1" si="24"/>
        <v>609</v>
      </c>
      <c r="J640" s="80">
        <f t="shared" ca="1" si="23"/>
        <v>0.96666666666666667</v>
      </c>
    </row>
    <row r="641" spans="7:10" x14ac:dyDescent="0.2">
      <c r="G641" s="60">
        <v>631</v>
      </c>
      <c r="H641">
        <f ca="1">IF(AND(G641&lt;=O$3,RAND()&lt;=H$7),1,0)</f>
        <v>1</v>
      </c>
      <c r="I641">
        <f t="shared" ca="1" si="24"/>
        <v>610</v>
      </c>
      <c r="J641" s="80">
        <f t="shared" ca="1" si="23"/>
        <v>0.9667194928684627</v>
      </c>
    </row>
    <row r="642" spans="7:10" x14ac:dyDescent="0.2">
      <c r="G642" s="60">
        <v>632</v>
      </c>
      <c r="H642">
        <f ca="1">IF(AND(G642&lt;=O$3,RAND()&lt;=H$7),1,0)</f>
        <v>1</v>
      </c>
      <c r="I642">
        <f t="shared" ca="1" si="24"/>
        <v>611</v>
      </c>
      <c r="J642" s="80">
        <f t="shared" ca="1" si="23"/>
        <v>0.96677215189873422</v>
      </c>
    </row>
    <row r="643" spans="7:10" x14ac:dyDescent="0.2">
      <c r="G643" s="60">
        <v>633</v>
      </c>
      <c r="H643">
        <f ca="1">IF(AND(G643&lt;=O$3,RAND()&lt;=H$7),1,0)</f>
        <v>1</v>
      </c>
      <c r="I643">
        <f t="shared" ca="1" si="24"/>
        <v>612</v>
      </c>
      <c r="J643" s="80">
        <f t="shared" ca="1" si="23"/>
        <v>0.96682464454976302</v>
      </c>
    </row>
    <row r="644" spans="7:10" x14ac:dyDescent="0.2">
      <c r="G644" s="60">
        <v>634</v>
      </c>
      <c r="H644">
        <f ca="1">IF(AND(G644&lt;=O$3,RAND()&lt;=H$7),1,0)</f>
        <v>1</v>
      </c>
      <c r="I644">
        <f t="shared" ca="1" si="24"/>
        <v>613</v>
      </c>
      <c r="J644" s="80">
        <f t="shared" ca="1" si="23"/>
        <v>0.96687697160883279</v>
      </c>
    </row>
    <row r="645" spans="7:10" x14ac:dyDescent="0.2">
      <c r="G645" s="60">
        <v>635</v>
      </c>
      <c r="H645">
        <f ca="1">IF(AND(G645&lt;=O$3,RAND()&lt;=H$7),1,0)</f>
        <v>1</v>
      </c>
      <c r="I645">
        <f t="shared" ca="1" si="24"/>
        <v>614</v>
      </c>
      <c r="J645" s="80">
        <f t="shared" ca="1" si="23"/>
        <v>0.96692913385826773</v>
      </c>
    </row>
    <row r="646" spans="7:10" x14ac:dyDescent="0.2">
      <c r="G646" s="60">
        <v>636</v>
      </c>
      <c r="H646">
        <f ca="1">IF(AND(G646&lt;=O$3,RAND()&lt;=H$7),1,0)</f>
        <v>1</v>
      </c>
      <c r="I646">
        <f t="shared" ca="1" si="24"/>
        <v>615</v>
      </c>
      <c r="J646" s="80">
        <f t="shared" ca="1" si="23"/>
        <v>0.96698113207547165</v>
      </c>
    </row>
    <row r="647" spans="7:10" x14ac:dyDescent="0.2">
      <c r="G647" s="60">
        <v>637</v>
      </c>
      <c r="H647">
        <f ca="1">IF(AND(G647&lt;=O$3,RAND()&lt;=H$7),1,0)</f>
        <v>1</v>
      </c>
      <c r="I647">
        <f t="shared" ca="1" si="24"/>
        <v>616</v>
      </c>
      <c r="J647" s="80">
        <f t="shared" ca="1" si="23"/>
        <v>0.96703296703296704</v>
      </c>
    </row>
    <row r="648" spans="7:10" x14ac:dyDescent="0.2">
      <c r="G648" s="60">
        <v>638</v>
      </c>
      <c r="H648">
        <f ca="1">IF(AND(G648&lt;=O$3,RAND()&lt;=H$7),1,0)</f>
        <v>0</v>
      </c>
      <c r="I648">
        <f t="shared" ca="1" si="24"/>
        <v>616</v>
      </c>
      <c r="J648" s="80">
        <f t="shared" ca="1" si="23"/>
        <v>0.96551724137931039</v>
      </c>
    </row>
    <row r="649" spans="7:10" x14ac:dyDescent="0.2">
      <c r="G649" s="60">
        <v>639</v>
      </c>
      <c r="H649">
        <f ca="1">IF(AND(G649&lt;=O$3,RAND()&lt;=H$7),1,0)</f>
        <v>1</v>
      </c>
      <c r="I649">
        <f t="shared" ca="1" si="24"/>
        <v>617</v>
      </c>
      <c r="J649" s="80">
        <f t="shared" ca="1" si="23"/>
        <v>0.96557120500782467</v>
      </c>
    </row>
    <row r="650" spans="7:10" x14ac:dyDescent="0.2">
      <c r="G650" s="60">
        <v>640</v>
      </c>
      <c r="H650">
        <f ca="1">IF(AND(G650&lt;=O$3,RAND()&lt;=H$7),1,0)</f>
        <v>1</v>
      </c>
      <c r="I650">
        <f t="shared" ca="1" si="24"/>
        <v>618</v>
      </c>
      <c r="J650" s="80">
        <f t="shared" ca="1" si="23"/>
        <v>0.96562499999999996</v>
      </c>
    </row>
    <row r="651" spans="7:10" x14ac:dyDescent="0.2">
      <c r="G651" s="60">
        <v>641</v>
      </c>
      <c r="H651">
        <f ca="1">IF(AND(G651&lt;=O$3,RAND()&lt;=H$7),1,0)</f>
        <v>1</v>
      </c>
      <c r="I651">
        <f t="shared" ca="1" si="24"/>
        <v>619</v>
      </c>
      <c r="J651" s="80">
        <f t="shared" ca="1" si="23"/>
        <v>0.96567862714508579</v>
      </c>
    </row>
    <row r="652" spans="7:10" x14ac:dyDescent="0.2">
      <c r="G652" s="60">
        <v>642</v>
      </c>
      <c r="H652">
        <f ca="1">IF(AND(G652&lt;=O$3,RAND()&lt;=H$7),1,0)</f>
        <v>1</v>
      </c>
      <c r="I652">
        <f t="shared" ca="1" si="24"/>
        <v>620</v>
      </c>
      <c r="J652" s="80">
        <f t="shared" ref="J652:J715" ca="1" si="25">I652/G652</f>
        <v>0.96573208722741433</v>
      </c>
    </row>
    <row r="653" spans="7:10" x14ac:dyDescent="0.2">
      <c r="G653" s="60">
        <v>643</v>
      </c>
      <c r="H653">
        <f ca="1">IF(AND(G653&lt;=O$3,RAND()&lt;=H$7),1,0)</f>
        <v>1</v>
      </c>
      <c r="I653">
        <f t="shared" ref="I653:I716" ca="1" si="26">H653+I652</f>
        <v>621</v>
      </c>
      <c r="J653" s="80">
        <f t="shared" ca="1" si="25"/>
        <v>0.96578538102643852</v>
      </c>
    </row>
    <row r="654" spans="7:10" x14ac:dyDescent="0.2">
      <c r="G654" s="60">
        <v>644</v>
      </c>
      <c r="H654">
        <f ca="1">IF(AND(G654&lt;=O$3,RAND()&lt;=H$7),1,0)</f>
        <v>1</v>
      </c>
      <c r="I654">
        <f t="shared" ca="1" si="26"/>
        <v>622</v>
      </c>
      <c r="J654" s="80">
        <f t="shared" ca="1" si="25"/>
        <v>0.96583850931677018</v>
      </c>
    </row>
    <row r="655" spans="7:10" x14ac:dyDescent="0.2">
      <c r="G655" s="60">
        <v>645</v>
      </c>
      <c r="H655">
        <f ca="1">IF(AND(G655&lt;=O$3,RAND()&lt;=H$7),1,0)</f>
        <v>1</v>
      </c>
      <c r="I655">
        <f t="shared" ca="1" si="26"/>
        <v>623</v>
      </c>
      <c r="J655" s="80">
        <f t="shared" ca="1" si="25"/>
        <v>0.96589147286821708</v>
      </c>
    </row>
    <row r="656" spans="7:10" x14ac:dyDescent="0.2">
      <c r="G656" s="60">
        <v>646</v>
      </c>
      <c r="H656">
        <f ca="1">IF(AND(G656&lt;=O$3,RAND()&lt;=H$7),1,0)</f>
        <v>1</v>
      </c>
      <c r="I656">
        <f t="shared" ca="1" si="26"/>
        <v>624</v>
      </c>
      <c r="J656" s="80">
        <f t="shared" ca="1" si="25"/>
        <v>0.96594427244582048</v>
      </c>
    </row>
    <row r="657" spans="7:10" x14ac:dyDescent="0.2">
      <c r="G657" s="60">
        <v>647</v>
      </c>
      <c r="H657">
        <f ca="1">IF(AND(G657&lt;=O$3,RAND()&lt;=H$7),1,0)</f>
        <v>1</v>
      </c>
      <c r="I657">
        <f t="shared" ca="1" si="26"/>
        <v>625</v>
      </c>
      <c r="J657" s="80">
        <f t="shared" ca="1" si="25"/>
        <v>0.96599690880989186</v>
      </c>
    </row>
    <row r="658" spans="7:10" x14ac:dyDescent="0.2">
      <c r="G658" s="60">
        <v>648</v>
      </c>
      <c r="H658">
        <f ca="1">IF(AND(G658&lt;=O$3,RAND()&lt;=H$7),1,0)</f>
        <v>1</v>
      </c>
      <c r="I658">
        <f t="shared" ca="1" si="26"/>
        <v>626</v>
      </c>
      <c r="J658" s="80">
        <f t="shared" ca="1" si="25"/>
        <v>0.96604938271604934</v>
      </c>
    </row>
    <row r="659" spans="7:10" x14ac:dyDescent="0.2">
      <c r="G659" s="60">
        <v>649</v>
      </c>
      <c r="H659">
        <f ca="1">IF(AND(G659&lt;=O$3,RAND()&lt;=H$7),1,0)</f>
        <v>1</v>
      </c>
      <c r="I659">
        <f t="shared" ca="1" si="26"/>
        <v>627</v>
      </c>
      <c r="J659" s="80">
        <f t="shared" ca="1" si="25"/>
        <v>0.96610169491525422</v>
      </c>
    </row>
    <row r="660" spans="7:10" x14ac:dyDescent="0.2">
      <c r="G660" s="60">
        <v>650</v>
      </c>
      <c r="H660">
        <f ca="1">IF(AND(G660&lt;=O$3,RAND()&lt;=H$7),1,0)</f>
        <v>1</v>
      </c>
      <c r="I660">
        <f t="shared" ca="1" si="26"/>
        <v>628</v>
      </c>
      <c r="J660" s="80">
        <f t="shared" ca="1" si="25"/>
        <v>0.96615384615384614</v>
      </c>
    </row>
    <row r="661" spans="7:10" x14ac:dyDescent="0.2">
      <c r="G661" s="60">
        <v>651</v>
      </c>
      <c r="H661">
        <f ca="1">IF(AND(G661&lt;=O$3,RAND()&lt;=H$7),1,0)</f>
        <v>1</v>
      </c>
      <c r="I661">
        <f t="shared" ca="1" si="26"/>
        <v>629</v>
      </c>
      <c r="J661" s="80">
        <f t="shared" ca="1" si="25"/>
        <v>0.96620583717357911</v>
      </c>
    </row>
    <row r="662" spans="7:10" x14ac:dyDescent="0.2">
      <c r="G662" s="60">
        <v>652</v>
      </c>
      <c r="H662">
        <f ca="1">IF(AND(G662&lt;=O$3,RAND()&lt;=H$7),1,0)</f>
        <v>1</v>
      </c>
      <c r="I662">
        <f t="shared" ca="1" si="26"/>
        <v>630</v>
      </c>
      <c r="J662" s="80">
        <f t="shared" ca="1" si="25"/>
        <v>0.96625766871165641</v>
      </c>
    </row>
    <row r="663" spans="7:10" x14ac:dyDescent="0.2">
      <c r="G663" s="60">
        <v>653</v>
      </c>
      <c r="H663">
        <f ca="1">IF(AND(G663&lt;=O$3,RAND()&lt;=H$7),1,0)</f>
        <v>1</v>
      </c>
      <c r="I663">
        <f t="shared" ca="1" si="26"/>
        <v>631</v>
      </c>
      <c r="J663" s="80">
        <f t="shared" ca="1" si="25"/>
        <v>0.96630934150076575</v>
      </c>
    </row>
    <row r="664" spans="7:10" x14ac:dyDescent="0.2">
      <c r="G664" s="60">
        <v>654</v>
      </c>
      <c r="H664">
        <f ca="1">IF(AND(G664&lt;=O$3,RAND()&lt;=H$7),1,0)</f>
        <v>1</v>
      </c>
      <c r="I664">
        <f t="shared" ca="1" si="26"/>
        <v>632</v>
      </c>
      <c r="J664" s="80">
        <f t="shared" ca="1" si="25"/>
        <v>0.96636085626911317</v>
      </c>
    </row>
    <row r="665" spans="7:10" x14ac:dyDescent="0.2">
      <c r="G665" s="60">
        <v>655</v>
      </c>
      <c r="H665">
        <f ca="1">IF(AND(G665&lt;=O$3,RAND()&lt;=H$7),1,0)</f>
        <v>1</v>
      </c>
      <c r="I665">
        <f t="shared" ca="1" si="26"/>
        <v>633</v>
      </c>
      <c r="J665" s="80">
        <f t="shared" ca="1" si="25"/>
        <v>0.96641221374045805</v>
      </c>
    </row>
    <row r="666" spans="7:10" x14ac:dyDescent="0.2">
      <c r="G666" s="60">
        <v>656</v>
      </c>
      <c r="H666">
        <f ca="1">IF(AND(G666&lt;=O$3,RAND()&lt;=H$7),1,0)</f>
        <v>1</v>
      </c>
      <c r="I666">
        <f t="shared" ca="1" si="26"/>
        <v>634</v>
      </c>
      <c r="J666" s="80">
        <f t="shared" ca="1" si="25"/>
        <v>0.96646341463414631</v>
      </c>
    </row>
    <row r="667" spans="7:10" x14ac:dyDescent="0.2">
      <c r="G667" s="60">
        <v>657</v>
      </c>
      <c r="H667">
        <f ca="1">IF(AND(G667&lt;=O$3,RAND()&lt;=H$7),1,0)</f>
        <v>1</v>
      </c>
      <c r="I667">
        <f t="shared" ca="1" si="26"/>
        <v>635</v>
      </c>
      <c r="J667" s="80">
        <f t="shared" ca="1" si="25"/>
        <v>0.9665144596651446</v>
      </c>
    </row>
    <row r="668" spans="7:10" x14ac:dyDescent="0.2">
      <c r="G668" s="60">
        <v>658</v>
      </c>
      <c r="H668">
        <f ca="1">IF(AND(G668&lt;=O$3,RAND()&lt;=H$7),1,0)</f>
        <v>0</v>
      </c>
      <c r="I668">
        <f t="shared" ca="1" si="26"/>
        <v>635</v>
      </c>
      <c r="J668" s="80">
        <f t="shared" ca="1" si="25"/>
        <v>0.96504559270516721</v>
      </c>
    </row>
    <row r="669" spans="7:10" x14ac:dyDescent="0.2">
      <c r="G669" s="60">
        <v>659</v>
      </c>
      <c r="H669">
        <f ca="1">IF(AND(G669&lt;=O$3,RAND()&lt;=H$7),1,0)</f>
        <v>1</v>
      </c>
      <c r="I669">
        <f t="shared" ca="1" si="26"/>
        <v>636</v>
      </c>
      <c r="J669" s="80">
        <f t="shared" ca="1" si="25"/>
        <v>0.96509863429438547</v>
      </c>
    </row>
    <row r="670" spans="7:10" x14ac:dyDescent="0.2">
      <c r="G670" s="60">
        <v>660</v>
      </c>
      <c r="H670">
        <f ca="1">IF(AND(G670&lt;=O$3,RAND()&lt;=H$7),1,0)</f>
        <v>1</v>
      </c>
      <c r="I670">
        <f t="shared" ca="1" si="26"/>
        <v>637</v>
      </c>
      <c r="J670" s="80">
        <f t="shared" ca="1" si="25"/>
        <v>0.9651515151515152</v>
      </c>
    </row>
    <row r="671" spans="7:10" x14ac:dyDescent="0.2">
      <c r="G671" s="60">
        <v>661</v>
      </c>
      <c r="H671">
        <f ca="1">IF(AND(G671&lt;=O$3,RAND()&lt;=H$7),1,0)</f>
        <v>1</v>
      </c>
      <c r="I671">
        <f t="shared" ca="1" si="26"/>
        <v>638</v>
      </c>
      <c r="J671" s="80">
        <f t="shared" ca="1" si="25"/>
        <v>0.96520423600605143</v>
      </c>
    </row>
    <row r="672" spans="7:10" x14ac:dyDescent="0.2">
      <c r="G672" s="60">
        <v>662</v>
      </c>
      <c r="H672">
        <f ca="1">IF(AND(G672&lt;=O$3,RAND()&lt;=H$7),1,0)</f>
        <v>1</v>
      </c>
      <c r="I672">
        <f t="shared" ca="1" si="26"/>
        <v>639</v>
      </c>
      <c r="J672" s="80">
        <f t="shared" ca="1" si="25"/>
        <v>0.96525679758308158</v>
      </c>
    </row>
    <row r="673" spans="7:10" x14ac:dyDescent="0.2">
      <c r="G673" s="60">
        <v>663</v>
      </c>
      <c r="H673">
        <f ca="1">IF(AND(G673&lt;=O$3,RAND()&lt;=H$7),1,0)</f>
        <v>1</v>
      </c>
      <c r="I673">
        <f t="shared" ca="1" si="26"/>
        <v>640</v>
      </c>
      <c r="J673" s="80">
        <f t="shared" ca="1" si="25"/>
        <v>0.96530920060331826</v>
      </c>
    </row>
    <row r="674" spans="7:10" x14ac:dyDescent="0.2">
      <c r="G674" s="60">
        <v>664</v>
      </c>
      <c r="H674">
        <f ca="1">IF(AND(G674&lt;=O$3,RAND()&lt;=H$7),1,0)</f>
        <v>1</v>
      </c>
      <c r="I674">
        <f t="shared" ca="1" si="26"/>
        <v>641</v>
      </c>
      <c r="J674" s="80">
        <f t="shared" ca="1" si="25"/>
        <v>0.96536144578313254</v>
      </c>
    </row>
    <row r="675" spans="7:10" x14ac:dyDescent="0.2">
      <c r="G675" s="60">
        <v>665</v>
      </c>
      <c r="H675">
        <f ca="1">IF(AND(G675&lt;=O$3,RAND()&lt;=H$7),1,0)</f>
        <v>1</v>
      </c>
      <c r="I675">
        <f t="shared" ca="1" si="26"/>
        <v>642</v>
      </c>
      <c r="J675" s="80">
        <f t="shared" ca="1" si="25"/>
        <v>0.9654135338345865</v>
      </c>
    </row>
    <row r="676" spans="7:10" x14ac:dyDescent="0.2">
      <c r="G676" s="60">
        <v>666</v>
      </c>
      <c r="H676">
        <f ca="1">IF(AND(G676&lt;=O$3,RAND()&lt;=H$7),1,0)</f>
        <v>1</v>
      </c>
      <c r="I676">
        <f t="shared" ca="1" si="26"/>
        <v>643</v>
      </c>
      <c r="J676" s="80">
        <f t="shared" ca="1" si="25"/>
        <v>0.96546546546546541</v>
      </c>
    </row>
    <row r="677" spans="7:10" x14ac:dyDescent="0.2">
      <c r="G677" s="60">
        <v>667</v>
      </c>
      <c r="H677">
        <f ca="1">IF(AND(G677&lt;=O$3,RAND()&lt;=H$7),1,0)</f>
        <v>1</v>
      </c>
      <c r="I677">
        <f t="shared" ca="1" si="26"/>
        <v>644</v>
      </c>
      <c r="J677" s="80">
        <f t="shared" ca="1" si="25"/>
        <v>0.96551724137931039</v>
      </c>
    </row>
    <row r="678" spans="7:10" x14ac:dyDescent="0.2">
      <c r="G678" s="60">
        <v>668</v>
      </c>
      <c r="H678">
        <f ca="1">IF(AND(G678&lt;=O$3,RAND()&lt;=H$7),1,0)</f>
        <v>1</v>
      </c>
      <c r="I678">
        <f t="shared" ca="1" si="26"/>
        <v>645</v>
      </c>
      <c r="J678" s="80">
        <f t="shared" ca="1" si="25"/>
        <v>0.96556886227544914</v>
      </c>
    </row>
    <row r="679" spans="7:10" x14ac:dyDescent="0.2">
      <c r="G679" s="60">
        <v>669</v>
      </c>
      <c r="H679">
        <f ca="1">IF(AND(G679&lt;=O$3,RAND()&lt;=H$7),1,0)</f>
        <v>1</v>
      </c>
      <c r="I679">
        <f t="shared" ca="1" si="26"/>
        <v>646</v>
      </c>
      <c r="J679" s="80">
        <f t="shared" ca="1" si="25"/>
        <v>0.96562032884902838</v>
      </c>
    </row>
    <row r="680" spans="7:10" x14ac:dyDescent="0.2">
      <c r="G680" s="60">
        <v>670</v>
      </c>
      <c r="H680">
        <f ca="1">IF(AND(G680&lt;=O$3,RAND()&lt;=H$7),1,0)</f>
        <v>1</v>
      </c>
      <c r="I680">
        <f t="shared" ca="1" si="26"/>
        <v>647</v>
      </c>
      <c r="J680" s="80">
        <f t="shared" ca="1" si="25"/>
        <v>0.96567164179104481</v>
      </c>
    </row>
    <row r="681" spans="7:10" x14ac:dyDescent="0.2">
      <c r="G681" s="60">
        <v>671</v>
      </c>
      <c r="H681">
        <f ca="1">IF(AND(G681&lt;=O$3,RAND()&lt;=H$7),1,0)</f>
        <v>1</v>
      </c>
      <c r="I681">
        <f t="shared" ca="1" si="26"/>
        <v>648</v>
      </c>
      <c r="J681" s="80">
        <f t="shared" ca="1" si="25"/>
        <v>0.96572280178837555</v>
      </c>
    </row>
    <row r="682" spans="7:10" x14ac:dyDescent="0.2">
      <c r="G682" s="60">
        <v>672</v>
      </c>
      <c r="H682">
        <f ca="1">IF(AND(G682&lt;=O$3,RAND()&lt;=H$7),1,0)</f>
        <v>1</v>
      </c>
      <c r="I682">
        <f t="shared" ca="1" si="26"/>
        <v>649</v>
      </c>
      <c r="J682" s="80">
        <f t="shared" ca="1" si="25"/>
        <v>0.96577380952380953</v>
      </c>
    </row>
    <row r="683" spans="7:10" x14ac:dyDescent="0.2">
      <c r="G683" s="60">
        <v>673</v>
      </c>
      <c r="H683">
        <f ca="1">IF(AND(G683&lt;=O$3,RAND()&lt;=H$7),1,0)</f>
        <v>1</v>
      </c>
      <c r="I683">
        <f t="shared" ca="1" si="26"/>
        <v>650</v>
      </c>
      <c r="J683" s="80">
        <f t="shared" ca="1" si="25"/>
        <v>0.96582466567607728</v>
      </c>
    </row>
    <row r="684" spans="7:10" x14ac:dyDescent="0.2">
      <c r="G684" s="60">
        <v>674</v>
      </c>
      <c r="H684">
        <f ca="1">IF(AND(G684&lt;=O$3,RAND()&lt;=H$7),1,0)</f>
        <v>1</v>
      </c>
      <c r="I684">
        <f t="shared" ca="1" si="26"/>
        <v>651</v>
      </c>
      <c r="J684" s="80">
        <f t="shared" ca="1" si="25"/>
        <v>0.96587537091988129</v>
      </c>
    </row>
    <row r="685" spans="7:10" x14ac:dyDescent="0.2">
      <c r="G685" s="60">
        <v>675</v>
      </c>
      <c r="H685">
        <f ca="1">IF(AND(G685&lt;=O$3,RAND()&lt;=H$7),1,0)</f>
        <v>1</v>
      </c>
      <c r="I685">
        <f t="shared" ca="1" si="26"/>
        <v>652</v>
      </c>
      <c r="J685" s="80">
        <f t="shared" ca="1" si="25"/>
        <v>0.96592592592592597</v>
      </c>
    </row>
    <row r="686" spans="7:10" x14ac:dyDescent="0.2">
      <c r="G686" s="60">
        <v>676</v>
      </c>
      <c r="H686">
        <f ca="1">IF(AND(G686&lt;=O$3,RAND()&lt;=H$7),1,0)</f>
        <v>0</v>
      </c>
      <c r="I686">
        <f t="shared" ca="1" si="26"/>
        <v>652</v>
      </c>
      <c r="J686" s="80">
        <f t="shared" ca="1" si="25"/>
        <v>0.96449704142011838</v>
      </c>
    </row>
    <row r="687" spans="7:10" x14ac:dyDescent="0.2">
      <c r="G687" s="60">
        <v>677</v>
      </c>
      <c r="H687">
        <f ca="1">IF(AND(G687&lt;=O$3,RAND()&lt;=H$7),1,0)</f>
        <v>0</v>
      </c>
      <c r="I687">
        <f t="shared" ca="1" si="26"/>
        <v>652</v>
      </c>
      <c r="J687" s="80">
        <f t="shared" ca="1" si="25"/>
        <v>0.96307237813884783</v>
      </c>
    </row>
    <row r="688" spans="7:10" x14ac:dyDescent="0.2">
      <c r="G688" s="60">
        <v>678</v>
      </c>
      <c r="H688">
        <f ca="1">IF(AND(G688&lt;=O$3,RAND()&lt;=H$7),1,0)</f>
        <v>1</v>
      </c>
      <c r="I688">
        <f t="shared" ca="1" si="26"/>
        <v>653</v>
      </c>
      <c r="J688" s="80">
        <f t="shared" ca="1" si="25"/>
        <v>0.96312684365781709</v>
      </c>
    </row>
    <row r="689" spans="7:10" x14ac:dyDescent="0.2">
      <c r="G689" s="60">
        <v>679</v>
      </c>
      <c r="H689">
        <f ca="1">IF(AND(G689&lt;=O$3,RAND()&lt;=H$7),1,0)</f>
        <v>1</v>
      </c>
      <c r="I689">
        <f t="shared" ca="1" si="26"/>
        <v>654</v>
      </c>
      <c r="J689" s="80">
        <f t="shared" ca="1" si="25"/>
        <v>0.96318114874815908</v>
      </c>
    </row>
    <row r="690" spans="7:10" x14ac:dyDescent="0.2">
      <c r="G690" s="60">
        <v>680</v>
      </c>
      <c r="H690">
        <f ca="1">IF(AND(G690&lt;=O$3,RAND()&lt;=H$7),1,0)</f>
        <v>1</v>
      </c>
      <c r="I690">
        <f t="shared" ca="1" si="26"/>
        <v>655</v>
      </c>
      <c r="J690" s="80">
        <f t="shared" ca="1" si="25"/>
        <v>0.96323529411764708</v>
      </c>
    </row>
    <row r="691" spans="7:10" x14ac:dyDescent="0.2">
      <c r="G691" s="60">
        <v>681</v>
      </c>
      <c r="H691">
        <f ca="1">IF(AND(G691&lt;=O$3,RAND()&lt;=H$7),1,0)</f>
        <v>1</v>
      </c>
      <c r="I691">
        <f t="shared" ca="1" si="26"/>
        <v>656</v>
      </c>
      <c r="J691" s="80">
        <f t="shared" ca="1" si="25"/>
        <v>0.96328928046989726</v>
      </c>
    </row>
    <row r="692" spans="7:10" x14ac:dyDescent="0.2">
      <c r="G692" s="60">
        <v>682</v>
      </c>
      <c r="H692">
        <f ca="1">IF(AND(G692&lt;=O$3,RAND()&lt;=H$7),1,0)</f>
        <v>1</v>
      </c>
      <c r="I692">
        <f t="shared" ca="1" si="26"/>
        <v>657</v>
      </c>
      <c r="J692" s="80">
        <f t="shared" ca="1" si="25"/>
        <v>0.96334310850439886</v>
      </c>
    </row>
    <row r="693" spans="7:10" x14ac:dyDescent="0.2">
      <c r="G693" s="60">
        <v>683</v>
      </c>
      <c r="H693">
        <f ca="1">IF(AND(G693&lt;=O$3,RAND()&lt;=H$7),1,0)</f>
        <v>1</v>
      </c>
      <c r="I693">
        <f t="shared" ca="1" si="26"/>
        <v>658</v>
      </c>
      <c r="J693" s="80">
        <f t="shared" ca="1" si="25"/>
        <v>0.96339677891654463</v>
      </c>
    </row>
    <row r="694" spans="7:10" x14ac:dyDescent="0.2">
      <c r="G694" s="60">
        <v>684</v>
      </c>
      <c r="H694">
        <f ca="1">IF(AND(G694&lt;=O$3,RAND()&lt;=H$7),1,0)</f>
        <v>1</v>
      </c>
      <c r="I694">
        <f t="shared" ca="1" si="26"/>
        <v>659</v>
      </c>
      <c r="J694" s="80">
        <f t="shared" ca="1" si="25"/>
        <v>0.96345029239766078</v>
      </c>
    </row>
    <row r="695" spans="7:10" x14ac:dyDescent="0.2">
      <c r="G695" s="60">
        <v>685</v>
      </c>
      <c r="H695">
        <f ca="1">IF(AND(G695&lt;=O$3,RAND()&lt;=H$7),1,0)</f>
        <v>1</v>
      </c>
      <c r="I695">
        <f t="shared" ca="1" si="26"/>
        <v>660</v>
      </c>
      <c r="J695" s="80">
        <f t="shared" ca="1" si="25"/>
        <v>0.96350364963503654</v>
      </c>
    </row>
    <row r="696" spans="7:10" x14ac:dyDescent="0.2">
      <c r="G696" s="60">
        <v>686</v>
      </c>
      <c r="H696">
        <f ca="1">IF(AND(G696&lt;=O$3,RAND()&lt;=H$7),1,0)</f>
        <v>1</v>
      </c>
      <c r="I696">
        <f t="shared" ca="1" si="26"/>
        <v>661</v>
      </c>
      <c r="J696" s="80">
        <f t="shared" ca="1" si="25"/>
        <v>0.96355685131195334</v>
      </c>
    </row>
    <row r="697" spans="7:10" x14ac:dyDescent="0.2">
      <c r="G697" s="60">
        <v>687</v>
      </c>
      <c r="H697">
        <f ca="1">IF(AND(G697&lt;=O$3,RAND()&lt;=H$7),1,0)</f>
        <v>1</v>
      </c>
      <c r="I697">
        <f t="shared" ca="1" si="26"/>
        <v>662</v>
      </c>
      <c r="J697" s="80">
        <f t="shared" ca="1" si="25"/>
        <v>0.96360989810771469</v>
      </c>
    </row>
    <row r="698" spans="7:10" x14ac:dyDescent="0.2">
      <c r="G698" s="60">
        <v>688</v>
      </c>
      <c r="H698">
        <f ca="1">IF(AND(G698&lt;=O$3,RAND()&lt;=H$7),1,0)</f>
        <v>1</v>
      </c>
      <c r="I698">
        <f t="shared" ca="1" si="26"/>
        <v>663</v>
      </c>
      <c r="J698" s="80">
        <f t="shared" ca="1" si="25"/>
        <v>0.96366279069767447</v>
      </c>
    </row>
    <row r="699" spans="7:10" x14ac:dyDescent="0.2">
      <c r="G699" s="60">
        <v>689</v>
      </c>
      <c r="H699">
        <f ca="1">IF(AND(G699&lt;=O$3,RAND()&lt;=H$7),1,0)</f>
        <v>1</v>
      </c>
      <c r="I699">
        <f t="shared" ca="1" si="26"/>
        <v>664</v>
      </c>
      <c r="J699" s="80">
        <f t="shared" ca="1" si="25"/>
        <v>0.96371552975326558</v>
      </c>
    </row>
    <row r="700" spans="7:10" x14ac:dyDescent="0.2">
      <c r="G700" s="60">
        <v>690</v>
      </c>
      <c r="H700">
        <f ca="1">IF(AND(G700&lt;=O$3,RAND()&lt;=H$7),1,0)</f>
        <v>1</v>
      </c>
      <c r="I700">
        <f t="shared" ca="1" si="26"/>
        <v>665</v>
      </c>
      <c r="J700" s="80">
        <f t="shared" ca="1" si="25"/>
        <v>0.96376811594202894</v>
      </c>
    </row>
    <row r="701" spans="7:10" x14ac:dyDescent="0.2">
      <c r="G701" s="60">
        <v>691</v>
      </c>
      <c r="H701">
        <f ca="1">IF(AND(G701&lt;=O$3,RAND()&lt;=H$7),1,0)</f>
        <v>1</v>
      </c>
      <c r="I701">
        <f t="shared" ca="1" si="26"/>
        <v>666</v>
      </c>
      <c r="J701" s="80">
        <f t="shared" ca="1" si="25"/>
        <v>0.9638205499276411</v>
      </c>
    </row>
    <row r="702" spans="7:10" x14ac:dyDescent="0.2">
      <c r="G702" s="60">
        <v>692</v>
      </c>
      <c r="H702">
        <f ca="1">IF(AND(G702&lt;=O$3,RAND()&lt;=H$7),1,0)</f>
        <v>1</v>
      </c>
      <c r="I702">
        <f t="shared" ca="1" si="26"/>
        <v>667</v>
      </c>
      <c r="J702" s="80">
        <f t="shared" ca="1" si="25"/>
        <v>0.96387283236994215</v>
      </c>
    </row>
    <row r="703" spans="7:10" x14ac:dyDescent="0.2">
      <c r="G703" s="60">
        <v>693</v>
      </c>
      <c r="H703">
        <f ca="1">IF(AND(G703&lt;=O$3,RAND()&lt;=H$7),1,0)</f>
        <v>1</v>
      </c>
      <c r="I703">
        <f t="shared" ca="1" si="26"/>
        <v>668</v>
      </c>
      <c r="J703" s="80">
        <f t="shared" ca="1" si="25"/>
        <v>0.96392496392496396</v>
      </c>
    </row>
    <row r="704" spans="7:10" x14ac:dyDescent="0.2">
      <c r="G704" s="60">
        <v>694</v>
      </c>
      <c r="H704">
        <f ca="1">IF(AND(G704&lt;=O$3,RAND()&lt;=H$7),1,0)</f>
        <v>1</v>
      </c>
      <c r="I704">
        <f t="shared" ca="1" si="26"/>
        <v>669</v>
      </c>
      <c r="J704" s="80">
        <f t="shared" ca="1" si="25"/>
        <v>0.96397694524495681</v>
      </c>
    </row>
    <row r="705" spans="7:10" x14ac:dyDescent="0.2">
      <c r="G705" s="60">
        <v>695</v>
      </c>
      <c r="H705">
        <f ca="1">IF(AND(G705&lt;=O$3,RAND()&lt;=H$7),1,0)</f>
        <v>1</v>
      </c>
      <c r="I705">
        <f t="shared" ca="1" si="26"/>
        <v>670</v>
      </c>
      <c r="J705" s="80">
        <f t="shared" ca="1" si="25"/>
        <v>0.96402877697841727</v>
      </c>
    </row>
    <row r="706" spans="7:10" x14ac:dyDescent="0.2">
      <c r="G706" s="60">
        <v>696</v>
      </c>
      <c r="H706">
        <f ca="1">IF(AND(G706&lt;=O$3,RAND()&lt;=H$7),1,0)</f>
        <v>1</v>
      </c>
      <c r="I706">
        <f t="shared" ca="1" si="26"/>
        <v>671</v>
      </c>
      <c r="J706" s="80">
        <f t="shared" ca="1" si="25"/>
        <v>0.96408045977011492</v>
      </c>
    </row>
    <row r="707" spans="7:10" x14ac:dyDescent="0.2">
      <c r="G707" s="60">
        <v>697</v>
      </c>
      <c r="H707">
        <f ca="1">IF(AND(G707&lt;=O$3,RAND()&lt;=H$7),1,0)</f>
        <v>1</v>
      </c>
      <c r="I707">
        <f t="shared" ca="1" si="26"/>
        <v>672</v>
      </c>
      <c r="J707" s="80">
        <f t="shared" ca="1" si="25"/>
        <v>0.96413199426111906</v>
      </c>
    </row>
    <row r="708" spans="7:10" x14ac:dyDescent="0.2">
      <c r="G708" s="60">
        <v>698</v>
      </c>
      <c r="H708">
        <f ca="1">IF(AND(G708&lt;=O$3,RAND()&lt;=H$7),1,0)</f>
        <v>1</v>
      </c>
      <c r="I708">
        <f t="shared" ca="1" si="26"/>
        <v>673</v>
      </c>
      <c r="J708" s="80">
        <f t="shared" ca="1" si="25"/>
        <v>0.96418338108882518</v>
      </c>
    </row>
    <row r="709" spans="7:10" x14ac:dyDescent="0.2">
      <c r="G709" s="60">
        <v>699</v>
      </c>
      <c r="H709">
        <f ca="1">IF(AND(G709&lt;=O$3,RAND()&lt;=H$7),1,0)</f>
        <v>1</v>
      </c>
      <c r="I709">
        <f t="shared" ca="1" si="26"/>
        <v>674</v>
      </c>
      <c r="J709" s="80">
        <f t="shared" ca="1" si="25"/>
        <v>0.96423462088698142</v>
      </c>
    </row>
    <row r="710" spans="7:10" x14ac:dyDescent="0.2">
      <c r="G710" s="60">
        <v>700</v>
      </c>
      <c r="H710">
        <f ca="1">IF(AND(G710&lt;=O$3,RAND()&lt;=H$7),1,0)</f>
        <v>0</v>
      </c>
      <c r="I710">
        <f t="shared" ca="1" si="26"/>
        <v>674</v>
      </c>
      <c r="J710" s="80">
        <f t="shared" ca="1" si="25"/>
        <v>0.96285714285714286</v>
      </c>
    </row>
    <row r="711" spans="7:10" x14ac:dyDescent="0.2">
      <c r="G711" s="60">
        <v>701</v>
      </c>
      <c r="H711">
        <f ca="1">IF(AND(G711&lt;=O$3,RAND()&lt;=H$7),1,0)</f>
        <v>1</v>
      </c>
      <c r="I711">
        <f t="shared" ca="1" si="26"/>
        <v>675</v>
      </c>
      <c r="J711" s="80">
        <f t="shared" ca="1" si="25"/>
        <v>0.96291012838801715</v>
      </c>
    </row>
    <row r="712" spans="7:10" x14ac:dyDescent="0.2">
      <c r="G712" s="60">
        <v>702</v>
      </c>
      <c r="H712">
        <f ca="1">IF(AND(G712&lt;=O$3,RAND()&lt;=H$7),1,0)</f>
        <v>1</v>
      </c>
      <c r="I712">
        <f t="shared" ca="1" si="26"/>
        <v>676</v>
      </c>
      <c r="J712" s="80">
        <f t="shared" ca="1" si="25"/>
        <v>0.96296296296296291</v>
      </c>
    </row>
    <row r="713" spans="7:10" x14ac:dyDescent="0.2">
      <c r="G713" s="60">
        <v>703</v>
      </c>
      <c r="H713">
        <f ca="1">IF(AND(G713&lt;=O$3,RAND()&lt;=H$7),1,0)</f>
        <v>0</v>
      </c>
      <c r="I713">
        <f t="shared" ca="1" si="26"/>
        <v>676</v>
      </c>
      <c r="J713" s="80">
        <f t="shared" ca="1" si="25"/>
        <v>0.96159317211948792</v>
      </c>
    </row>
    <row r="714" spans="7:10" x14ac:dyDescent="0.2">
      <c r="G714" s="60">
        <v>704</v>
      </c>
      <c r="H714">
        <f ca="1">IF(AND(G714&lt;=O$3,RAND()&lt;=H$7),1,0)</f>
        <v>1</v>
      </c>
      <c r="I714">
        <f t="shared" ca="1" si="26"/>
        <v>677</v>
      </c>
      <c r="J714" s="80">
        <f t="shared" ca="1" si="25"/>
        <v>0.96164772727272729</v>
      </c>
    </row>
    <row r="715" spans="7:10" x14ac:dyDescent="0.2">
      <c r="G715" s="60">
        <v>705</v>
      </c>
      <c r="H715">
        <f ca="1">IF(AND(G715&lt;=O$3,RAND()&lt;=H$7),1,0)</f>
        <v>1</v>
      </c>
      <c r="I715">
        <f t="shared" ca="1" si="26"/>
        <v>678</v>
      </c>
      <c r="J715" s="80">
        <f t="shared" ca="1" si="25"/>
        <v>0.96170212765957441</v>
      </c>
    </row>
    <row r="716" spans="7:10" x14ac:dyDescent="0.2">
      <c r="G716" s="60">
        <v>706</v>
      </c>
      <c r="H716">
        <f ca="1">IF(AND(G716&lt;=O$3,RAND()&lt;=H$7),1,0)</f>
        <v>1</v>
      </c>
      <c r="I716">
        <f t="shared" ca="1" si="26"/>
        <v>679</v>
      </c>
      <c r="J716" s="80">
        <f t="shared" ref="J716:J779" ca="1" si="27">I716/G716</f>
        <v>0.9617563739376771</v>
      </c>
    </row>
    <row r="717" spans="7:10" x14ac:dyDescent="0.2">
      <c r="G717" s="60">
        <v>707</v>
      </c>
      <c r="H717">
        <f ca="1">IF(AND(G717&lt;=O$3,RAND()&lt;=H$7),1,0)</f>
        <v>1</v>
      </c>
      <c r="I717">
        <f t="shared" ref="I717:I780" ca="1" si="28">H717+I716</f>
        <v>680</v>
      </c>
      <c r="J717" s="80">
        <f t="shared" ca="1" si="27"/>
        <v>0.96181046676096182</v>
      </c>
    </row>
    <row r="718" spans="7:10" x14ac:dyDescent="0.2">
      <c r="G718" s="60">
        <v>708</v>
      </c>
      <c r="H718">
        <f ca="1">IF(AND(G718&lt;=O$3,RAND()&lt;=H$7),1,0)</f>
        <v>1</v>
      </c>
      <c r="I718">
        <f t="shared" ca="1" si="28"/>
        <v>681</v>
      </c>
      <c r="J718" s="80">
        <f t="shared" ca="1" si="27"/>
        <v>0.96186440677966101</v>
      </c>
    </row>
    <row r="719" spans="7:10" x14ac:dyDescent="0.2">
      <c r="G719" s="60">
        <v>709</v>
      </c>
      <c r="H719">
        <f ca="1">IF(AND(G719&lt;=O$3,RAND()&lt;=H$7),1,0)</f>
        <v>1</v>
      </c>
      <c r="I719">
        <f t="shared" ca="1" si="28"/>
        <v>682</v>
      </c>
      <c r="J719" s="80">
        <f t="shared" ca="1" si="27"/>
        <v>0.96191819464033845</v>
      </c>
    </row>
    <row r="720" spans="7:10" x14ac:dyDescent="0.2">
      <c r="G720" s="60">
        <v>710</v>
      </c>
      <c r="H720">
        <f ca="1">IF(AND(G720&lt;=O$3,RAND()&lt;=H$7),1,0)</f>
        <v>1</v>
      </c>
      <c r="I720">
        <f t="shared" ca="1" si="28"/>
        <v>683</v>
      </c>
      <c r="J720" s="80">
        <f t="shared" ca="1" si="27"/>
        <v>0.96197183098591554</v>
      </c>
    </row>
    <row r="721" spans="7:10" x14ac:dyDescent="0.2">
      <c r="G721" s="60">
        <v>711</v>
      </c>
      <c r="H721">
        <f ca="1">IF(AND(G721&lt;=O$3,RAND()&lt;=H$7),1,0)</f>
        <v>1</v>
      </c>
      <c r="I721">
        <f t="shared" ca="1" si="28"/>
        <v>684</v>
      </c>
      <c r="J721" s="80">
        <f t="shared" ca="1" si="27"/>
        <v>0.96202531645569622</v>
      </c>
    </row>
    <row r="722" spans="7:10" x14ac:dyDescent="0.2">
      <c r="G722" s="60">
        <v>712</v>
      </c>
      <c r="H722">
        <f ca="1">IF(AND(G722&lt;=O$3,RAND()&lt;=H$7),1,0)</f>
        <v>1</v>
      </c>
      <c r="I722">
        <f t="shared" ca="1" si="28"/>
        <v>685</v>
      </c>
      <c r="J722" s="80">
        <f t="shared" ca="1" si="27"/>
        <v>0.9620786516853933</v>
      </c>
    </row>
    <row r="723" spans="7:10" x14ac:dyDescent="0.2">
      <c r="G723" s="60">
        <v>713</v>
      </c>
      <c r="H723">
        <f ca="1">IF(AND(G723&lt;=O$3,RAND()&lt;=H$7),1,0)</f>
        <v>0</v>
      </c>
      <c r="I723">
        <f t="shared" ca="1" si="28"/>
        <v>685</v>
      </c>
      <c r="J723" s="80">
        <f t="shared" ca="1" si="27"/>
        <v>0.96072931276297335</v>
      </c>
    </row>
    <row r="724" spans="7:10" x14ac:dyDescent="0.2">
      <c r="G724" s="60">
        <v>714</v>
      </c>
      <c r="H724">
        <f ca="1">IF(AND(G724&lt;=O$3,RAND()&lt;=H$7),1,0)</f>
        <v>1</v>
      </c>
      <c r="I724">
        <f t="shared" ca="1" si="28"/>
        <v>686</v>
      </c>
      <c r="J724" s="80">
        <f t="shared" ca="1" si="27"/>
        <v>0.96078431372549022</v>
      </c>
    </row>
    <row r="725" spans="7:10" x14ac:dyDescent="0.2">
      <c r="G725" s="60">
        <v>715</v>
      </c>
      <c r="H725">
        <f ca="1">IF(AND(G725&lt;=O$3,RAND()&lt;=H$7),1,0)</f>
        <v>1</v>
      </c>
      <c r="I725">
        <f t="shared" ca="1" si="28"/>
        <v>687</v>
      </c>
      <c r="J725" s="80">
        <f t="shared" ca="1" si="27"/>
        <v>0.96083916083916088</v>
      </c>
    </row>
    <row r="726" spans="7:10" x14ac:dyDescent="0.2">
      <c r="G726" s="60">
        <v>716</v>
      </c>
      <c r="H726">
        <f ca="1">IF(AND(G726&lt;=O$3,RAND()&lt;=H$7),1,0)</f>
        <v>1</v>
      </c>
      <c r="I726">
        <f t="shared" ca="1" si="28"/>
        <v>688</v>
      </c>
      <c r="J726" s="80">
        <f t="shared" ca="1" si="27"/>
        <v>0.96089385474860334</v>
      </c>
    </row>
    <row r="727" spans="7:10" x14ac:dyDescent="0.2">
      <c r="G727" s="60">
        <v>717</v>
      </c>
      <c r="H727">
        <f ca="1">IF(AND(G727&lt;=O$3,RAND()&lt;=H$7),1,0)</f>
        <v>1</v>
      </c>
      <c r="I727">
        <f t="shared" ca="1" si="28"/>
        <v>689</v>
      </c>
      <c r="J727" s="80">
        <f t="shared" ca="1" si="27"/>
        <v>0.96094839609483962</v>
      </c>
    </row>
    <row r="728" spans="7:10" x14ac:dyDescent="0.2">
      <c r="G728" s="60">
        <v>718</v>
      </c>
      <c r="H728">
        <f ca="1">IF(AND(G728&lt;=O$3,RAND()&lt;=H$7),1,0)</f>
        <v>1</v>
      </c>
      <c r="I728">
        <f t="shared" ca="1" si="28"/>
        <v>690</v>
      </c>
      <c r="J728" s="80">
        <f t="shared" ca="1" si="27"/>
        <v>0.96100278551532037</v>
      </c>
    </row>
    <row r="729" spans="7:10" x14ac:dyDescent="0.2">
      <c r="G729" s="60">
        <v>719</v>
      </c>
      <c r="H729">
        <f ca="1">IF(AND(G729&lt;=O$3,RAND()&lt;=H$7),1,0)</f>
        <v>1</v>
      </c>
      <c r="I729">
        <f t="shared" ca="1" si="28"/>
        <v>691</v>
      </c>
      <c r="J729" s="80">
        <f t="shared" ca="1" si="27"/>
        <v>0.96105702364394996</v>
      </c>
    </row>
    <row r="730" spans="7:10" x14ac:dyDescent="0.2">
      <c r="G730" s="60">
        <v>720</v>
      </c>
      <c r="H730">
        <f ca="1">IF(AND(G730&lt;=O$3,RAND()&lt;=H$7),1,0)</f>
        <v>1</v>
      </c>
      <c r="I730">
        <f t="shared" ca="1" si="28"/>
        <v>692</v>
      </c>
      <c r="J730" s="80">
        <f t="shared" ca="1" si="27"/>
        <v>0.96111111111111114</v>
      </c>
    </row>
    <row r="731" spans="7:10" x14ac:dyDescent="0.2">
      <c r="G731" s="60">
        <v>721</v>
      </c>
      <c r="H731">
        <f ca="1">IF(AND(G731&lt;=O$3,RAND()&lt;=H$7),1,0)</f>
        <v>1</v>
      </c>
      <c r="I731">
        <f t="shared" ca="1" si="28"/>
        <v>693</v>
      </c>
      <c r="J731" s="80">
        <f t="shared" ca="1" si="27"/>
        <v>0.96116504854368934</v>
      </c>
    </row>
    <row r="732" spans="7:10" x14ac:dyDescent="0.2">
      <c r="G732" s="60">
        <v>722</v>
      </c>
      <c r="H732">
        <f ca="1">IF(AND(G732&lt;=O$3,RAND()&lt;=H$7),1,0)</f>
        <v>1</v>
      </c>
      <c r="I732">
        <f t="shared" ca="1" si="28"/>
        <v>694</v>
      </c>
      <c r="J732" s="80">
        <f t="shared" ca="1" si="27"/>
        <v>0.96121883656509699</v>
      </c>
    </row>
    <row r="733" spans="7:10" x14ac:dyDescent="0.2">
      <c r="G733" s="60">
        <v>723</v>
      </c>
      <c r="H733">
        <f ca="1">IF(AND(G733&lt;=O$3,RAND()&lt;=H$7),1,0)</f>
        <v>1</v>
      </c>
      <c r="I733">
        <f t="shared" ca="1" si="28"/>
        <v>695</v>
      </c>
      <c r="J733" s="80">
        <f t="shared" ca="1" si="27"/>
        <v>0.9612724757952974</v>
      </c>
    </row>
    <row r="734" spans="7:10" x14ac:dyDescent="0.2">
      <c r="G734" s="60">
        <v>724</v>
      </c>
      <c r="H734">
        <f ca="1">IF(AND(G734&lt;=O$3,RAND()&lt;=H$7),1,0)</f>
        <v>1</v>
      </c>
      <c r="I734">
        <f t="shared" ca="1" si="28"/>
        <v>696</v>
      </c>
      <c r="J734" s="80">
        <f t="shared" ca="1" si="27"/>
        <v>0.96132596685082872</v>
      </c>
    </row>
    <row r="735" spans="7:10" x14ac:dyDescent="0.2">
      <c r="G735" s="60">
        <v>725</v>
      </c>
      <c r="H735">
        <f ca="1">IF(AND(G735&lt;=O$3,RAND()&lt;=H$7),1,0)</f>
        <v>1</v>
      </c>
      <c r="I735">
        <f t="shared" ca="1" si="28"/>
        <v>697</v>
      </c>
      <c r="J735" s="80">
        <f t="shared" ca="1" si="27"/>
        <v>0.9613793103448276</v>
      </c>
    </row>
    <row r="736" spans="7:10" x14ac:dyDescent="0.2">
      <c r="G736" s="60">
        <v>726</v>
      </c>
      <c r="H736">
        <f ca="1">IF(AND(G736&lt;=O$3,RAND()&lt;=H$7),1,0)</f>
        <v>0</v>
      </c>
      <c r="I736">
        <f t="shared" ca="1" si="28"/>
        <v>697</v>
      </c>
      <c r="J736" s="80">
        <f t="shared" ca="1" si="27"/>
        <v>0.96005509641873277</v>
      </c>
    </row>
    <row r="737" spans="7:10" x14ac:dyDescent="0.2">
      <c r="G737" s="60">
        <v>727</v>
      </c>
      <c r="H737">
        <f ca="1">IF(AND(G737&lt;=O$3,RAND()&lt;=H$7),1,0)</f>
        <v>1</v>
      </c>
      <c r="I737">
        <f t="shared" ca="1" si="28"/>
        <v>698</v>
      </c>
      <c r="J737" s="80">
        <f t="shared" ca="1" si="27"/>
        <v>0.9601100412654745</v>
      </c>
    </row>
    <row r="738" spans="7:10" x14ac:dyDescent="0.2">
      <c r="G738" s="60">
        <v>728</v>
      </c>
      <c r="H738">
        <f ca="1">IF(AND(G738&lt;=O$3,RAND()&lt;=H$7),1,0)</f>
        <v>1</v>
      </c>
      <c r="I738">
        <f t="shared" ca="1" si="28"/>
        <v>699</v>
      </c>
      <c r="J738" s="80">
        <f t="shared" ca="1" si="27"/>
        <v>0.9601648351648352</v>
      </c>
    </row>
    <row r="739" spans="7:10" x14ac:dyDescent="0.2">
      <c r="G739" s="60">
        <v>729</v>
      </c>
      <c r="H739">
        <f ca="1">IF(AND(G739&lt;=O$3,RAND()&lt;=H$7),1,0)</f>
        <v>1</v>
      </c>
      <c r="I739">
        <f t="shared" ca="1" si="28"/>
        <v>700</v>
      </c>
      <c r="J739" s="80">
        <f t="shared" ca="1" si="27"/>
        <v>0.96021947873799729</v>
      </c>
    </row>
    <row r="740" spans="7:10" x14ac:dyDescent="0.2">
      <c r="G740" s="60">
        <v>730</v>
      </c>
      <c r="H740">
        <f ca="1">IF(AND(G740&lt;=O$3,RAND()&lt;=H$7),1,0)</f>
        <v>1</v>
      </c>
      <c r="I740">
        <f t="shared" ca="1" si="28"/>
        <v>701</v>
      </c>
      <c r="J740" s="80">
        <f t="shared" ca="1" si="27"/>
        <v>0.96027397260273972</v>
      </c>
    </row>
    <row r="741" spans="7:10" x14ac:dyDescent="0.2">
      <c r="G741" s="60">
        <v>731</v>
      </c>
      <c r="H741">
        <f ca="1">IF(AND(G741&lt;=O$3,RAND()&lt;=H$7),1,0)</f>
        <v>1</v>
      </c>
      <c r="I741">
        <f t="shared" ca="1" si="28"/>
        <v>702</v>
      </c>
      <c r="J741" s="80">
        <f t="shared" ca="1" si="27"/>
        <v>0.96032831737346103</v>
      </c>
    </row>
    <row r="742" spans="7:10" x14ac:dyDescent="0.2">
      <c r="G742" s="60">
        <v>732</v>
      </c>
      <c r="H742">
        <f ca="1">IF(AND(G742&lt;=O$3,RAND()&lt;=H$7),1,0)</f>
        <v>1</v>
      </c>
      <c r="I742">
        <f t="shared" ca="1" si="28"/>
        <v>703</v>
      </c>
      <c r="J742" s="80">
        <f t="shared" ca="1" si="27"/>
        <v>0.9603825136612022</v>
      </c>
    </row>
    <row r="743" spans="7:10" x14ac:dyDescent="0.2">
      <c r="G743" s="60">
        <v>733</v>
      </c>
      <c r="H743">
        <f ca="1">IF(AND(G743&lt;=O$3,RAND()&lt;=H$7),1,0)</f>
        <v>1</v>
      </c>
      <c r="I743">
        <f t="shared" ca="1" si="28"/>
        <v>704</v>
      </c>
      <c r="J743" s="80">
        <f t="shared" ca="1" si="27"/>
        <v>0.9604365620736699</v>
      </c>
    </row>
    <row r="744" spans="7:10" x14ac:dyDescent="0.2">
      <c r="G744" s="60">
        <v>734</v>
      </c>
      <c r="H744">
        <f ca="1">IF(AND(G744&lt;=O$3,RAND()&lt;=H$7),1,0)</f>
        <v>1</v>
      </c>
      <c r="I744">
        <f t="shared" ca="1" si="28"/>
        <v>705</v>
      </c>
      <c r="J744" s="80">
        <f t="shared" ca="1" si="27"/>
        <v>0.96049046321525888</v>
      </c>
    </row>
    <row r="745" spans="7:10" x14ac:dyDescent="0.2">
      <c r="G745" s="60">
        <v>735</v>
      </c>
      <c r="H745">
        <f ca="1">IF(AND(G745&lt;=O$3,RAND()&lt;=H$7),1,0)</f>
        <v>1</v>
      </c>
      <c r="I745">
        <f t="shared" ca="1" si="28"/>
        <v>706</v>
      </c>
      <c r="J745" s="80">
        <f t="shared" ca="1" si="27"/>
        <v>0.96054421768707487</v>
      </c>
    </row>
    <row r="746" spans="7:10" x14ac:dyDescent="0.2">
      <c r="G746" s="60">
        <v>736</v>
      </c>
      <c r="H746">
        <f ca="1">IF(AND(G746&lt;=O$3,RAND()&lt;=H$7),1,0)</f>
        <v>1</v>
      </c>
      <c r="I746">
        <f t="shared" ca="1" si="28"/>
        <v>707</v>
      </c>
      <c r="J746" s="80">
        <f t="shared" ca="1" si="27"/>
        <v>0.96059782608695654</v>
      </c>
    </row>
    <row r="747" spans="7:10" x14ac:dyDescent="0.2">
      <c r="G747" s="60">
        <v>737</v>
      </c>
      <c r="H747">
        <f ca="1">IF(AND(G747&lt;=O$3,RAND()&lt;=H$7),1,0)</f>
        <v>1</v>
      </c>
      <c r="I747">
        <f t="shared" ca="1" si="28"/>
        <v>708</v>
      </c>
      <c r="J747" s="80">
        <f t="shared" ca="1" si="27"/>
        <v>0.96065128900949792</v>
      </c>
    </row>
    <row r="748" spans="7:10" x14ac:dyDescent="0.2">
      <c r="G748" s="60">
        <v>738</v>
      </c>
      <c r="H748">
        <f ca="1">IF(AND(G748&lt;=O$3,RAND()&lt;=H$7),1,0)</f>
        <v>1</v>
      </c>
      <c r="I748">
        <f t="shared" ca="1" si="28"/>
        <v>709</v>
      </c>
      <c r="J748" s="80">
        <f t="shared" ca="1" si="27"/>
        <v>0.96070460704607041</v>
      </c>
    </row>
    <row r="749" spans="7:10" x14ac:dyDescent="0.2">
      <c r="G749" s="60">
        <v>739</v>
      </c>
      <c r="H749">
        <f ca="1">IF(AND(G749&lt;=O$3,RAND()&lt;=H$7),1,0)</f>
        <v>1</v>
      </c>
      <c r="I749">
        <f t="shared" ca="1" si="28"/>
        <v>710</v>
      </c>
      <c r="J749" s="80">
        <f t="shared" ca="1" si="27"/>
        <v>0.96075778078484442</v>
      </c>
    </row>
    <row r="750" spans="7:10" x14ac:dyDescent="0.2">
      <c r="G750" s="60">
        <v>740</v>
      </c>
      <c r="H750">
        <f ca="1">IF(AND(G750&lt;=O$3,RAND()&lt;=H$7),1,0)</f>
        <v>0</v>
      </c>
      <c r="I750">
        <f t="shared" ca="1" si="28"/>
        <v>710</v>
      </c>
      <c r="J750" s="80">
        <f t="shared" ca="1" si="27"/>
        <v>0.95945945945945943</v>
      </c>
    </row>
    <row r="751" spans="7:10" x14ac:dyDescent="0.2">
      <c r="G751" s="60">
        <v>741</v>
      </c>
      <c r="H751">
        <f ca="1">IF(AND(G751&lt;=O$3,RAND()&lt;=H$7),1,0)</f>
        <v>1</v>
      </c>
      <c r="I751">
        <f t="shared" ca="1" si="28"/>
        <v>711</v>
      </c>
      <c r="J751" s="80">
        <f t="shared" ca="1" si="27"/>
        <v>0.95951417004048578</v>
      </c>
    </row>
    <row r="752" spans="7:10" x14ac:dyDescent="0.2">
      <c r="G752" s="60">
        <v>742</v>
      </c>
      <c r="H752">
        <f ca="1">IF(AND(G752&lt;=O$3,RAND()&lt;=H$7),1,0)</f>
        <v>0</v>
      </c>
      <c r="I752">
        <f t="shared" ca="1" si="28"/>
        <v>711</v>
      </c>
      <c r="J752" s="80">
        <f t="shared" ca="1" si="27"/>
        <v>0.9582210242587601</v>
      </c>
    </row>
    <row r="753" spans="7:10" x14ac:dyDescent="0.2">
      <c r="G753" s="60">
        <v>743</v>
      </c>
      <c r="H753">
        <f ca="1">IF(AND(G753&lt;=O$3,RAND()&lt;=H$7),1,0)</f>
        <v>1</v>
      </c>
      <c r="I753">
        <f t="shared" ca="1" si="28"/>
        <v>712</v>
      </c>
      <c r="J753" s="80">
        <f t="shared" ca="1" si="27"/>
        <v>0.95827725437415878</v>
      </c>
    </row>
    <row r="754" spans="7:10" x14ac:dyDescent="0.2">
      <c r="G754" s="60">
        <v>744</v>
      </c>
      <c r="H754">
        <f ca="1">IF(AND(G754&lt;=O$3,RAND()&lt;=H$7),1,0)</f>
        <v>1</v>
      </c>
      <c r="I754">
        <f t="shared" ca="1" si="28"/>
        <v>713</v>
      </c>
      <c r="J754" s="80">
        <f t="shared" ca="1" si="27"/>
        <v>0.95833333333333337</v>
      </c>
    </row>
    <row r="755" spans="7:10" x14ac:dyDescent="0.2">
      <c r="G755" s="60">
        <v>745</v>
      </c>
      <c r="H755">
        <f ca="1">IF(AND(G755&lt;=O$3,RAND()&lt;=H$7),1,0)</f>
        <v>1</v>
      </c>
      <c r="I755">
        <f t="shared" ca="1" si="28"/>
        <v>714</v>
      </c>
      <c r="J755" s="80">
        <f t="shared" ca="1" si="27"/>
        <v>0.95838926174496641</v>
      </c>
    </row>
    <row r="756" spans="7:10" x14ac:dyDescent="0.2">
      <c r="G756" s="60">
        <v>746</v>
      </c>
      <c r="H756">
        <f ca="1">IF(AND(G756&lt;=O$3,RAND()&lt;=H$7),1,0)</f>
        <v>1</v>
      </c>
      <c r="I756">
        <f t="shared" ca="1" si="28"/>
        <v>715</v>
      </c>
      <c r="J756" s="80">
        <f t="shared" ca="1" si="27"/>
        <v>0.95844504021447718</v>
      </c>
    </row>
    <row r="757" spans="7:10" x14ac:dyDescent="0.2">
      <c r="G757" s="60">
        <v>747</v>
      </c>
      <c r="H757">
        <f ca="1">IF(AND(G757&lt;=O$3,RAND()&lt;=H$7),1,0)</f>
        <v>1</v>
      </c>
      <c r="I757">
        <f t="shared" ca="1" si="28"/>
        <v>716</v>
      </c>
      <c r="J757" s="80">
        <f t="shared" ca="1" si="27"/>
        <v>0.95850066934404288</v>
      </c>
    </row>
    <row r="758" spans="7:10" x14ac:dyDescent="0.2">
      <c r="G758" s="60">
        <v>748</v>
      </c>
      <c r="H758">
        <f ca="1">IF(AND(G758&lt;=O$3,RAND()&lt;=H$7),1,0)</f>
        <v>1</v>
      </c>
      <c r="I758">
        <f t="shared" ca="1" si="28"/>
        <v>717</v>
      </c>
      <c r="J758" s="80">
        <f t="shared" ca="1" si="27"/>
        <v>0.95855614973262027</v>
      </c>
    </row>
    <row r="759" spans="7:10" x14ac:dyDescent="0.2">
      <c r="G759" s="60">
        <v>749</v>
      </c>
      <c r="H759">
        <f ca="1">IF(AND(G759&lt;=O$3,RAND()&lt;=H$7),1,0)</f>
        <v>1</v>
      </c>
      <c r="I759">
        <f t="shared" ca="1" si="28"/>
        <v>718</v>
      </c>
      <c r="J759" s="80">
        <f t="shared" ca="1" si="27"/>
        <v>0.95861148197596791</v>
      </c>
    </row>
    <row r="760" spans="7:10" x14ac:dyDescent="0.2">
      <c r="G760" s="60">
        <v>750</v>
      </c>
      <c r="H760">
        <f ca="1">IF(AND(G760&lt;=O$3,RAND()&lt;=H$7),1,0)</f>
        <v>1</v>
      </c>
      <c r="I760">
        <f t="shared" ca="1" si="28"/>
        <v>719</v>
      </c>
      <c r="J760" s="80">
        <f t="shared" ca="1" si="27"/>
        <v>0.95866666666666667</v>
      </c>
    </row>
    <row r="761" spans="7:10" x14ac:dyDescent="0.2">
      <c r="G761" s="60">
        <v>751</v>
      </c>
      <c r="H761">
        <f ca="1">IF(AND(G761&lt;=O$3,RAND()&lt;=H$7),1,0)</f>
        <v>1</v>
      </c>
      <c r="I761">
        <f t="shared" ca="1" si="28"/>
        <v>720</v>
      </c>
      <c r="J761" s="80">
        <f t="shared" ca="1" si="27"/>
        <v>0.95872170439414117</v>
      </c>
    </row>
    <row r="762" spans="7:10" x14ac:dyDescent="0.2">
      <c r="G762" s="60">
        <v>752</v>
      </c>
      <c r="H762">
        <f ca="1">IF(AND(G762&lt;=O$3,RAND()&lt;=H$7),1,0)</f>
        <v>1</v>
      </c>
      <c r="I762">
        <f t="shared" ca="1" si="28"/>
        <v>721</v>
      </c>
      <c r="J762" s="80">
        <f t="shared" ca="1" si="27"/>
        <v>0.95877659574468088</v>
      </c>
    </row>
    <row r="763" spans="7:10" x14ac:dyDescent="0.2">
      <c r="G763" s="60">
        <v>753</v>
      </c>
      <c r="H763">
        <f ca="1">IF(AND(G763&lt;=O$3,RAND()&lt;=H$7),1,0)</f>
        <v>1</v>
      </c>
      <c r="I763">
        <f t="shared" ca="1" si="28"/>
        <v>722</v>
      </c>
      <c r="J763" s="80">
        <f t="shared" ca="1" si="27"/>
        <v>0.95883134130146086</v>
      </c>
    </row>
    <row r="764" spans="7:10" x14ac:dyDescent="0.2">
      <c r="G764" s="60">
        <v>754</v>
      </c>
      <c r="H764">
        <f ca="1">IF(AND(G764&lt;=O$3,RAND()&lt;=H$7),1,0)</f>
        <v>1</v>
      </c>
      <c r="I764">
        <f t="shared" ca="1" si="28"/>
        <v>723</v>
      </c>
      <c r="J764" s="80">
        <f t="shared" ca="1" si="27"/>
        <v>0.95888594164456231</v>
      </c>
    </row>
    <row r="765" spans="7:10" x14ac:dyDescent="0.2">
      <c r="G765" s="60">
        <v>755</v>
      </c>
      <c r="H765">
        <f ca="1">IF(AND(G765&lt;=O$3,RAND()&lt;=H$7),1,0)</f>
        <v>1</v>
      </c>
      <c r="I765">
        <f t="shared" ca="1" si="28"/>
        <v>724</v>
      </c>
      <c r="J765" s="80">
        <f t="shared" ca="1" si="27"/>
        <v>0.95894039735099335</v>
      </c>
    </row>
    <row r="766" spans="7:10" x14ac:dyDescent="0.2">
      <c r="G766" s="60">
        <v>756</v>
      </c>
      <c r="H766">
        <f ca="1">IF(AND(G766&lt;=O$3,RAND()&lt;=H$7),1,0)</f>
        <v>1</v>
      </c>
      <c r="I766">
        <f t="shared" ca="1" si="28"/>
        <v>725</v>
      </c>
      <c r="J766" s="80">
        <f t="shared" ca="1" si="27"/>
        <v>0.95899470899470896</v>
      </c>
    </row>
    <row r="767" spans="7:10" x14ac:dyDescent="0.2">
      <c r="G767" s="60">
        <v>757</v>
      </c>
      <c r="H767">
        <f ca="1">IF(AND(G767&lt;=O$3,RAND()&lt;=H$7),1,0)</f>
        <v>1</v>
      </c>
      <c r="I767">
        <f t="shared" ca="1" si="28"/>
        <v>726</v>
      </c>
      <c r="J767" s="80">
        <f t="shared" ca="1" si="27"/>
        <v>0.95904887714663145</v>
      </c>
    </row>
    <row r="768" spans="7:10" x14ac:dyDescent="0.2">
      <c r="G768" s="60">
        <v>758</v>
      </c>
      <c r="H768">
        <f ca="1">IF(AND(G768&lt;=O$3,RAND()&lt;=H$7),1,0)</f>
        <v>1</v>
      </c>
      <c r="I768">
        <f t="shared" ca="1" si="28"/>
        <v>727</v>
      </c>
      <c r="J768" s="80">
        <f t="shared" ca="1" si="27"/>
        <v>0.95910290237467022</v>
      </c>
    </row>
    <row r="769" spans="7:10" x14ac:dyDescent="0.2">
      <c r="G769" s="60">
        <v>759</v>
      </c>
      <c r="H769">
        <f ca="1">IF(AND(G769&lt;=O$3,RAND()&lt;=H$7),1,0)</f>
        <v>1</v>
      </c>
      <c r="I769">
        <f t="shared" ca="1" si="28"/>
        <v>728</v>
      </c>
      <c r="J769" s="80">
        <f t="shared" ca="1" si="27"/>
        <v>0.95915678524374182</v>
      </c>
    </row>
    <row r="770" spans="7:10" x14ac:dyDescent="0.2">
      <c r="G770" s="60">
        <v>760</v>
      </c>
      <c r="H770">
        <f ca="1">IF(AND(G770&lt;=O$3,RAND()&lt;=H$7),1,0)</f>
        <v>1</v>
      </c>
      <c r="I770">
        <f t="shared" ca="1" si="28"/>
        <v>729</v>
      </c>
      <c r="J770" s="80">
        <f t="shared" ca="1" si="27"/>
        <v>0.95921052631578951</v>
      </c>
    </row>
    <row r="771" spans="7:10" x14ac:dyDescent="0.2">
      <c r="G771" s="60">
        <v>761</v>
      </c>
      <c r="H771">
        <f ca="1">IF(AND(G771&lt;=O$3,RAND()&lt;=H$7),1,0)</f>
        <v>1</v>
      </c>
      <c r="I771">
        <f t="shared" ca="1" si="28"/>
        <v>730</v>
      </c>
      <c r="J771" s="80">
        <f t="shared" ca="1" si="27"/>
        <v>0.95926412614980294</v>
      </c>
    </row>
    <row r="772" spans="7:10" x14ac:dyDescent="0.2">
      <c r="G772" s="60">
        <v>762</v>
      </c>
      <c r="H772">
        <f ca="1">IF(AND(G772&lt;=O$3,RAND()&lt;=H$7),1,0)</f>
        <v>1</v>
      </c>
      <c r="I772">
        <f t="shared" ca="1" si="28"/>
        <v>731</v>
      </c>
      <c r="J772" s="80">
        <f t="shared" ca="1" si="27"/>
        <v>0.95931758530183731</v>
      </c>
    </row>
    <row r="773" spans="7:10" x14ac:dyDescent="0.2">
      <c r="G773" s="60">
        <v>763</v>
      </c>
      <c r="H773">
        <f ca="1">IF(AND(G773&lt;=O$3,RAND()&lt;=H$7),1,0)</f>
        <v>1</v>
      </c>
      <c r="I773">
        <f t="shared" ca="1" si="28"/>
        <v>732</v>
      </c>
      <c r="J773" s="80">
        <f t="shared" ca="1" si="27"/>
        <v>0.9593709043250328</v>
      </c>
    </row>
    <row r="774" spans="7:10" x14ac:dyDescent="0.2">
      <c r="G774" s="60">
        <v>764</v>
      </c>
      <c r="H774">
        <f ca="1">IF(AND(G774&lt;=O$3,RAND()&lt;=H$7),1,0)</f>
        <v>1</v>
      </c>
      <c r="I774">
        <f t="shared" ca="1" si="28"/>
        <v>733</v>
      </c>
      <c r="J774" s="80">
        <f t="shared" ca="1" si="27"/>
        <v>0.95942408376963351</v>
      </c>
    </row>
    <row r="775" spans="7:10" x14ac:dyDescent="0.2">
      <c r="G775" s="60">
        <v>765</v>
      </c>
      <c r="H775">
        <f ca="1">IF(AND(G775&lt;=O$3,RAND()&lt;=H$7),1,0)</f>
        <v>1</v>
      </c>
      <c r="I775">
        <f t="shared" ca="1" si="28"/>
        <v>734</v>
      </c>
      <c r="J775" s="80">
        <f t="shared" ca="1" si="27"/>
        <v>0.95947712418300657</v>
      </c>
    </row>
    <row r="776" spans="7:10" x14ac:dyDescent="0.2">
      <c r="G776" s="60">
        <v>766</v>
      </c>
      <c r="H776">
        <f ca="1">IF(AND(G776&lt;=O$3,RAND()&lt;=H$7),1,0)</f>
        <v>1</v>
      </c>
      <c r="I776">
        <f t="shared" ca="1" si="28"/>
        <v>735</v>
      </c>
      <c r="J776" s="80">
        <f t="shared" ca="1" si="27"/>
        <v>0.95953002610966054</v>
      </c>
    </row>
    <row r="777" spans="7:10" x14ac:dyDescent="0.2">
      <c r="G777" s="60">
        <v>767</v>
      </c>
      <c r="H777">
        <f ca="1">IF(AND(G777&lt;=O$3,RAND()&lt;=H$7),1,0)</f>
        <v>1</v>
      </c>
      <c r="I777">
        <f t="shared" ca="1" si="28"/>
        <v>736</v>
      </c>
      <c r="J777" s="80">
        <f t="shared" ca="1" si="27"/>
        <v>0.95958279009126468</v>
      </c>
    </row>
    <row r="778" spans="7:10" x14ac:dyDescent="0.2">
      <c r="G778" s="60">
        <v>768</v>
      </c>
      <c r="H778">
        <f ca="1">IF(AND(G778&lt;=O$3,RAND()&lt;=H$7),1,0)</f>
        <v>1</v>
      </c>
      <c r="I778">
        <f t="shared" ca="1" si="28"/>
        <v>737</v>
      </c>
      <c r="J778" s="80">
        <f t="shared" ca="1" si="27"/>
        <v>0.95963541666666663</v>
      </c>
    </row>
    <row r="779" spans="7:10" x14ac:dyDescent="0.2">
      <c r="G779" s="60">
        <v>769</v>
      </c>
      <c r="H779">
        <f ca="1">IF(AND(G779&lt;=O$3,RAND()&lt;=H$7),1,0)</f>
        <v>1</v>
      </c>
      <c r="I779">
        <f t="shared" ca="1" si="28"/>
        <v>738</v>
      </c>
      <c r="J779" s="80">
        <f t="shared" ca="1" si="27"/>
        <v>0.95968790637191159</v>
      </c>
    </row>
    <row r="780" spans="7:10" x14ac:dyDescent="0.2">
      <c r="G780" s="60">
        <v>770</v>
      </c>
      <c r="H780">
        <f ca="1">IF(AND(G780&lt;=O$3,RAND()&lt;=H$7),1,0)</f>
        <v>1</v>
      </c>
      <c r="I780">
        <f t="shared" ca="1" si="28"/>
        <v>739</v>
      </c>
      <c r="J780" s="80">
        <f t="shared" ref="J780:J843" ca="1" si="29">I780/G780</f>
        <v>0.95974025974025978</v>
      </c>
    </row>
    <row r="781" spans="7:10" x14ac:dyDescent="0.2">
      <c r="G781" s="60">
        <v>771</v>
      </c>
      <c r="H781">
        <f ca="1">IF(AND(G781&lt;=O$3,RAND()&lt;=H$7),1,0)</f>
        <v>1</v>
      </c>
      <c r="I781">
        <f t="shared" ref="I781:I844" ca="1" si="30">H781+I780</f>
        <v>740</v>
      </c>
      <c r="J781" s="80">
        <f t="shared" ca="1" si="29"/>
        <v>0.95979247730220496</v>
      </c>
    </row>
    <row r="782" spans="7:10" x14ac:dyDescent="0.2">
      <c r="G782" s="60">
        <v>772</v>
      </c>
      <c r="H782">
        <f ca="1">IF(AND(G782&lt;=O$3,RAND()&lt;=H$7),1,0)</f>
        <v>1</v>
      </c>
      <c r="I782">
        <f t="shared" ca="1" si="30"/>
        <v>741</v>
      </c>
      <c r="J782" s="80">
        <f t="shared" ca="1" si="29"/>
        <v>0.9598445595854922</v>
      </c>
    </row>
    <row r="783" spans="7:10" x14ac:dyDescent="0.2">
      <c r="G783" s="60">
        <v>773</v>
      </c>
      <c r="H783">
        <f ca="1">IF(AND(G783&lt;=O$3,RAND()&lt;=H$7),1,0)</f>
        <v>1</v>
      </c>
      <c r="I783">
        <f t="shared" ca="1" si="30"/>
        <v>742</v>
      </c>
      <c r="J783" s="80">
        <f t="shared" ca="1" si="29"/>
        <v>0.95989650711513586</v>
      </c>
    </row>
    <row r="784" spans="7:10" x14ac:dyDescent="0.2">
      <c r="G784" s="60">
        <v>774</v>
      </c>
      <c r="H784">
        <f ca="1">IF(AND(G784&lt;=O$3,RAND()&lt;=H$7),1,0)</f>
        <v>1</v>
      </c>
      <c r="I784">
        <f t="shared" ca="1" si="30"/>
        <v>743</v>
      </c>
      <c r="J784" s="80">
        <f t="shared" ca="1" si="29"/>
        <v>0.9599483204134367</v>
      </c>
    </row>
    <row r="785" spans="7:10" x14ac:dyDescent="0.2">
      <c r="G785" s="60">
        <v>775</v>
      </c>
      <c r="H785">
        <f ca="1">IF(AND(G785&lt;=O$3,RAND()&lt;=H$7),1,0)</f>
        <v>1</v>
      </c>
      <c r="I785">
        <f t="shared" ca="1" si="30"/>
        <v>744</v>
      </c>
      <c r="J785" s="80">
        <f t="shared" ca="1" si="29"/>
        <v>0.96</v>
      </c>
    </row>
    <row r="786" spans="7:10" x14ac:dyDescent="0.2">
      <c r="G786" s="60">
        <v>776</v>
      </c>
      <c r="H786">
        <f ca="1">IF(AND(G786&lt;=O$3,RAND()&lt;=H$7),1,0)</f>
        <v>1</v>
      </c>
      <c r="I786">
        <f t="shared" ca="1" si="30"/>
        <v>745</v>
      </c>
      <c r="J786" s="80">
        <f t="shared" ca="1" si="29"/>
        <v>0.96005154639175261</v>
      </c>
    </row>
    <row r="787" spans="7:10" x14ac:dyDescent="0.2">
      <c r="G787" s="60">
        <v>777</v>
      </c>
      <c r="H787">
        <f ca="1">IF(AND(G787&lt;=O$3,RAND()&lt;=H$7),1,0)</f>
        <v>1</v>
      </c>
      <c r="I787">
        <f t="shared" ca="1" si="30"/>
        <v>746</v>
      </c>
      <c r="J787" s="80">
        <f t="shared" ca="1" si="29"/>
        <v>0.96010296010296015</v>
      </c>
    </row>
    <row r="788" spans="7:10" x14ac:dyDescent="0.2">
      <c r="G788" s="60">
        <v>778</v>
      </c>
      <c r="H788">
        <f ca="1">IF(AND(G788&lt;=O$3,RAND()&lt;=H$7),1,0)</f>
        <v>1</v>
      </c>
      <c r="I788">
        <f t="shared" ca="1" si="30"/>
        <v>747</v>
      </c>
      <c r="J788" s="80">
        <f t="shared" ca="1" si="29"/>
        <v>0.96015424164524421</v>
      </c>
    </row>
    <row r="789" spans="7:10" x14ac:dyDescent="0.2">
      <c r="G789" s="60">
        <v>779</v>
      </c>
      <c r="H789">
        <f ca="1">IF(AND(G789&lt;=O$3,RAND()&lt;=H$7),1,0)</f>
        <v>1</v>
      </c>
      <c r="I789">
        <f t="shared" ca="1" si="30"/>
        <v>748</v>
      </c>
      <c r="J789" s="80">
        <f t="shared" ca="1" si="29"/>
        <v>0.96020539152759954</v>
      </c>
    </row>
    <row r="790" spans="7:10" x14ac:dyDescent="0.2">
      <c r="G790" s="60">
        <v>780</v>
      </c>
      <c r="H790">
        <f ca="1">IF(AND(G790&lt;=O$3,RAND()&lt;=H$7),1,0)</f>
        <v>1</v>
      </c>
      <c r="I790">
        <f t="shared" ca="1" si="30"/>
        <v>749</v>
      </c>
      <c r="J790" s="80">
        <f t="shared" ca="1" si="29"/>
        <v>0.96025641025641029</v>
      </c>
    </row>
    <row r="791" spans="7:10" x14ac:dyDescent="0.2">
      <c r="G791" s="60">
        <v>781</v>
      </c>
      <c r="H791">
        <f ca="1">IF(AND(G791&lt;=O$3,RAND()&lt;=H$7),1,0)</f>
        <v>1</v>
      </c>
      <c r="I791">
        <f t="shared" ca="1" si="30"/>
        <v>750</v>
      </c>
      <c r="J791" s="80">
        <f t="shared" ca="1" si="29"/>
        <v>0.96030729833546735</v>
      </c>
    </row>
    <row r="792" spans="7:10" x14ac:dyDescent="0.2">
      <c r="G792" s="60">
        <v>782</v>
      </c>
      <c r="H792">
        <f ca="1">IF(AND(G792&lt;=O$3,RAND()&lt;=H$7),1,0)</f>
        <v>1</v>
      </c>
      <c r="I792">
        <f t="shared" ca="1" si="30"/>
        <v>751</v>
      </c>
      <c r="J792" s="80">
        <f t="shared" ca="1" si="29"/>
        <v>0.96035805626598469</v>
      </c>
    </row>
    <row r="793" spans="7:10" x14ac:dyDescent="0.2">
      <c r="G793" s="60">
        <v>783</v>
      </c>
      <c r="H793">
        <f ca="1">IF(AND(G793&lt;=O$3,RAND()&lt;=H$7),1,0)</f>
        <v>0</v>
      </c>
      <c r="I793">
        <f t="shared" ca="1" si="30"/>
        <v>751</v>
      </c>
      <c r="J793" s="80">
        <f t="shared" ca="1" si="29"/>
        <v>0.95913154533844192</v>
      </c>
    </row>
    <row r="794" spans="7:10" x14ac:dyDescent="0.2">
      <c r="G794" s="60">
        <v>784</v>
      </c>
      <c r="H794">
        <f ca="1">IF(AND(G794&lt;=O$3,RAND()&lt;=H$7),1,0)</f>
        <v>1</v>
      </c>
      <c r="I794">
        <f t="shared" ca="1" si="30"/>
        <v>752</v>
      </c>
      <c r="J794" s="80">
        <f t="shared" ca="1" si="29"/>
        <v>0.95918367346938771</v>
      </c>
    </row>
    <row r="795" spans="7:10" x14ac:dyDescent="0.2">
      <c r="G795" s="60">
        <v>785</v>
      </c>
      <c r="H795">
        <f ca="1">IF(AND(G795&lt;=O$3,RAND()&lt;=H$7),1,0)</f>
        <v>1</v>
      </c>
      <c r="I795">
        <f t="shared" ca="1" si="30"/>
        <v>753</v>
      </c>
      <c r="J795" s="80">
        <f t="shared" ca="1" si="29"/>
        <v>0.95923566878980893</v>
      </c>
    </row>
    <row r="796" spans="7:10" x14ac:dyDescent="0.2">
      <c r="G796" s="60">
        <v>786</v>
      </c>
      <c r="H796">
        <f ca="1">IF(AND(G796&lt;=O$3,RAND()&lt;=H$7),1,0)</f>
        <v>1</v>
      </c>
      <c r="I796">
        <f t="shared" ca="1" si="30"/>
        <v>754</v>
      </c>
      <c r="J796" s="80">
        <f t="shared" ca="1" si="29"/>
        <v>0.95928753180661575</v>
      </c>
    </row>
    <row r="797" spans="7:10" x14ac:dyDescent="0.2">
      <c r="G797" s="60">
        <v>787</v>
      </c>
      <c r="H797">
        <f ca="1">IF(AND(G797&lt;=O$3,RAND()&lt;=H$7),1,0)</f>
        <v>1</v>
      </c>
      <c r="I797">
        <f t="shared" ca="1" si="30"/>
        <v>755</v>
      </c>
      <c r="J797" s="80">
        <f t="shared" ca="1" si="29"/>
        <v>0.9593392630241423</v>
      </c>
    </row>
    <row r="798" spans="7:10" x14ac:dyDescent="0.2">
      <c r="G798" s="60">
        <v>788</v>
      </c>
      <c r="H798">
        <f ca="1">IF(AND(G798&lt;=O$3,RAND()&lt;=H$7),1,0)</f>
        <v>1</v>
      </c>
      <c r="I798">
        <f t="shared" ca="1" si="30"/>
        <v>756</v>
      </c>
      <c r="J798" s="80">
        <f t="shared" ca="1" si="29"/>
        <v>0.95939086294416243</v>
      </c>
    </row>
    <row r="799" spans="7:10" x14ac:dyDescent="0.2">
      <c r="G799" s="60">
        <v>789</v>
      </c>
      <c r="H799">
        <f ca="1">IF(AND(G799&lt;=O$3,RAND()&lt;=H$7),1,0)</f>
        <v>1</v>
      </c>
      <c r="I799">
        <f t="shared" ca="1" si="30"/>
        <v>757</v>
      </c>
      <c r="J799" s="80">
        <f t="shared" ca="1" si="29"/>
        <v>0.95944233206590623</v>
      </c>
    </row>
    <row r="800" spans="7:10" x14ac:dyDescent="0.2">
      <c r="G800" s="60">
        <v>790</v>
      </c>
      <c r="H800">
        <f ca="1">IF(AND(G800&lt;=O$3,RAND()&lt;=H$7),1,0)</f>
        <v>1</v>
      </c>
      <c r="I800">
        <f t="shared" ca="1" si="30"/>
        <v>758</v>
      </c>
      <c r="J800" s="80">
        <f t="shared" ca="1" si="29"/>
        <v>0.95949367088607596</v>
      </c>
    </row>
    <row r="801" spans="7:10" x14ac:dyDescent="0.2">
      <c r="G801" s="60">
        <v>791</v>
      </c>
      <c r="H801">
        <f ca="1">IF(AND(G801&lt;=O$3,RAND()&lt;=H$7),1,0)</f>
        <v>1</v>
      </c>
      <c r="I801">
        <f t="shared" ca="1" si="30"/>
        <v>759</v>
      </c>
      <c r="J801" s="80">
        <f t="shared" ca="1" si="29"/>
        <v>0.95954487989886217</v>
      </c>
    </row>
    <row r="802" spans="7:10" x14ac:dyDescent="0.2">
      <c r="G802" s="60">
        <v>792</v>
      </c>
      <c r="H802">
        <f ca="1">IF(AND(G802&lt;=O$3,RAND()&lt;=H$7),1,0)</f>
        <v>1</v>
      </c>
      <c r="I802">
        <f t="shared" ca="1" si="30"/>
        <v>760</v>
      </c>
      <c r="J802" s="80">
        <f t="shared" ca="1" si="29"/>
        <v>0.95959595959595956</v>
      </c>
    </row>
    <row r="803" spans="7:10" x14ac:dyDescent="0.2">
      <c r="G803" s="60">
        <v>793</v>
      </c>
      <c r="H803">
        <f ca="1">IF(AND(G803&lt;=O$3,RAND()&lt;=H$7),1,0)</f>
        <v>1</v>
      </c>
      <c r="I803">
        <f t="shared" ca="1" si="30"/>
        <v>761</v>
      </c>
      <c r="J803" s="80">
        <f t="shared" ca="1" si="29"/>
        <v>0.95964691046658257</v>
      </c>
    </row>
    <row r="804" spans="7:10" x14ac:dyDescent="0.2">
      <c r="G804" s="60">
        <v>794</v>
      </c>
      <c r="H804">
        <f ca="1">IF(AND(G804&lt;=O$3,RAND()&lt;=H$7),1,0)</f>
        <v>0</v>
      </c>
      <c r="I804">
        <f t="shared" ca="1" si="30"/>
        <v>761</v>
      </c>
      <c r="J804" s="80">
        <f t="shared" ca="1" si="29"/>
        <v>0.95843828715365242</v>
      </c>
    </row>
    <row r="805" spans="7:10" x14ac:dyDescent="0.2">
      <c r="G805" s="60">
        <v>795</v>
      </c>
      <c r="H805">
        <f ca="1">IF(AND(G805&lt;=O$3,RAND()&lt;=H$7),1,0)</f>
        <v>1</v>
      </c>
      <c r="I805">
        <f t="shared" ca="1" si="30"/>
        <v>762</v>
      </c>
      <c r="J805" s="80">
        <f t="shared" ca="1" si="29"/>
        <v>0.95849056603773586</v>
      </c>
    </row>
    <row r="806" spans="7:10" x14ac:dyDescent="0.2">
      <c r="G806" s="60">
        <v>796</v>
      </c>
      <c r="H806">
        <f ca="1">IF(AND(G806&lt;=O$3,RAND()&lt;=H$7),1,0)</f>
        <v>1</v>
      </c>
      <c r="I806">
        <f t="shared" ca="1" si="30"/>
        <v>763</v>
      </c>
      <c r="J806" s="80">
        <f t="shared" ca="1" si="29"/>
        <v>0.95854271356783916</v>
      </c>
    </row>
    <row r="807" spans="7:10" x14ac:dyDescent="0.2">
      <c r="G807" s="60">
        <v>797</v>
      </c>
      <c r="H807">
        <f ca="1">IF(AND(G807&lt;=O$3,RAND()&lt;=H$7),1,0)</f>
        <v>1</v>
      </c>
      <c r="I807">
        <f t="shared" ca="1" si="30"/>
        <v>764</v>
      </c>
      <c r="J807" s="80">
        <f t="shared" ca="1" si="29"/>
        <v>0.95859473023839403</v>
      </c>
    </row>
    <row r="808" spans="7:10" x14ac:dyDescent="0.2">
      <c r="G808" s="60">
        <v>798</v>
      </c>
      <c r="H808">
        <f ca="1">IF(AND(G808&lt;=O$3,RAND()&lt;=H$7),1,0)</f>
        <v>1</v>
      </c>
      <c r="I808">
        <f t="shared" ca="1" si="30"/>
        <v>765</v>
      </c>
      <c r="J808" s="80">
        <f t="shared" ca="1" si="29"/>
        <v>0.95864661654135341</v>
      </c>
    </row>
    <row r="809" spans="7:10" x14ac:dyDescent="0.2">
      <c r="G809" s="60">
        <v>799</v>
      </c>
      <c r="H809">
        <f ca="1">IF(AND(G809&lt;=O$3,RAND()&lt;=H$7),1,0)</f>
        <v>1</v>
      </c>
      <c r="I809">
        <f t="shared" ca="1" si="30"/>
        <v>766</v>
      </c>
      <c r="J809" s="80">
        <f t="shared" ca="1" si="29"/>
        <v>0.95869837296620775</v>
      </c>
    </row>
    <row r="810" spans="7:10" x14ac:dyDescent="0.2">
      <c r="G810" s="60">
        <v>800</v>
      </c>
      <c r="H810">
        <f ca="1">IF(AND(G810&lt;=O$3,RAND()&lt;=H$7),1,0)</f>
        <v>1</v>
      </c>
      <c r="I810">
        <f t="shared" ca="1" si="30"/>
        <v>767</v>
      </c>
      <c r="J810" s="80">
        <f t="shared" ca="1" si="29"/>
        <v>0.95874999999999999</v>
      </c>
    </row>
    <row r="811" spans="7:10" x14ac:dyDescent="0.2">
      <c r="G811" s="60">
        <v>801</v>
      </c>
      <c r="H811">
        <f ca="1">IF(AND(G811&lt;=O$3,RAND()&lt;=H$7),1,0)</f>
        <v>1</v>
      </c>
      <c r="I811">
        <f t="shared" ca="1" si="30"/>
        <v>768</v>
      </c>
      <c r="J811" s="80">
        <f t="shared" ca="1" si="29"/>
        <v>0.95880149812734083</v>
      </c>
    </row>
    <row r="812" spans="7:10" x14ac:dyDescent="0.2">
      <c r="G812" s="60">
        <v>802</v>
      </c>
      <c r="H812">
        <f ca="1">IF(AND(G812&lt;=O$3,RAND()&lt;=H$7),1,0)</f>
        <v>1</v>
      </c>
      <c r="I812">
        <f t="shared" ca="1" si="30"/>
        <v>769</v>
      </c>
      <c r="J812" s="80">
        <f t="shared" ca="1" si="29"/>
        <v>0.95885286783042389</v>
      </c>
    </row>
    <row r="813" spans="7:10" x14ac:dyDescent="0.2">
      <c r="G813" s="60">
        <v>803</v>
      </c>
      <c r="H813">
        <f ca="1">IF(AND(G813&lt;=O$3,RAND()&lt;=H$7),1,0)</f>
        <v>1</v>
      </c>
      <c r="I813">
        <f t="shared" ca="1" si="30"/>
        <v>770</v>
      </c>
      <c r="J813" s="80">
        <f t="shared" ca="1" si="29"/>
        <v>0.95890410958904104</v>
      </c>
    </row>
    <row r="814" spans="7:10" x14ac:dyDescent="0.2">
      <c r="G814" s="60">
        <v>804</v>
      </c>
      <c r="H814">
        <f ca="1">IF(AND(G814&lt;=O$3,RAND()&lt;=H$7),1,0)</f>
        <v>1</v>
      </c>
      <c r="I814">
        <f t="shared" ca="1" si="30"/>
        <v>771</v>
      </c>
      <c r="J814" s="80">
        <f t="shared" ca="1" si="29"/>
        <v>0.95895522388059706</v>
      </c>
    </row>
    <row r="815" spans="7:10" x14ac:dyDescent="0.2">
      <c r="G815" s="60">
        <v>805</v>
      </c>
      <c r="H815">
        <f ca="1">IF(AND(G815&lt;=O$3,RAND()&lt;=H$7),1,0)</f>
        <v>1</v>
      </c>
      <c r="I815">
        <f t="shared" ca="1" si="30"/>
        <v>772</v>
      </c>
      <c r="J815" s="80">
        <f t="shared" ca="1" si="29"/>
        <v>0.95900621118012419</v>
      </c>
    </row>
    <row r="816" spans="7:10" x14ac:dyDescent="0.2">
      <c r="G816" s="60">
        <v>806</v>
      </c>
      <c r="H816">
        <f ca="1">IF(AND(G816&lt;=O$3,RAND()&lt;=H$7),1,0)</f>
        <v>1</v>
      </c>
      <c r="I816">
        <f t="shared" ca="1" si="30"/>
        <v>773</v>
      </c>
      <c r="J816" s="80">
        <f t="shared" ca="1" si="29"/>
        <v>0.95905707196029777</v>
      </c>
    </row>
    <row r="817" spans="7:10" x14ac:dyDescent="0.2">
      <c r="G817" s="60">
        <v>807</v>
      </c>
      <c r="H817">
        <f ca="1">IF(AND(G817&lt;=O$3,RAND()&lt;=H$7),1,0)</f>
        <v>1</v>
      </c>
      <c r="I817">
        <f t="shared" ca="1" si="30"/>
        <v>774</v>
      </c>
      <c r="J817" s="80">
        <f t="shared" ca="1" si="29"/>
        <v>0.95910780669144979</v>
      </c>
    </row>
    <row r="818" spans="7:10" x14ac:dyDescent="0.2">
      <c r="G818" s="60">
        <v>808</v>
      </c>
      <c r="H818">
        <f ca="1">IF(AND(G818&lt;=O$3,RAND()&lt;=H$7),1,0)</f>
        <v>1</v>
      </c>
      <c r="I818">
        <f t="shared" ca="1" si="30"/>
        <v>775</v>
      </c>
      <c r="J818" s="80">
        <f t="shared" ca="1" si="29"/>
        <v>0.95915841584158412</v>
      </c>
    </row>
    <row r="819" spans="7:10" x14ac:dyDescent="0.2">
      <c r="G819" s="60">
        <v>809</v>
      </c>
      <c r="H819">
        <f ca="1">IF(AND(G819&lt;=O$3,RAND()&lt;=H$7),1,0)</f>
        <v>1</v>
      </c>
      <c r="I819">
        <f t="shared" ca="1" si="30"/>
        <v>776</v>
      </c>
      <c r="J819" s="80">
        <f t="shared" ca="1" si="29"/>
        <v>0.95920889987639057</v>
      </c>
    </row>
    <row r="820" spans="7:10" x14ac:dyDescent="0.2">
      <c r="G820" s="60">
        <v>810</v>
      </c>
      <c r="H820">
        <f ca="1">IF(AND(G820&lt;=O$3,RAND()&lt;=H$7),1,0)</f>
        <v>1</v>
      </c>
      <c r="I820">
        <f t="shared" ca="1" si="30"/>
        <v>777</v>
      </c>
      <c r="J820" s="80">
        <f t="shared" ca="1" si="29"/>
        <v>0.95925925925925926</v>
      </c>
    </row>
    <row r="821" spans="7:10" x14ac:dyDescent="0.2">
      <c r="G821" s="60">
        <v>811</v>
      </c>
      <c r="H821">
        <f ca="1">IF(AND(G821&lt;=O$3,RAND()&lt;=H$7),1,0)</f>
        <v>1</v>
      </c>
      <c r="I821">
        <f t="shared" ca="1" si="30"/>
        <v>778</v>
      </c>
      <c r="J821" s="80">
        <f t="shared" ca="1" si="29"/>
        <v>0.95930949445129465</v>
      </c>
    </row>
    <row r="822" spans="7:10" x14ac:dyDescent="0.2">
      <c r="G822" s="60">
        <v>812</v>
      </c>
      <c r="H822">
        <f ca="1">IF(AND(G822&lt;=O$3,RAND()&lt;=H$7),1,0)</f>
        <v>1</v>
      </c>
      <c r="I822">
        <f t="shared" ca="1" si="30"/>
        <v>779</v>
      </c>
      <c r="J822" s="80">
        <f t="shared" ca="1" si="29"/>
        <v>0.95935960591133007</v>
      </c>
    </row>
    <row r="823" spans="7:10" x14ac:dyDescent="0.2">
      <c r="G823" s="60">
        <v>813</v>
      </c>
      <c r="H823">
        <f ca="1">IF(AND(G823&lt;=O$3,RAND()&lt;=H$7),1,0)</f>
        <v>1</v>
      </c>
      <c r="I823">
        <f t="shared" ca="1" si="30"/>
        <v>780</v>
      </c>
      <c r="J823" s="80">
        <f t="shared" ca="1" si="29"/>
        <v>0.95940959409594095</v>
      </c>
    </row>
    <row r="824" spans="7:10" x14ac:dyDescent="0.2">
      <c r="G824" s="60">
        <v>814</v>
      </c>
      <c r="H824">
        <f ca="1">IF(AND(G824&lt;=O$3,RAND()&lt;=H$7),1,0)</f>
        <v>1</v>
      </c>
      <c r="I824">
        <f t="shared" ca="1" si="30"/>
        <v>781</v>
      </c>
      <c r="J824" s="80">
        <f t="shared" ca="1" si="29"/>
        <v>0.95945945945945943</v>
      </c>
    </row>
    <row r="825" spans="7:10" x14ac:dyDescent="0.2">
      <c r="G825" s="60">
        <v>815</v>
      </c>
      <c r="H825">
        <f ca="1">IF(AND(G825&lt;=O$3,RAND()&lt;=H$7),1,0)</f>
        <v>1</v>
      </c>
      <c r="I825">
        <f t="shared" ca="1" si="30"/>
        <v>782</v>
      </c>
      <c r="J825" s="80">
        <f t="shared" ca="1" si="29"/>
        <v>0.95950920245398774</v>
      </c>
    </row>
    <row r="826" spans="7:10" x14ac:dyDescent="0.2">
      <c r="G826" s="60">
        <v>816</v>
      </c>
      <c r="H826">
        <f ca="1">IF(AND(G826&lt;=O$3,RAND()&lt;=H$7),1,0)</f>
        <v>1</v>
      </c>
      <c r="I826">
        <f t="shared" ca="1" si="30"/>
        <v>783</v>
      </c>
      <c r="J826" s="80">
        <f t="shared" ca="1" si="29"/>
        <v>0.9595588235294118</v>
      </c>
    </row>
    <row r="827" spans="7:10" x14ac:dyDescent="0.2">
      <c r="G827" s="60">
        <v>817</v>
      </c>
      <c r="H827">
        <f ca="1">IF(AND(G827&lt;=O$3,RAND()&lt;=H$7),1,0)</f>
        <v>1</v>
      </c>
      <c r="I827">
        <f t="shared" ca="1" si="30"/>
        <v>784</v>
      </c>
      <c r="J827" s="80">
        <f t="shared" ca="1" si="29"/>
        <v>0.95960832313341493</v>
      </c>
    </row>
    <row r="828" spans="7:10" x14ac:dyDescent="0.2">
      <c r="G828" s="60">
        <v>818</v>
      </c>
      <c r="H828">
        <f ca="1">IF(AND(G828&lt;=O$3,RAND()&lt;=H$7),1,0)</f>
        <v>1</v>
      </c>
      <c r="I828">
        <f t="shared" ca="1" si="30"/>
        <v>785</v>
      </c>
      <c r="J828" s="80">
        <f t="shared" ca="1" si="29"/>
        <v>0.95965770171149145</v>
      </c>
    </row>
    <row r="829" spans="7:10" x14ac:dyDescent="0.2">
      <c r="G829" s="60">
        <v>819</v>
      </c>
      <c r="H829">
        <f ca="1">IF(AND(G829&lt;=O$3,RAND()&lt;=H$7),1,0)</f>
        <v>1</v>
      </c>
      <c r="I829">
        <f t="shared" ca="1" si="30"/>
        <v>786</v>
      </c>
      <c r="J829" s="80">
        <f t="shared" ca="1" si="29"/>
        <v>0.95970695970695974</v>
      </c>
    </row>
    <row r="830" spans="7:10" x14ac:dyDescent="0.2">
      <c r="G830" s="60">
        <v>820</v>
      </c>
      <c r="H830">
        <f ca="1">IF(AND(G830&lt;=O$3,RAND()&lt;=H$7),1,0)</f>
        <v>1</v>
      </c>
      <c r="I830">
        <f t="shared" ca="1" si="30"/>
        <v>787</v>
      </c>
      <c r="J830" s="80">
        <f t="shared" ca="1" si="29"/>
        <v>0.95975609756097557</v>
      </c>
    </row>
    <row r="831" spans="7:10" x14ac:dyDescent="0.2">
      <c r="G831" s="60">
        <v>821</v>
      </c>
      <c r="H831">
        <f ca="1">IF(AND(G831&lt;=O$3,RAND()&lt;=H$7),1,0)</f>
        <v>1</v>
      </c>
      <c r="I831">
        <f t="shared" ca="1" si="30"/>
        <v>788</v>
      </c>
      <c r="J831" s="80">
        <f t="shared" ca="1" si="29"/>
        <v>0.95980511571254568</v>
      </c>
    </row>
    <row r="832" spans="7:10" x14ac:dyDescent="0.2">
      <c r="G832" s="60">
        <v>822</v>
      </c>
      <c r="H832">
        <f ca="1">IF(AND(G832&lt;=O$3,RAND()&lt;=H$7),1,0)</f>
        <v>1</v>
      </c>
      <c r="I832">
        <f t="shared" ca="1" si="30"/>
        <v>789</v>
      </c>
      <c r="J832" s="80">
        <f t="shared" ca="1" si="29"/>
        <v>0.95985401459854014</v>
      </c>
    </row>
    <row r="833" spans="7:10" x14ac:dyDescent="0.2">
      <c r="G833" s="60">
        <v>823</v>
      </c>
      <c r="H833">
        <f ca="1">IF(AND(G833&lt;=O$3,RAND()&lt;=H$7),1,0)</f>
        <v>1</v>
      </c>
      <c r="I833">
        <f t="shared" ca="1" si="30"/>
        <v>790</v>
      </c>
      <c r="J833" s="80">
        <f t="shared" ca="1" si="29"/>
        <v>0.95990279465370598</v>
      </c>
    </row>
    <row r="834" spans="7:10" x14ac:dyDescent="0.2">
      <c r="G834" s="60">
        <v>824</v>
      </c>
      <c r="H834">
        <f ca="1">IF(AND(G834&lt;=O$3,RAND()&lt;=H$7),1,0)</f>
        <v>1</v>
      </c>
      <c r="I834">
        <f t="shared" ca="1" si="30"/>
        <v>791</v>
      </c>
      <c r="J834" s="80">
        <f t="shared" ca="1" si="29"/>
        <v>0.95995145631067957</v>
      </c>
    </row>
    <row r="835" spans="7:10" x14ac:dyDescent="0.2">
      <c r="G835" s="60">
        <v>825</v>
      </c>
      <c r="H835">
        <f ca="1">IF(AND(G835&lt;=O$3,RAND()&lt;=H$7),1,0)</f>
        <v>1</v>
      </c>
      <c r="I835">
        <f t="shared" ca="1" si="30"/>
        <v>792</v>
      </c>
      <c r="J835" s="80">
        <f t="shared" ca="1" si="29"/>
        <v>0.96</v>
      </c>
    </row>
    <row r="836" spans="7:10" x14ac:dyDescent="0.2">
      <c r="G836" s="60">
        <v>826</v>
      </c>
      <c r="H836">
        <f ca="1">IF(AND(G836&lt;=O$3,RAND()&lt;=H$7),1,0)</f>
        <v>1</v>
      </c>
      <c r="I836">
        <f t="shared" ca="1" si="30"/>
        <v>793</v>
      </c>
      <c r="J836" s="80">
        <f t="shared" ca="1" si="29"/>
        <v>0.96004842615012109</v>
      </c>
    </row>
    <row r="837" spans="7:10" x14ac:dyDescent="0.2">
      <c r="G837" s="60">
        <v>827</v>
      </c>
      <c r="H837">
        <f ca="1">IF(AND(G837&lt;=O$3,RAND()&lt;=H$7),1,0)</f>
        <v>1</v>
      </c>
      <c r="I837">
        <f t="shared" ca="1" si="30"/>
        <v>794</v>
      </c>
      <c r="J837" s="80">
        <f t="shared" ca="1" si="29"/>
        <v>0.96009673518742444</v>
      </c>
    </row>
    <row r="838" spans="7:10" x14ac:dyDescent="0.2">
      <c r="G838" s="60">
        <v>828</v>
      </c>
      <c r="H838">
        <f ca="1">IF(AND(G838&lt;=O$3,RAND()&lt;=H$7),1,0)</f>
        <v>1</v>
      </c>
      <c r="I838">
        <f t="shared" ca="1" si="30"/>
        <v>795</v>
      </c>
      <c r="J838" s="80">
        <f t="shared" ca="1" si="29"/>
        <v>0.96014492753623193</v>
      </c>
    </row>
    <row r="839" spans="7:10" x14ac:dyDescent="0.2">
      <c r="G839" s="60">
        <v>829</v>
      </c>
      <c r="H839">
        <f ca="1">IF(AND(G839&lt;=O$3,RAND()&lt;=H$7),1,0)</f>
        <v>1</v>
      </c>
      <c r="I839">
        <f t="shared" ca="1" si="30"/>
        <v>796</v>
      </c>
      <c r="J839" s="80">
        <f t="shared" ca="1" si="29"/>
        <v>0.96019300361881788</v>
      </c>
    </row>
    <row r="840" spans="7:10" x14ac:dyDescent="0.2">
      <c r="G840" s="60">
        <v>830</v>
      </c>
      <c r="H840">
        <f ca="1">IF(AND(G840&lt;=O$3,RAND()&lt;=H$7),1,0)</f>
        <v>0</v>
      </c>
      <c r="I840">
        <f t="shared" ca="1" si="30"/>
        <v>796</v>
      </c>
      <c r="J840" s="80">
        <f t="shared" ca="1" si="29"/>
        <v>0.95903614457831321</v>
      </c>
    </row>
    <row r="841" spans="7:10" x14ac:dyDescent="0.2">
      <c r="G841" s="60">
        <v>831</v>
      </c>
      <c r="H841">
        <f ca="1">IF(AND(G841&lt;=O$3,RAND()&lt;=H$7),1,0)</f>
        <v>1</v>
      </c>
      <c r="I841">
        <f t="shared" ca="1" si="30"/>
        <v>797</v>
      </c>
      <c r="J841" s="80">
        <f t="shared" ca="1" si="29"/>
        <v>0.95908543922984357</v>
      </c>
    </row>
    <row r="842" spans="7:10" x14ac:dyDescent="0.2">
      <c r="G842" s="60">
        <v>832</v>
      </c>
      <c r="H842">
        <f ca="1">IF(AND(G842&lt;=O$3,RAND()&lt;=H$7),1,0)</f>
        <v>1</v>
      </c>
      <c r="I842">
        <f t="shared" ca="1" si="30"/>
        <v>798</v>
      </c>
      <c r="J842" s="80">
        <f t="shared" ca="1" si="29"/>
        <v>0.95913461538461542</v>
      </c>
    </row>
    <row r="843" spans="7:10" x14ac:dyDescent="0.2">
      <c r="G843" s="60">
        <v>833</v>
      </c>
      <c r="H843">
        <f ca="1">IF(AND(G843&lt;=O$3,RAND()&lt;=H$7),1,0)</f>
        <v>1</v>
      </c>
      <c r="I843">
        <f t="shared" ca="1" si="30"/>
        <v>799</v>
      </c>
      <c r="J843" s="80">
        <f t="shared" ca="1" si="29"/>
        <v>0.95918367346938771</v>
      </c>
    </row>
    <row r="844" spans="7:10" x14ac:dyDescent="0.2">
      <c r="G844" s="60">
        <v>834</v>
      </c>
      <c r="H844">
        <f ca="1">IF(AND(G844&lt;=O$3,RAND()&lt;=H$7),1,0)</f>
        <v>1</v>
      </c>
      <c r="I844">
        <f t="shared" ca="1" si="30"/>
        <v>800</v>
      </c>
      <c r="J844" s="80">
        <f t="shared" ref="J844:J907" ca="1" si="31">I844/G844</f>
        <v>0.95923261390887293</v>
      </c>
    </row>
    <row r="845" spans="7:10" x14ac:dyDescent="0.2">
      <c r="G845" s="60">
        <v>835</v>
      </c>
      <c r="H845">
        <f ca="1">IF(AND(G845&lt;=O$3,RAND()&lt;=H$7),1,0)</f>
        <v>1</v>
      </c>
      <c r="I845">
        <f t="shared" ref="I845:I908" ca="1" si="32">H845+I844</f>
        <v>801</v>
      </c>
      <c r="J845" s="80">
        <f t="shared" ca="1" si="31"/>
        <v>0.95928143712574854</v>
      </c>
    </row>
    <row r="846" spans="7:10" x14ac:dyDescent="0.2">
      <c r="G846" s="60">
        <v>836</v>
      </c>
      <c r="H846">
        <f ca="1">IF(AND(G846&lt;=O$3,RAND()&lt;=H$7),1,0)</f>
        <v>1</v>
      </c>
      <c r="I846">
        <f t="shared" ca="1" si="32"/>
        <v>802</v>
      </c>
      <c r="J846" s="80">
        <f t="shared" ca="1" si="31"/>
        <v>0.95933014354066981</v>
      </c>
    </row>
    <row r="847" spans="7:10" x14ac:dyDescent="0.2">
      <c r="G847" s="60">
        <v>837</v>
      </c>
      <c r="H847">
        <f ca="1">IF(AND(G847&lt;=O$3,RAND()&lt;=H$7),1,0)</f>
        <v>1</v>
      </c>
      <c r="I847">
        <f t="shared" ca="1" si="32"/>
        <v>803</v>
      </c>
      <c r="J847" s="80">
        <f t="shared" ca="1" si="31"/>
        <v>0.95937873357228198</v>
      </c>
    </row>
    <row r="848" spans="7:10" x14ac:dyDescent="0.2">
      <c r="G848" s="60">
        <v>838</v>
      </c>
      <c r="H848">
        <f ca="1">IF(AND(G848&lt;=O$3,RAND()&lt;=H$7),1,0)</f>
        <v>1</v>
      </c>
      <c r="I848">
        <f t="shared" ca="1" si="32"/>
        <v>804</v>
      </c>
      <c r="J848" s="80">
        <f t="shared" ca="1" si="31"/>
        <v>0.95942720763723155</v>
      </c>
    </row>
    <row r="849" spans="7:10" x14ac:dyDescent="0.2">
      <c r="G849" s="60">
        <v>839</v>
      </c>
      <c r="H849">
        <f ca="1">IF(AND(G849&lt;=O$3,RAND()&lt;=H$7),1,0)</f>
        <v>1</v>
      </c>
      <c r="I849">
        <f t="shared" ca="1" si="32"/>
        <v>805</v>
      </c>
      <c r="J849" s="80">
        <f t="shared" ca="1" si="31"/>
        <v>0.95947556615017882</v>
      </c>
    </row>
    <row r="850" spans="7:10" x14ac:dyDescent="0.2">
      <c r="G850" s="60">
        <v>840</v>
      </c>
      <c r="H850">
        <f ca="1">IF(AND(G850&lt;=O$3,RAND()&lt;=H$7),1,0)</f>
        <v>1</v>
      </c>
      <c r="I850">
        <f t="shared" ca="1" si="32"/>
        <v>806</v>
      </c>
      <c r="J850" s="80">
        <f t="shared" ca="1" si="31"/>
        <v>0.95952380952380956</v>
      </c>
    </row>
    <row r="851" spans="7:10" x14ac:dyDescent="0.2">
      <c r="G851" s="60">
        <v>841</v>
      </c>
      <c r="H851">
        <f ca="1">IF(AND(G851&lt;=O$3,RAND()&lt;=H$7),1,0)</f>
        <v>1</v>
      </c>
      <c r="I851">
        <f t="shared" ca="1" si="32"/>
        <v>807</v>
      </c>
      <c r="J851" s="80">
        <f t="shared" ca="1" si="31"/>
        <v>0.95957193816884656</v>
      </c>
    </row>
    <row r="852" spans="7:10" x14ac:dyDescent="0.2">
      <c r="G852" s="60">
        <v>842</v>
      </c>
      <c r="H852">
        <f ca="1">IF(AND(G852&lt;=O$3,RAND()&lt;=H$7),1,0)</f>
        <v>1</v>
      </c>
      <c r="I852">
        <f t="shared" ca="1" si="32"/>
        <v>808</v>
      </c>
      <c r="J852" s="80">
        <f t="shared" ca="1" si="31"/>
        <v>0.95961995249406173</v>
      </c>
    </row>
    <row r="853" spans="7:10" x14ac:dyDescent="0.2">
      <c r="G853" s="60">
        <v>843</v>
      </c>
      <c r="H853">
        <f ca="1">IF(AND(G853&lt;=O$3,RAND()&lt;=H$7),1,0)</f>
        <v>1</v>
      </c>
      <c r="I853">
        <f t="shared" ca="1" si="32"/>
        <v>809</v>
      </c>
      <c r="J853" s="80">
        <f t="shared" ca="1" si="31"/>
        <v>0.95966785290628709</v>
      </c>
    </row>
    <row r="854" spans="7:10" x14ac:dyDescent="0.2">
      <c r="G854" s="60">
        <v>844</v>
      </c>
      <c r="H854">
        <f ca="1">IF(AND(G854&lt;=O$3,RAND()&lt;=H$7),1,0)</f>
        <v>1</v>
      </c>
      <c r="I854">
        <f t="shared" ca="1" si="32"/>
        <v>810</v>
      </c>
      <c r="J854" s="80">
        <f t="shared" ca="1" si="31"/>
        <v>0.95971563981042651</v>
      </c>
    </row>
    <row r="855" spans="7:10" x14ac:dyDescent="0.2">
      <c r="G855" s="60">
        <v>845</v>
      </c>
      <c r="H855">
        <f ca="1">IF(AND(G855&lt;=O$3,RAND()&lt;=H$7),1,0)</f>
        <v>1</v>
      </c>
      <c r="I855">
        <f t="shared" ca="1" si="32"/>
        <v>811</v>
      </c>
      <c r="J855" s="80">
        <f t="shared" ca="1" si="31"/>
        <v>0.95976331360946743</v>
      </c>
    </row>
    <row r="856" spans="7:10" x14ac:dyDescent="0.2">
      <c r="G856" s="60">
        <v>846</v>
      </c>
      <c r="H856">
        <f ca="1">IF(AND(G856&lt;=O$3,RAND()&lt;=H$7),1,0)</f>
        <v>1</v>
      </c>
      <c r="I856">
        <f t="shared" ca="1" si="32"/>
        <v>812</v>
      </c>
      <c r="J856" s="80">
        <f t="shared" ca="1" si="31"/>
        <v>0.95981087470449178</v>
      </c>
    </row>
    <row r="857" spans="7:10" x14ac:dyDescent="0.2">
      <c r="G857" s="60">
        <v>847</v>
      </c>
      <c r="H857">
        <f ca="1">IF(AND(G857&lt;=O$3,RAND()&lt;=H$7),1,0)</f>
        <v>1</v>
      </c>
      <c r="I857">
        <f t="shared" ca="1" si="32"/>
        <v>813</v>
      </c>
      <c r="J857" s="80">
        <f t="shared" ca="1" si="31"/>
        <v>0.95985832349468714</v>
      </c>
    </row>
    <row r="858" spans="7:10" x14ac:dyDescent="0.2">
      <c r="G858" s="60">
        <v>848</v>
      </c>
      <c r="H858">
        <f ca="1">IF(AND(G858&lt;=O$3,RAND()&lt;=H$7),1,0)</f>
        <v>1</v>
      </c>
      <c r="I858">
        <f t="shared" ca="1" si="32"/>
        <v>814</v>
      </c>
      <c r="J858" s="80">
        <f t="shared" ca="1" si="31"/>
        <v>0.95990566037735847</v>
      </c>
    </row>
    <row r="859" spans="7:10" x14ac:dyDescent="0.2">
      <c r="G859" s="60">
        <v>849</v>
      </c>
      <c r="H859">
        <f ca="1">IF(AND(G859&lt;=O$3,RAND()&lt;=H$7),1,0)</f>
        <v>1</v>
      </c>
      <c r="I859">
        <f t="shared" ca="1" si="32"/>
        <v>815</v>
      </c>
      <c r="J859" s="80">
        <f t="shared" ca="1" si="31"/>
        <v>0.9599528857479388</v>
      </c>
    </row>
    <row r="860" spans="7:10" x14ac:dyDescent="0.2">
      <c r="G860" s="60">
        <v>850</v>
      </c>
      <c r="H860">
        <f ca="1">IF(AND(G860&lt;=O$3,RAND()&lt;=H$7),1,0)</f>
        <v>1</v>
      </c>
      <c r="I860">
        <f t="shared" ca="1" si="32"/>
        <v>816</v>
      </c>
      <c r="J860" s="80">
        <f t="shared" ca="1" si="31"/>
        <v>0.96</v>
      </c>
    </row>
    <row r="861" spans="7:10" x14ac:dyDescent="0.2">
      <c r="G861" s="60">
        <v>851</v>
      </c>
      <c r="H861">
        <f ca="1">IF(AND(G861&lt;=O$3,RAND()&lt;=H$7),1,0)</f>
        <v>1</v>
      </c>
      <c r="I861">
        <f t="shared" ca="1" si="32"/>
        <v>817</v>
      </c>
      <c r="J861" s="80">
        <f t="shared" ca="1" si="31"/>
        <v>0.9600470035252644</v>
      </c>
    </row>
    <row r="862" spans="7:10" x14ac:dyDescent="0.2">
      <c r="G862" s="60">
        <v>852</v>
      </c>
      <c r="H862">
        <f ca="1">IF(AND(G862&lt;=O$3,RAND()&lt;=H$7),1,0)</f>
        <v>1</v>
      </c>
      <c r="I862">
        <f t="shared" ca="1" si="32"/>
        <v>818</v>
      </c>
      <c r="J862" s="80">
        <f t="shared" ca="1" si="31"/>
        <v>0.960093896713615</v>
      </c>
    </row>
    <row r="863" spans="7:10" x14ac:dyDescent="0.2">
      <c r="G863" s="60">
        <v>853</v>
      </c>
      <c r="H863">
        <f ca="1">IF(AND(G863&lt;=O$3,RAND()&lt;=H$7),1,0)</f>
        <v>1</v>
      </c>
      <c r="I863">
        <f t="shared" ca="1" si="32"/>
        <v>819</v>
      </c>
      <c r="J863" s="80">
        <f ca="1">I863/G863</f>
        <v>0.9601406799531067</v>
      </c>
    </row>
    <row r="864" spans="7:10" x14ac:dyDescent="0.2">
      <c r="G864" s="60">
        <v>854</v>
      </c>
      <c r="H864">
        <f ca="1">IF(AND(G864&lt;=O$3,RAND()&lt;=H$7),1,0)</f>
        <v>1</v>
      </c>
      <c r="I864">
        <f t="shared" ca="1" si="32"/>
        <v>820</v>
      </c>
      <c r="J864" s="80">
        <f t="shared" ca="1" si="31"/>
        <v>0.96018735362997654</v>
      </c>
    </row>
    <row r="865" spans="7:10" x14ac:dyDescent="0.2">
      <c r="G865" s="60">
        <v>855</v>
      </c>
      <c r="H865">
        <f ca="1">IF(AND(G865&lt;=O$3,RAND()&lt;=H$7),1,0)</f>
        <v>1</v>
      </c>
      <c r="I865">
        <f t="shared" ca="1" si="32"/>
        <v>821</v>
      </c>
      <c r="J865" s="80">
        <f t="shared" ca="1" si="31"/>
        <v>0.960233918128655</v>
      </c>
    </row>
    <row r="866" spans="7:10" x14ac:dyDescent="0.2">
      <c r="G866" s="60">
        <v>856</v>
      </c>
      <c r="H866">
        <f ca="1">IF(AND(G866&lt;=O$3,RAND()&lt;=H$7),1,0)</f>
        <v>1</v>
      </c>
      <c r="I866">
        <f t="shared" ca="1" si="32"/>
        <v>822</v>
      </c>
      <c r="J866" s="80">
        <f t="shared" ca="1" si="31"/>
        <v>0.96028037383177567</v>
      </c>
    </row>
    <row r="867" spans="7:10" x14ac:dyDescent="0.2">
      <c r="G867" s="60">
        <v>857</v>
      </c>
      <c r="H867">
        <f ca="1">IF(AND(G867&lt;=O$3,RAND()&lt;=H$7),1,0)</f>
        <v>1</v>
      </c>
      <c r="I867">
        <f t="shared" ca="1" si="32"/>
        <v>823</v>
      </c>
      <c r="J867" s="80">
        <f t="shared" ca="1" si="31"/>
        <v>0.96032672112018669</v>
      </c>
    </row>
    <row r="868" spans="7:10" x14ac:dyDescent="0.2">
      <c r="G868" s="60">
        <v>858</v>
      </c>
      <c r="H868">
        <f ca="1">IF(AND(G868&lt;=O$3,RAND()&lt;=H$7),1,0)</f>
        <v>1</v>
      </c>
      <c r="I868">
        <f t="shared" ca="1" si="32"/>
        <v>824</v>
      </c>
      <c r="J868" s="80">
        <f t="shared" ca="1" si="31"/>
        <v>0.96037296037296038</v>
      </c>
    </row>
    <row r="869" spans="7:10" x14ac:dyDescent="0.2">
      <c r="G869" s="60">
        <v>859</v>
      </c>
      <c r="H869">
        <f ca="1">IF(AND(G869&lt;=O$3,RAND()&lt;=H$7),1,0)</f>
        <v>1</v>
      </c>
      <c r="I869">
        <f t="shared" ca="1" si="32"/>
        <v>825</v>
      </c>
      <c r="J869" s="80">
        <f t="shared" ca="1" si="31"/>
        <v>0.96041909196740394</v>
      </c>
    </row>
    <row r="870" spans="7:10" x14ac:dyDescent="0.2">
      <c r="G870" s="60">
        <v>860</v>
      </c>
      <c r="H870">
        <f ca="1">IF(AND(G870&lt;=O$3,RAND()&lt;=H$7),1,0)</f>
        <v>1</v>
      </c>
      <c r="I870">
        <f t="shared" ca="1" si="32"/>
        <v>826</v>
      </c>
      <c r="J870" s="80">
        <f t="shared" ca="1" si="31"/>
        <v>0.96046511627906972</v>
      </c>
    </row>
    <row r="871" spans="7:10" x14ac:dyDescent="0.2">
      <c r="G871" s="60">
        <v>861</v>
      </c>
      <c r="H871">
        <f ca="1">IF(AND(G871&lt;=O$3,RAND()&lt;=H$7),1,0)</f>
        <v>1</v>
      </c>
      <c r="I871">
        <f t="shared" ca="1" si="32"/>
        <v>827</v>
      </c>
      <c r="J871" s="80">
        <f t="shared" ca="1" si="31"/>
        <v>0.96051103368176538</v>
      </c>
    </row>
    <row r="872" spans="7:10" x14ac:dyDescent="0.2">
      <c r="G872" s="60">
        <v>862</v>
      </c>
      <c r="H872">
        <f ca="1">IF(AND(G872&lt;=O$3,RAND()&lt;=H$7),1,0)</f>
        <v>1</v>
      </c>
      <c r="I872">
        <f t="shared" ca="1" si="32"/>
        <v>828</v>
      </c>
      <c r="J872" s="80">
        <f t="shared" ca="1" si="31"/>
        <v>0.96055684454756385</v>
      </c>
    </row>
    <row r="873" spans="7:10" x14ac:dyDescent="0.2">
      <c r="G873" s="60">
        <v>863</v>
      </c>
      <c r="H873">
        <f ca="1">IF(AND(G873&lt;=O$3,RAND()&lt;=H$7),1,0)</f>
        <v>1</v>
      </c>
      <c r="I873">
        <f t="shared" ca="1" si="32"/>
        <v>829</v>
      </c>
      <c r="J873" s="80">
        <f t="shared" ca="1" si="31"/>
        <v>0.96060254924681343</v>
      </c>
    </row>
    <row r="874" spans="7:10" x14ac:dyDescent="0.2">
      <c r="G874" s="60">
        <v>864</v>
      </c>
      <c r="H874">
        <f ca="1">IF(AND(G874&lt;=O$3,RAND()&lt;=H$7),1,0)</f>
        <v>1</v>
      </c>
      <c r="I874">
        <f t="shared" ca="1" si="32"/>
        <v>830</v>
      </c>
      <c r="J874" s="80">
        <f t="shared" ca="1" si="31"/>
        <v>0.96064814814814814</v>
      </c>
    </row>
    <row r="875" spans="7:10" x14ac:dyDescent="0.2">
      <c r="G875" s="60">
        <v>865</v>
      </c>
      <c r="H875">
        <f ca="1">IF(AND(G875&lt;=O$3,RAND()&lt;=H$7),1,0)</f>
        <v>1</v>
      </c>
      <c r="I875">
        <f t="shared" ca="1" si="32"/>
        <v>831</v>
      </c>
      <c r="J875" s="80">
        <f t="shared" ca="1" si="31"/>
        <v>0.96069364161849713</v>
      </c>
    </row>
    <row r="876" spans="7:10" x14ac:dyDescent="0.2">
      <c r="G876" s="60">
        <v>866</v>
      </c>
      <c r="H876">
        <f ca="1">IF(AND(G876&lt;=O$3,RAND()&lt;=H$7),1,0)</f>
        <v>1</v>
      </c>
      <c r="I876">
        <f t="shared" ca="1" si="32"/>
        <v>832</v>
      </c>
      <c r="J876" s="80">
        <f t="shared" ca="1" si="31"/>
        <v>0.96073903002309469</v>
      </c>
    </row>
    <row r="877" spans="7:10" x14ac:dyDescent="0.2">
      <c r="G877" s="60">
        <v>867</v>
      </c>
      <c r="H877">
        <f ca="1">IF(AND(G877&lt;=O$3,RAND()&lt;=H$7),1,0)</f>
        <v>1</v>
      </c>
      <c r="I877">
        <f t="shared" ca="1" si="32"/>
        <v>833</v>
      </c>
      <c r="J877" s="80">
        <f t="shared" ca="1" si="31"/>
        <v>0.96078431372549022</v>
      </c>
    </row>
    <row r="878" spans="7:10" x14ac:dyDescent="0.2">
      <c r="G878" s="60">
        <v>868</v>
      </c>
      <c r="H878">
        <f ca="1">IF(AND(G878&lt;=O$3,RAND()&lt;=H$7),1,0)</f>
        <v>1</v>
      </c>
      <c r="I878">
        <f t="shared" ca="1" si="32"/>
        <v>834</v>
      </c>
      <c r="J878" s="80">
        <f t="shared" ca="1" si="31"/>
        <v>0.96082949308755761</v>
      </c>
    </row>
    <row r="879" spans="7:10" x14ac:dyDescent="0.2">
      <c r="G879" s="60">
        <v>869</v>
      </c>
      <c r="H879">
        <f ca="1">IF(AND(G879&lt;=O$3,RAND()&lt;=H$7),1,0)</f>
        <v>1</v>
      </c>
      <c r="I879">
        <f t="shared" ca="1" si="32"/>
        <v>835</v>
      </c>
      <c r="J879" s="80">
        <f t="shared" ca="1" si="31"/>
        <v>0.96087456846950514</v>
      </c>
    </row>
    <row r="880" spans="7:10" x14ac:dyDescent="0.2">
      <c r="G880" s="60">
        <v>870</v>
      </c>
      <c r="H880">
        <f ca="1">IF(AND(G880&lt;=O$3,RAND()&lt;=H$7),1,0)</f>
        <v>1</v>
      </c>
      <c r="I880">
        <f t="shared" ca="1" si="32"/>
        <v>836</v>
      </c>
      <c r="J880" s="80">
        <f t="shared" ca="1" si="31"/>
        <v>0.96091954022988502</v>
      </c>
    </row>
    <row r="881" spans="7:10" x14ac:dyDescent="0.2">
      <c r="G881" s="60">
        <v>871</v>
      </c>
      <c r="H881">
        <f ca="1">IF(AND(G881&lt;=O$3,RAND()&lt;=H$7),1,0)</f>
        <v>1</v>
      </c>
      <c r="I881">
        <f t="shared" ca="1" si="32"/>
        <v>837</v>
      </c>
      <c r="J881" s="80">
        <f t="shared" ca="1" si="31"/>
        <v>0.96096440872560274</v>
      </c>
    </row>
    <row r="882" spans="7:10" x14ac:dyDescent="0.2">
      <c r="G882" s="60">
        <v>872</v>
      </c>
      <c r="H882">
        <f ca="1">IF(AND(G882&lt;=O$3,RAND()&lt;=H$7),1,0)</f>
        <v>1</v>
      </c>
      <c r="I882">
        <f t="shared" ca="1" si="32"/>
        <v>838</v>
      </c>
      <c r="J882" s="80">
        <f t="shared" ca="1" si="31"/>
        <v>0.96100917431192656</v>
      </c>
    </row>
    <row r="883" spans="7:10" x14ac:dyDescent="0.2">
      <c r="G883" s="60">
        <v>873</v>
      </c>
      <c r="H883">
        <f ca="1">IF(AND(G883&lt;=O$3,RAND()&lt;=H$7),1,0)</f>
        <v>1</v>
      </c>
      <c r="I883">
        <f t="shared" ca="1" si="32"/>
        <v>839</v>
      </c>
      <c r="J883" s="80">
        <f t="shared" ca="1" si="31"/>
        <v>0.96105383734249716</v>
      </c>
    </row>
    <row r="884" spans="7:10" x14ac:dyDescent="0.2">
      <c r="G884" s="60">
        <v>874</v>
      </c>
      <c r="H884">
        <f ca="1">IF(AND(G884&lt;=O$3,RAND()&lt;=H$7),1,0)</f>
        <v>1</v>
      </c>
      <c r="I884">
        <f t="shared" ca="1" si="32"/>
        <v>840</v>
      </c>
      <c r="J884" s="80">
        <f t="shared" ca="1" si="31"/>
        <v>0.9610983981693364</v>
      </c>
    </row>
    <row r="885" spans="7:10" x14ac:dyDescent="0.2">
      <c r="G885" s="60">
        <v>875</v>
      </c>
      <c r="H885">
        <f ca="1">IF(AND(G885&lt;=O$3,RAND()&lt;=H$7),1,0)</f>
        <v>1</v>
      </c>
      <c r="I885">
        <f t="shared" ca="1" si="32"/>
        <v>841</v>
      </c>
      <c r="J885" s="80">
        <f t="shared" ca="1" si="31"/>
        <v>0.96114285714285719</v>
      </c>
    </row>
    <row r="886" spans="7:10" x14ac:dyDescent="0.2">
      <c r="G886" s="60">
        <v>876</v>
      </c>
      <c r="H886">
        <f ca="1">IF(AND(G886&lt;=O$3,RAND()&lt;=H$7),1,0)</f>
        <v>0</v>
      </c>
      <c r="I886">
        <f t="shared" ca="1" si="32"/>
        <v>841</v>
      </c>
      <c r="J886" s="80">
        <f t="shared" ca="1" si="31"/>
        <v>0.96004566210045661</v>
      </c>
    </row>
    <row r="887" spans="7:10" x14ac:dyDescent="0.2">
      <c r="G887" s="60">
        <v>877</v>
      </c>
      <c r="H887">
        <f ca="1">IF(AND(G887&lt;=O$3,RAND()&lt;=H$7),1,0)</f>
        <v>0</v>
      </c>
      <c r="I887">
        <f t="shared" ca="1" si="32"/>
        <v>841</v>
      </c>
      <c r="J887" s="80">
        <f t="shared" ca="1" si="31"/>
        <v>0.95895096921322687</v>
      </c>
    </row>
    <row r="888" spans="7:10" x14ac:dyDescent="0.2">
      <c r="G888" s="60">
        <v>878</v>
      </c>
      <c r="H888">
        <f ca="1">IF(AND(G888&lt;=O$3,RAND()&lt;=H$7),1,0)</f>
        <v>1</v>
      </c>
      <c r="I888">
        <f t="shared" ca="1" si="32"/>
        <v>842</v>
      </c>
      <c r="J888" s="80">
        <f t="shared" ca="1" si="31"/>
        <v>0.95899772209567202</v>
      </c>
    </row>
    <row r="889" spans="7:10" x14ac:dyDescent="0.2">
      <c r="G889" s="60">
        <v>879</v>
      </c>
      <c r="H889">
        <f ca="1">IF(AND(G889&lt;=O$3,RAND()&lt;=H$7),1,0)</f>
        <v>1</v>
      </c>
      <c r="I889">
        <f t="shared" ca="1" si="32"/>
        <v>843</v>
      </c>
      <c r="J889" s="80">
        <f t="shared" ca="1" si="31"/>
        <v>0.95904436860068254</v>
      </c>
    </row>
    <row r="890" spans="7:10" x14ac:dyDescent="0.2">
      <c r="G890" s="60">
        <v>880</v>
      </c>
      <c r="H890">
        <f ca="1">IF(AND(G890&lt;=O$3,RAND()&lt;=H$7),1,0)</f>
        <v>1</v>
      </c>
      <c r="I890">
        <f t="shared" ca="1" si="32"/>
        <v>844</v>
      </c>
      <c r="J890" s="80">
        <f t="shared" ca="1" si="31"/>
        <v>0.95909090909090911</v>
      </c>
    </row>
    <row r="891" spans="7:10" x14ac:dyDescent="0.2">
      <c r="G891" s="60">
        <v>881</v>
      </c>
      <c r="H891">
        <f ca="1">IF(AND(G891&lt;=O$3,RAND()&lt;=H$7),1,0)</f>
        <v>1</v>
      </c>
      <c r="I891">
        <f t="shared" ca="1" si="32"/>
        <v>845</v>
      </c>
      <c r="J891" s="80">
        <f t="shared" ca="1" si="31"/>
        <v>0.95913734392735528</v>
      </c>
    </row>
    <row r="892" spans="7:10" x14ac:dyDescent="0.2">
      <c r="G892" s="60">
        <v>882</v>
      </c>
      <c r="H892">
        <f ca="1">IF(AND(G892&lt;=O$3,RAND()&lt;=H$7),1,0)</f>
        <v>1</v>
      </c>
      <c r="I892">
        <f t="shared" ca="1" si="32"/>
        <v>846</v>
      </c>
      <c r="J892" s="80">
        <f t="shared" ca="1" si="31"/>
        <v>0.95918367346938771</v>
      </c>
    </row>
    <row r="893" spans="7:10" x14ac:dyDescent="0.2">
      <c r="G893" s="60">
        <v>883</v>
      </c>
      <c r="H893">
        <f ca="1">IF(AND(G893&lt;=O$3,RAND()&lt;=H$7),1,0)</f>
        <v>1</v>
      </c>
      <c r="I893">
        <f t="shared" ca="1" si="32"/>
        <v>847</v>
      </c>
      <c r="J893" s="80">
        <f t="shared" ca="1" si="31"/>
        <v>0.95922989807474524</v>
      </c>
    </row>
    <row r="894" spans="7:10" x14ac:dyDescent="0.2">
      <c r="G894" s="60">
        <v>884</v>
      </c>
      <c r="H894">
        <f ca="1">IF(AND(G894&lt;=O$3,RAND()&lt;=H$7),1,0)</f>
        <v>1</v>
      </c>
      <c r="I894">
        <f t="shared" ca="1" si="32"/>
        <v>848</v>
      </c>
      <c r="J894" s="80">
        <f t="shared" ca="1" si="31"/>
        <v>0.95927601809954754</v>
      </c>
    </row>
    <row r="895" spans="7:10" x14ac:dyDescent="0.2">
      <c r="G895" s="60">
        <v>885</v>
      </c>
      <c r="H895">
        <f ca="1">IF(AND(G895&lt;=O$3,RAND()&lt;=H$7),1,0)</f>
        <v>1</v>
      </c>
      <c r="I895">
        <f t="shared" ca="1" si="32"/>
        <v>849</v>
      </c>
      <c r="J895" s="80">
        <f t="shared" ca="1" si="31"/>
        <v>0.95932203389830506</v>
      </c>
    </row>
    <row r="896" spans="7:10" x14ac:dyDescent="0.2">
      <c r="G896" s="60">
        <v>886</v>
      </c>
      <c r="H896">
        <f ca="1">IF(AND(G896&lt;=O$3,RAND()&lt;=H$7),1,0)</f>
        <v>1</v>
      </c>
      <c r="I896">
        <f t="shared" ca="1" si="32"/>
        <v>850</v>
      </c>
      <c r="J896" s="80">
        <f t="shared" ca="1" si="31"/>
        <v>0.95936794582392781</v>
      </c>
    </row>
    <row r="897" spans="7:10" x14ac:dyDescent="0.2">
      <c r="G897" s="60">
        <v>887</v>
      </c>
      <c r="H897">
        <f ca="1">IF(AND(G897&lt;=O$3,RAND()&lt;=H$7),1,0)</f>
        <v>1</v>
      </c>
      <c r="I897">
        <f t="shared" ca="1" si="32"/>
        <v>851</v>
      </c>
      <c r="J897" s="80">
        <f t="shared" ca="1" si="31"/>
        <v>0.95941375422773389</v>
      </c>
    </row>
    <row r="898" spans="7:10" x14ac:dyDescent="0.2">
      <c r="G898" s="60">
        <v>888</v>
      </c>
      <c r="H898">
        <f ca="1">IF(AND(G898&lt;=O$3,RAND()&lt;=H$7),1,0)</f>
        <v>1</v>
      </c>
      <c r="I898">
        <f t="shared" ca="1" si="32"/>
        <v>852</v>
      </c>
      <c r="J898" s="80">
        <f t="shared" ca="1" si="31"/>
        <v>0.95945945945945943</v>
      </c>
    </row>
    <row r="899" spans="7:10" x14ac:dyDescent="0.2">
      <c r="G899" s="60">
        <v>889</v>
      </c>
      <c r="H899">
        <f ca="1">IF(AND(G899&lt;=O$3,RAND()&lt;=H$7),1,0)</f>
        <v>1</v>
      </c>
      <c r="I899">
        <f t="shared" ca="1" si="32"/>
        <v>853</v>
      </c>
      <c r="J899" s="80">
        <f t="shared" ca="1" si="31"/>
        <v>0.95950506186726658</v>
      </c>
    </row>
    <row r="900" spans="7:10" x14ac:dyDescent="0.2">
      <c r="G900" s="60">
        <v>890</v>
      </c>
      <c r="H900">
        <f ca="1">IF(AND(G900&lt;=O$3,RAND()&lt;=H$7),1,0)</f>
        <v>0</v>
      </c>
      <c r="I900">
        <f t="shared" ca="1" si="32"/>
        <v>853</v>
      </c>
      <c r="J900" s="80">
        <f t="shared" ca="1" si="31"/>
        <v>0.95842696629213486</v>
      </c>
    </row>
    <row r="901" spans="7:10" x14ac:dyDescent="0.2">
      <c r="G901" s="60">
        <v>891</v>
      </c>
      <c r="H901">
        <f ca="1">IF(AND(G901&lt;=O$3,RAND()&lt;=H$7),1,0)</f>
        <v>1</v>
      </c>
      <c r="I901">
        <f t="shared" ca="1" si="32"/>
        <v>854</v>
      </c>
      <c r="J901" s="80">
        <f t="shared" ca="1" si="31"/>
        <v>0.95847362514029177</v>
      </c>
    </row>
    <row r="902" spans="7:10" x14ac:dyDescent="0.2">
      <c r="G902" s="60">
        <v>892</v>
      </c>
      <c r="H902">
        <f ca="1">IF(AND(G902&lt;=O$3,RAND()&lt;=H$7),1,0)</f>
        <v>1</v>
      </c>
      <c r="I902">
        <f t="shared" ca="1" si="32"/>
        <v>855</v>
      </c>
      <c r="J902" s="80">
        <f t="shared" ca="1" si="31"/>
        <v>0.95852017937219736</v>
      </c>
    </row>
    <row r="903" spans="7:10" x14ac:dyDescent="0.2">
      <c r="G903" s="60">
        <v>893</v>
      </c>
      <c r="H903">
        <f ca="1">IF(AND(G903&lt;=O$3,RAND()&lt;=H$7),1,0)</f>
        <v>1</v>
      </c>
      <c r="I903">
        <f t="shared" ca="1" si="32"/>
        <v>856</v>
      </c>
      <c r="J903" s="80">
        <f t="shared" ca="1" si="31"/>
        <v>0.9585666293393057</v>
      </c>
    </row>
    <row r="904" spans="7:10" x14ac:dyDescent="0.2">
      <c r="G904" s="60">
        <v>894</v>
      </c>
      <c r="H904">
        <f ca="1">IF(AND(G904&lt;=O$3,RAND()&lt;=H$7),1,0)</f>
        <v>1</v>
      </c>
      <c r="I904">
        <f t="shared" ca="1" si="32"/>
        <v>857</v>
      </c>
      <c r="J904" s="80">
        <f t="shared" ca="1" si="31"/>
        <v>0.95861297539149892</v>
      </c>
    </row>
    <row r="905" spans="7:10" x14ac:dyDescent="0.2">
      <c r="G905" s="60">
        <v>895</v>
      </c>
      <c r="H905">
        <f ca="1">IF(AND(G905&lt;=O$3,RAND()&lt;=H$7),1,0)</f>
        <v>1</v>
      </c>
      <c r="I905">
        <f t="shared" ca="1" si="32"/>
        <v>858</v>
      </c>
      <c r="J905" s="80">
        <f t="shared" ca="1" si="31"/>
        <v>0.95865921787709496</v>
      </c>
    </row>
    <row r="906" spans="7:10" x14ac:dyDescent="0.2">
      <c r="G906" s="60">
        <v>896</v>
      </c>
      <c r="H906">
        <f ca="1">IF(AND(G906&lt;=O$3,RAND()&lt;=H$7),1,0)</f>
        <v>1</v>
      </c>
      <c r="I906">
        <f t="shared" ca="1" si="32"/>
        <v>859</v>
      </c>
      <c r="J906" s="80">
        <f t="shared" ca="1" si="31"/>
        <v>0.9587053571428571</v>
      </c>
    </row>
    <row r="907" spans="7:10" x14ac:dyDescent="0.2">
      <c r="G907" s="60">
        <v>897</v>
      </c>
      <c r="H907">
        <f ca="1">IF(AND(G907&lt;=O$3,RAND()&lt;=H$7),1,0)</f>
        <v>0</v>
      </c>
      <c r="I907">
        <f t="shared" ca="1" si="32"/>
        <v>859</v>
      </c>
      <c r="J907" s="80">
        <f t="shared" ca="1" si="31"/>
        <v>0.9576365663322185</v>
      </c>
    </row>
    <row r="908" spans="7:10" x14ac:dyDescent="0.2">
      <c r="G908" s="60">
        <v>898</v>
      </c>
      <c r="H908">
        <f ca="1">IF(AND(G908&lt;=O$3,RAND()&lt;=H$7),1,0)</f>
        <v>1</v>
      </c>
      <c r="I908">
        <f t="shared" ca="1" si="32"/>
        <v>860</v>
      </c>
      <c r="J908" s="80">
        <f t="shared" ref="J908:J971" ca="1" si="33">I908/G908</f>
        <v>0.95768374164810688</v>
      </c>
    </row>
    <row r="909" spans="7:10" x14ac:dyDescent="0.2">
      <c r="G909" s="60">
        <v>899</v>
      </c>
      <c r="H909">
        <f ca="1">IF(AND(G909&lt;=O$3,RAND()&lt;=H$7),1,0)</f>
        <v>1</v>
      </c>
      <c r="I909">
        <f t="shared" ref="I909:I972" ca="1" si="34">H909+I908</f>
        <v>861</v>
      </c>
      <c r="J909" s="80">
        <f t="shared" ca="1" si="33"/>
        <v>0.9577308120133482</v>
      </c>
    </row>
    <row r="910" spans="7:10" x14ac:dyDescent="0.2">
      <c r="G910" s="60">
        <v>900</v>
      </c>
      <c r="H910">
        <f ca="1">IF(AND(G910&lt;=O$3,RAND()&lt;=H$7),1,0)</f>
        <v>1</v>
      </c>
      <c r="I910">
        <f t="shared" ca="1" si="34"/>
        <v>862</v>
      </c>
      <c r="J910" s="80">
        <f t="shared" ca="1" si="33"/>
        <v>0.95777777777777773</v>
      </c>
    </row>
    <row r="911" spans="7:10" x14ac:dyDescent="0.2">
      <c r="G911" s="60">
        <v>901</v>
      </c>
      <c r="H911">
        <f ca="1">IF(AND(G911&lt;=O$3,RAND()&lt;=H$7),1,0)</f>
        <v>1</v>
      </c>
      <c r="I911">
        <f t="shared" ca="1" si="34"/>
        <v>863</v>
      </c>
      <c r="J911" s="80">
        <f t="shared" ca="1" si="33"/>
        <v>0.95782463928967809</v>
      </c>
    </row>
    <row r="912" spans="7:10" x14ac:dyDescent="0.2">
      <c r="G912" s="60">
        <v>902</v>
      </c>
      <c r="H912">
        <f ca="1">IF(AND(G912&lt;=O$3,RAND()&lt;=H$7),1,0)</f>
        <v>1</v>
      </c>
      <c r="I912">
        <f t="shared" ca="1" si="34"/>
        <v>864</v>
      </c>
      <c r="J912" s="80">
        <f t="shared" ca="1" si="33"/>
        <v>0.95787139689578715</v>
      </c>
    </row>
    <row r="913" spans="7:10" x14ac:dyDescent="0.2">
      <c r="G913" s="60">
        <v>903</v>
      </c>
      <c r="H913">
        <f ca="1">IF(AND(G913&lt;=O$3,RAND()&lt;=H$7),1,0)</f>
        <v>1</v>
      </c>
      <c r="I913">
        <f t="shared" ca="1" si="34"/>
        <v>865</v>
      </c>
      <c r="J913" s="80">
        <f t="shared" ca="1" si="33"/>
        <v>0.95791805094130678</v>
      </c>
    </row>
    <row r="914" spans="7:10" x14ac:dyDescent="0.2">
      <c r="G914" s="60">
        <v>904</v>
      </c>
      <c r="H914">
        <f ca="1">IF(AND(G914&lt;=O$3,RAND()&lt;=H$7),1,0)</f>
        <v>1</v>
      </c>
      <c r="I914">
        <f t="shared" ca="1" si="34"/>
        <v>866</v>
      </c>
      <c r="J914" s="80">
        <f t="shared" ca="1" si="33"/>
        <v>0.95796460176991149</v>
      </c>
    </row>
    <row r="915" spans="7:10" x14ac:dyDescent="0.2">
      <c r="G915" s="60">
        <v>905</v>
      </c>
      <c r="H915">
        <f ca="1">IF(AND(G915&lt;=O$3,RAND()&lt;=H$7),1,0)</f>
        <v>1</v>
      </c>
      <c r="I915">
        <f t="shared" ca="1" si="34"/>
        <v>867</v>
      </c>
      <c r="J915" s="80">
        <f t="shared" ca="1" si="33"/>
        <v>0.95801104972375695</v>
      </c>
    </row>
    <row r="916" spans="7:10" x14ac:dyDescent="0.2">
      <c r="G916" s="60">
        <v>906</v>
      </c>
      <c r="H916">
        <f ca="1">IF(AND(G916&lt;=O$3,RAND()&lt;=H$7),1,0)</f>
        <v>1</v>
      </c>
      <c r="I916">
        <f t="shared" ca="1" si="34"/>
        <v>868</v>
      </c>
      <c r="J916" s="80">
        <f t="shared" ca="1" si="33"/>
        <v>0.95805739514348787</v>
      </c>
    </row>
    <row r="917" spans="7:10" x14ac:dyDescent="0.2">
      <c r="G917" s="60">
        <v>907</v>
      </c>
      <c r="H917">
        <f ca="1">IF(AND(G917&lt;=O$3,RAND()&lt;=H$7),1,0)</f>
        <v>1</v>
      </c>
      <c r="I917">
        <f t="shared" ca="1" si="34"/>
        <v>869</v>
      </c>
      <c r="J917" s="80">
        <f t="shared" ca="1" si="33"/>
        <v>0.95810363836824697</v>
      </c>
    </row>
    <row r="918" spans="7:10" x14ac:dyDescent="0.2">
      <c r="G918" s="60">
        <v>908</v>
      </c>
      <c r="H918">
        <f ca="1">IF(AND(G918&lt;=O$3,RAND()&lt;=H$7),1,0)</f>
        <v>1</v>
      </c>
      <c r="I918">
        <f t="shared" ca="1" si="34"/>
        <v>870</v>
      </c>
      <c r="J918" s="80">
        <f t="shared" ca="1" si="33"/>
        <v>0.95814977973568283</v>
      </c>
    </row>
    <row r="919" spans="7:10" x14ac:dyDescent="0.2">
      <c r="G919" s="60">
        <v>909</v>
      </c>
      <c r="H919">
        <f ca="1">IF(AND(G919&lt;=O$3,RAND()&lt;=H$7),1,0)</f>
        <v>1</v>
      </c>
      <c r="I919">
        <f t="shared" ca="1" si="34"/>
        <v>871</v>
      </c>
      <c r="J919" s="80">
        <f t="shared" ca="1" si="33"/>
        <v>0.95819581958195821</v>
      </c>
    </row>
    <row r="920" spans="7:10" x14ac:dyDescent="0.2">
      <c r="G920" s="60">
        <v>910</v>
      </c>
      <c r="H920">
        <f ca="1">IF(AND(G920&lt;=O$3,RAND()&lt;=H$7),1,0)</f>
        <v>1</v>
      </c>
      <c r="I920">
        <f t="shared" ca="1" si="34"/>
        <v>872</v>
      </c>
      <c r="J920" s="80">
        <f t="shared" ca="1" si="33"/>
        <v>0.95824175824175828</v>
      </c>
    </row>
    <row r="921" spans="7:10" x14ac:dyDescent="0.2">
      <c r="G921" s="60">
        <v>911</v>
      </c>
      <c r="H921">
        <f ca="1">IF(AND(G921&lt;=O$3,RAND()&lt;=H$7),1,0)</f>
        <v>1</v>
      </c>
      <c r="I921">
        <f t="shared" ca="1" si="34"/>
        <v>873</v>
      </c>
      <c r="J921" s="80">
        <f t="shared" ca="1" si="33"/>
        <v>0.95828759604829861</v>
      </c>
    </row>
    <row r="922" spans="7:10" x14ac:dyDescent="0.2">
      <c r="G922" s="60">
        <v>912</v>
      </c>
      <c r="H922">
        <f ca="1">IF(AND(G922&lt;=O$3,RAND()&lt;=H$7),1,0)</f>
        <v>1</v>
      </c>
      <c r="I922">
        <f t="shared" ca="1" si="34"/>
        <v>874</v>
      </c>
      <c r="J922" s="80">
        <f t="shared" ca="1" si="33"/>
        <v>0.95833333333333337</v>
      </c>
    </row>
    <row r="923" spans="7:10" x14ac:dyDescent="0.2">
      <c r="G923" s="60">
        <v>913</v>
      </c>
      <c r="H923">
        <f ca="1">IF(AND(G923&lt;=O$3,RAND()&lt;=H$7),1,0)</f>
        <v>1</v>
      </c>
      <c r="I923">
        <f t="shared" ca="1" si="34"/>
        <v>875</v>
      </c>
      <c r="J923" s="80">
        <f t="shared" ca="1" si="33"/>
        <v>0.95837897042716325</v>
      </c>
    </row>
    <row r="924" spans="7:10" x14ac:dyDescent="0.2">
      <c r="G924" s="60">
        <v>914</v>
      </c>
      <c r="H924">
        <f ca="1">IF(AND(G924&lt;=O$3,RAND()&lt;=H$7),1,0)</f>
        <v>1</v>
      </c>
      <c r="I924">
        <f t="shared" ca="1" si="34"/>
        <v>876</v>
      </c>
      <c r="J924" s="80">
        <f t="shared" ca="1" si="33"/>
        <v>0.95842450765864329</v>
      </c>
    </row>
    <row r="925" spans="7:10" x14ac:dyDescent="0.2">
      <c r="G925" s="60">
        <v>915</v>
      </c>
      <c r="H925">
        <f ca="1">IF(AND(G925&lt;=O$3,RAND()&lt;=H$7),1,0)</f>
        <v>1</v>
      </c>
      <c r="I925">
        <f t="shared" ca="1" si="34"/>
        <v>877</v>
      </c>
      <c r="J925" s="80">
        <f t="shared" ca="1" si="33"/>
        <v>0.95846994535519126</v>
      </c>
    </row>
    <row r="926" spans="7:10" x14ac:dyDescent="0.2">
      <c r="G926" s="60">
        <v>916</v>
      </c>
      <c r="H926">
        <f ca="1">IF(AND(G926&lt;=O$3,RAND()&lt;=H$7),1,0)</f>
        <v>1</v>
      </c>
      <c r="I926">
        <f t="shared" ca="1" si="34"/>
        <v>878</v>
      </c>
      <c r="J926" s="80">
        <f t="shared" ca="1" si="33"/>
        <v>0.95851528384279472</v>
      </c>
    </row>
    <row r="927" spans="7:10" x14ac:dyDescent="0.2">
      <c r="G927" s="60">
        <v>917</v>
      </c>
      <c r="H927">
        <f ca="1">IF(AND(G927&lt;=O$3,RAND()&lt;=H$7),1,0)</f>
        <v>1</v>
      </c>
      <c r="I927">
        <f t="shared" ca="1" si="34"/>
        <v>879</v>
      </c>
      <c r="J927" s="80">
        <f t="shared" ca="1" si="33"/>
        <v>0.95856052344601961</v>
      </c>
    </row>
    <row r="928" spans="7:10" x14ac:dyDescent="0.2">
      <c r="G928" s="60">
        <v>918</v>
      </c>
      <c r="H928">
        <f ca="1">IF(AND(G928&lt;=O$3,RAND()&lt;=H$7),1,0)</f>
        <v>1</v>
      </c>
      <c r="I928">
        <f t="shared" ca="1" si="34"/>
        <v>880</v>
      </c>
      <c r="J928" s="80">
        <f t="shared" ca="1" si="33"/>
        <v>0.95860566448801743</v>
      </c>
    </row>
    <row r="929" spans="7:10" x14ac:dyDescent="0.2">
      <c r="G929" s="60">
        <v>919</v>
      </c>
      <c r="H929">
        <f ca="1">IF(AND(G929&lt;=O$3,RAND()&lt;=H$7),1,0)</f>
        <v>1</v>
      </c>
      <c r="I929">
        <f t="shared" ca="1" si="34"/>
        <v>881</v>
      </c>
      <c r="J929" s="80">
        <f t="shared" ca="1" si="33"/>
        <v>0.95865070729053314</v>
      </c>
    </row>
    <row r="930" spans="7:10" x14ac:dyDescent="0.2">
      <c r="G930" s="60">
        <v>920</v>
      </c>
      <c r="H930">
        <f ca="1">IF(AND(G930&lt;=O$3,RAND()&lt;=H$7),1,0)</f>
        <v>1</v>
      </c>
      <c r="I930">
        <f t="shared" ca="1" si="34"/>
        <v>882</v>
      </c>
      <c r="J930" s="80">
        <f t="shared" ca="1" si="33"/>
        <v>0.95869565217391306</v>
      </c>
    </row>
    <row r="931" spans="7:10" x14ac:dyDescent="0.2">
      <c r="G931" s="60">
        <v>921</v>
      </c>
      <c r="H931">
        <f ca="1">IF(AND(G931&lt;=O$3,RAND()&lt;=H$7),1,0)</f>
        <v>1</v>
      </c>
      <c r="I931">
        <f t="shared" ca="1" si="34"/>
        <v>883</v>
      </c>
      <c r="J931" s="80">
        <f t="shared" ca="1" si="33"/>
        <v>0.95874049945711182</v>
      </c>
    </row>
    <row r="932" spans="7:10" x14ac:dyDescent="0.2">
      <c r="G932" s="60">
        <v>922</v>
      </c>
      <c r="H932">
        <f ca="1">IF(AND(G932&lt;=O$3,RAND()&lt;=H$7),1,0)</f>
        <v>1</v>
      </c>
      <c r="I932">
        <f t="shared" ca="1" si="34"/>
        <v>884</v>
      </c>
      <c r="J932" s="80">
        <f t="shared" ca="1" si="33"/>
        <v>0.95878524945770061</v>
      </c>
    </row>
    <row r="933" spans="7:10" x14ac:dyDescent="0.2">
      <c r="G933" s="60">
        <v>923</v>
      </c>
      <c r="H933">
        <f ca="1">IF(AND(G933&lt;=O$3,RAND()&lt;=H$7),1,0)</f>
        <v>1</v>
      </c>
      <c r="I933">
        <f t="shared" ca="1" si="34"/>
        <v>885</v>
      </c>
      <c r="J933" s="80">
        <f t="shared" ca="1" si="33"/>
        <v>0.95882990249187428</v>
      </c>
    </row>
    <row r="934" spans="7:10" x14ac:dyDescent="0.2">
      <c r="G934" s="60">
        <v>924</v>
      </c>
      <c r="H934">
        <f ca="1">IF(AND(G934&lt;=O$3,RAND()&lt;=H$7),1,0)</f>
        <v>1</v>
      </c>
      <c r="I934">
        <f t="shared" ca="1" si="34"/>
        <v>886</v>
      </c>
      <c r="J934" s="80">
        <f t="shared" ca="1" si="33"/>
        <v>0.95887445887445888</v>
      </c>
    </row>
    <row r="935" spans="7:10" x14ac:dyDescent="0.2">
      <c r="G935" s="60">
        <v>925</v>
      </c>
      <c r="H935">
        <f ca="1">IF(AND(G935&lt;=O$3,RAND()&lt;=H$7),1,0)</f>
        <v>1</v>
      </c>
      <c r="I935">
        <f t="shared" ca="1" si="34"/>
        <v>887</v>
      </c>
      <c r="J935" s="80">
        <f t="shared" ca="1" si="33"/>
        <v>0.95891891891891889</v>
      </c>
    </row>
    <row r="936" spans="7:10" x14ac:dyDescent="0.2">
      <c r="G936" s="60">
        <v>926</v>
      </c>
      <c r="H936">
        <f ca="1">IF(AND(G936&lt;=O$3,RAND()&lt;=H$7),1,0)</f>
        <v>1</v>
      </c>
      <c r="I936">
        <f t="shared" ca="1" si="34"/>
        <v>888</v>
      </c>
      <c r="J936" s="80">
        <f t="shared" ca="1" si="33"/>
        <v>0.95896328293736499</v>
      </c>
    </row>
    <row r="937" spans="7:10" x14ac:dyDescent="0.2">
      <c r="G937" s="60">
        <v>927</v>
      </c>
      <c r="H937">
        <f ca="1">IF(AND(G937&lt;=O$3,RAND()&lt;=H$7),1,0)</f>
        <v>1</v>
      </c>
      <c r="I937">
        <f t="shared" ca="1" si="34"/>
        <v>889</v>
      </c>
      <c r="J937" s="80">
        <f t="shared" ca="1" si="33"/>
        <v>0.95900755124056092</v>
      </c>
    </row>
    <row r="938" spans="7:10" x14ac:dyDescent="0.2">
      <c r="G938" s="60">
        <v>928</v>
      </c>
      <c r="H938">
        <f ca="1">IF(AND(G938&lt;=O$3,RAND()&lt;=H$7),1,0)</f>
        <v>1</v>
      </c>
      <c r="I938">
        <f t="shared" ca="1" si="34"/>
        <v>890</v>
      </c>
      <c r="J938" s="80">
        <f t="shared" ca="1" si="33"/>
        <v>0.95905172413793105</v>
      </c>
    </row>
    <row r="939" spans="7:10" x14ac:dyDescent="0.2">
      <c r="G939" s="60">
        <v>929</v>
      </c>
      <c r="H939">
        <f ca="1">IF(AND(G939&lt;=O$3,RAND()&lt;=H$7),1,0)</f>
        <v>1</v>
      </c>
      <c r="I939">
        <f t="shared" ca="1" si="34"/>
        <v>891</v>
      </c>
      <c r="J939" s="80">
        <f t="shared" ca="1" si="33"/>
        <v>0.95909580193756727</v>
      </c>
    </row>
    <row r="940" spans="7:10" x14ac:dyDescent="0.2">
      <c r="G940" s="60">
        <v>930</v>
      </c>
      <c r="H940">
        <f ca="1">IF(AND(G940&lt;=O$3,RAND()&lt;=H$7),1,0)</f>
        <v>1</v>
      </c>
      <c r="I940">
        <f t="shared" ca="1" si="34"/>
        <v>892</v>
      </c>
      <c r="J940" s="80">
        <f t="shared" ca="1" si="33"/>
        <v>0.95913978494623653</v>
      </c>
    </row>
    <row r="941" spans="7:10" x14ac:dyDescent="0.2">
      <c r="G941" s="60">
        <v>931</v>
      </c>
      <c r="H941">
        <f ca="1">IF(AND(G941&lt;=O$3,RAND()&lt;=H$7),1,0)</f>
        <v>1</v>
      </c>
      <c r="I941">
        <f t="shared" ca="1" si="34"/>
        <v>893</v>
      </c>
      <c r="J941" s="80">
        <f t="shared" ca="1" si="33"/>
        <v>0.95918367346938771</v>
      </c>
    </row>
    <row r="942" spans="7:10" x14ac:dyDescent="0.2">
      <c r="G942" s="60">
        <v>932</v>
      </c>
      <c r="H942">
        <f ca="1">IF(AND(G942&lt;=O$3,RAND()&lt;=H$7),1,0)</f>
        <v>1</v>
      </c>
      <c r="I942">
        <f t="shared" ca="1" si="34"/>
        <v>894</v>
      </c>
      <c r="J942" s="80">
        <f t="shared" ca="1" si="33"/>
        <v>0.95922746781115875</v>
      </c>
    </row>
    <row r="943" spans="7:10" x14ac:dyDescent="0.2">
      <c r="G943" s="60">
        <v>933</v>
      </c>
      <c r="H943">
        <f ca="1">IF(AND(G943&lt;=O$3,RAND()&lt;=H$7),1,0)</f>
        <v>0</v>
      </c>
      <c r="I943">
        <f t="shared" ca="1" si="34"/>
        <v>894</v>
      </c>
      <c r="J943" s="80">
        <f t="shared" ca="1" si="33"/>
        <v>0.95819935691318325</v>
      </c>
    </row>
    <row r="944" spans="7:10" x14ac:dyDescent="0.2">
      <c r="G944" s="60">
        <v>934</v>
      </c>
      <c r="H944">
        <f ca="1">IF(AND(G944&lt;=O$3,RAND()&lt;=H$7),1,0)</f>
        <v>1</v>
      </c>
      <c r="I944">
        <f t="shared" ca="1" si="34"/>
        <v>895</v>
      </c>
      <c r="J944" s="80">
        <f t="shared" ca="1" si="33"/>
        <v>0.95824411134903642</v>
      </c>
    </row>
    <row r="945" spans="7:10" x14ac:dyDescent="0.2">
      <c r="G945" s="60">
        <v>935</v>
      </c>
      <c r="H945">
        <f ca="1">IF(AND(G945&lt;=O$3,RAND()&lt;=H$7),1,0)</f>
        <v>1</v>
      </c>
      <c r="I945">
        <f t="shared" ca="1" si="34"/>
        <v>896</v>
      </c>
      <c r="J945" s="80">
        <f t="shared" ca="1" si="33"/>
        <v>0.9582887700534759</v>
      </c>
    </row>
    <row r="946" spans="7:10" x14ac:dyDescent="0.2">
      <c r="G946" s="60">
        <v>936</v>
      </c>
      <c r="H946">
        <f ca="1">IF(AND(G946&lt;=O$3,RAND()&lt;=H$7),1,0)</f>
        <v>1</v>
      </c>
      <c r="I946">
        <f t="shared" ca="1" si="34"/>
        <v>897</v>
      </c>
      <c r="J946" s="80">
        <f t="shared" ca="1" si="33"/>
        <v>0.95833333333333337</v>
      </c>
    </row>
    <row r="947" spans="7:10" x14ac:dyDescent="0.2">
      <c r="G947" s="60">
        <v>937</v>
      </c>
      <c r="H947">
        <f ca="1">IF(AND(G947&lt;=O$3,RAND()&lt;=H$7),1,0)</f>
        <v>1</v>
      </c>
      <c r="I947">
        <f t="shared" ca="1" si="34"/>
        <v>898</v>
      </c>
      <c r="J947" s="80">
        <f t="shared" ca="1" si="33"/>
        <v>0.95837780149413021</v>
      </c>
    </row>
    <row r="948" spans="7:10" x14ac:dyDescent="0.2">
      <c r="G948" s="60">
        <v>938</v>
      </c>
      <c r="H948">
        <f ca="1">IF(AND(G948&lt;=O$3,RAND()&lt;=H$7),1,0)</f>
        <v>1</v>
      </c>
      <c r="I948">
        <f t="shared" ca="1" si="34"/>
        <v>899</v>
      </c>
      <c r="J948" s="80">
        <f t="shared" ca="1" si="33"/>
        <v>0.95842217484008529</v>
      </c>
    </row>
    <row r="949" spans="7:10" x14ac:dyDescent="0.2">
      <c r="G949" s="60">
        <v>939</v>
      </c>
      <c r="H949">
        <f ca="1">IF(AND(G949&lt;=O$3,RAND()&lt;=H$7),1,0)</f>
        <v>1</v>
      </c>
      <c r="I949">
        <f t="shared" ca="1" si="34"/>
        <v>900</v>
      </c>
      <c r="J949" s="80">
        <f t="shared" ca="1" si="33"/>
        <v>0.95846645367412142</v>
      </c>
    </row>
    <row r="950" spans="7:10" x14ac:dyDescent="0.2">
      <c r="G950" s="60">
        <v>940</v>
      </c>
      <c r="H950">
        <f ca="1">IF(AND(G950&lt;=O$3,RAND()&lt;=H$7),1,0)</f>
        <v>1</v>
      </c>
      <c r="I950">
        <f t="shared" ca="1" si="34"/>
        <v>901</v>
      </c>
      <c r="J950" s="80">
        <f t="shared" ca="1" si="33"/>
        <v>0.95851063829787231</v>
      </c>
    </row>
    <row r="951" spans="7:10" x14ac:dyDescent="0.2">
      <c r="G951" s="60">
        <v>941</v>
      </c>
      <c r="H951">
        <f ca="1">IF(AND(G951&lt;=O$3,RAND()&lt;=H$7),1,0)</f>
        <v>1</v>
      </c>
      <c r="I951">
        <f t="shared" ca="1" si="34"/>
        <v>902</v>
      </c>
      <c r="J951" s="80">
        <f t="shared" ca="1" si="33"/>
        <v>0.9585547290116897</v>
      </c>
    </row>
    <row r="952" spans="7:10" x14ac:dyDescent="0.2">
      <c r="G952" s="60">
        <v>942</v>
      </c>
      <c r="H952">
        <f ca="1">IF(AND(G952&lt;=O$3,RAND()&lt;=H$7),1,0)</f>
        <v>1</v>
      </c>
      <c r="I952">
        <f t="shared" ca="1" si="34"/>
        <v>903</v>
      </c>
      <c r="J952" s="80">
        <f t="shared" ca="1" si="33"/>
        <v>0.95859872611464969</v>
      </c>
    </row>
    <row r="953" spans="7:10" x14ac:dyDescent="0.2">
      <c r="G953" s="60">
        <v>943</v>
      </c>
      <c r="H953">
        <f ca="1">IF(AND(G953&lt;=O$3,RAND()&lt;=H$7),1,0)</f>
        <v>1</v>
      </c>
      <c r="I953">
        <f t="shared" ca="1" si="34"/>
        <v>904</v>
      </c>
      <c r="J953" s="80">
        <f t="shared" ca="1" si="33"/>
        <v>0.95864262990455995</v>
      </c>
    </row>
    <row r="954" spans="7:10" x14ac:dyDescent="0.2">
      <c r="G954" s="60">
        <v>944</v>
      </c>
      <c r="H954">
        <f ca="1">IF(AND(G954&lt;=O$3,RAND()&lt;=H$7),1,0)</f>
        <v>1</v>
      </c>
      <c r="I954">
        <f t="shared" ca="1" si="34"/>
        <v>905</v>
      </c>
      <c r="J954" s="80">
        <f t="shared" ca="1" si="33"/>
        <v>0.95868644067796616</v>
      </c>
    </row>
    <row r="955" spans="7:10" x14ac:dyDescent="0.2">
      <c r="G955" s="60">
        <v>945</v>
      </c>
      <c r="H955">
        <f ca="1">IF(AND(G955&lt;=O$3,RAND()&lt;=H$7),1,0)</f>
        <v>0</v>
      </c>
      <c r="I955">
        <f t="shared" ca="1" si="34"/>
        <v>905</v>
      </c>
      <c r="J955" s="80">
        <f t="shared" ca="1" si="33"/>
        <v>0.95767195767195767</v>
      </c>
    </row>
    <row r="956" spans="7:10" x14ac:dyDescent="0.2">
      <c r="G956" s="60">
        <v>946</v>
      </c>
      <c r="H956">
        <f ca="1">IF(AND(G956&lt;=O$3,RAND()&lt;=H$7),1,0)</f>
        <v>1</v>
      </c>
      <c r="I956">
        <f t="shared" ca="1" si="34"/>
        <v>906</v>
      </c>
      <c r="J956" s="80">
        <f t="shared" ca="1" si="33"/>
        <v>0.95771670190274838</v>
      </c>
    </row>
    <row r="957" spans="7:10" x14ac:dyDescent="0.2">
      <c r="G957" s="60">
        <v>947</v>
      </c>
      <c r="H957">
        <f ca="1">IF(AND(G957&lt;=O$3,RAND()&lt;=H$7),1,0)</f>
        <v>1</v>
      </c>
      <c r="I957">
        <f t="shared" ca="1" si="34"/>
        <v>907</v>
      </c>
      <c r="J957" s="80">
        <f t="shared" ca="1" si="33"/>
        <v>0.95776135163674758</v>
      </c>
    </row>
    <row r="958" spans="7:10" x14ac:dyDescent="0.2">
      <c r="G958" s="60">
        <v>948</v>
      </c>
      <c r="H958">
        <f ca="1">IF(AND(G958&lt;=O$3,RAND()&lt;=H$7),1,0)</f>
        <v>1</v>
      </c>
      <c r="I958">
        <f t="shared" ca="1" si="34"/>
        <v>908</v>
      </c>
      <c r="J958" s="80">
        <f t="shared" ca="1" si="33"/>
        <v>0.95780590717299574</v>
      </c>
    </row>
    <row r="959" spans="7:10" x14ac:dyDescent="0.2">
      <c r="G959" s="60">
        <v>949</v>
      </c>
      <c r="H959">
        <f ca="1">IF(AND(G959&lt;=O$3,RAND()&lt;=H$7),1,0)</f>
        <v>1</v>
      </c>
      <c r="I959">
        <f t="shared" ca="1" si="34"/>
        <v>909</v>
      </c>
      <c r="J959" s="80">
        <f t="shared" ca="1" si="33"/>
        <v>0.95785036880927288</v>
      </c>
    </row>
    <row r="960" spans="7:10" x14ac:dyDescent="0.2">
      <c r="G960" s="60">
        <v>950</v>
      </c>
      <c r="H960">
        <f ca="1">IF(AND(G960&lt;=O$3,RAND()&lt;=H$7),1,0)</f>
        <v>1</v>
      </c>
      <c r="I960">
        <f t="shared" ca="1" si="34"/>
        <v>910</v>
      </c>
      <c r="J960" s="80">
        <f t="shared" ca="1" si="33"/>
        <v>0.95789473684210524</v>
      </c>
    </row>
    <row r="961" spans="7:10" x14ac:dyDescent="0.2">
      <c r="G961" s="60">
        <v>951</v>
      </c>
      <c r="H961">
        <f ca="1">IF(AND(G961&lt;=O$3,RAND()&lt;=H$7),1,0)</f>
        <v>1</v>
      </c>
      <c r="I961">
        <f t="shared" ca="1" si="34"/>
        <v>911</v>
      </c>
      <c r="J961" s="80">
        <f t="shared" ca="1" si="33"/>
        <v>0.95793901156677186</v>
      </c>
    </row>
    <row r="962" spans="7:10" x14ac:dyDescent="0.2">
      <c r="G962" s="60">
        <v>952</v>
      </c>
      <c r="H962">
        <f ca="1">IF(AND(G962&lt;=O$3,RAND()&lt;=H$7),1,0)</f>
        <v>1</v>
      </c>
      <c r="I962">
        <f t="shared" ca="1" si="34"/>
        <v>912</v>
      </c>
      <c r="J962" s="80">
        <f t="shared" ca="1" si="33"/>
        <v>0.95798319327731096</v>
      </c>
    </row>
    <row r="963" spans="7:10" x14ac:dyDescent="0.2">
      <c r="G963" s="60">
        <v>953</v>
      </c>
      <c r="H963">
        <f ca="1">IF(AND(G963&lt;=O$3,RAND()&lt;=H$7),1,0)</f>
        <v>1</v>
      </c>
      <c r="I963">
        <f t="shared" ca="1" si="34"/>
        <v>913</v>
      </c>
      <c r="J963" s="80">
        <f t="shared" ca="1" si="33"/>
        <v>0.95802728226652678</v>
      </c>
    </row>
    <row r="964" spans="7:10" x14ac:dyDescent="0.2">
      <c r="G964" s="60">
        <v>954</v>
      </c>
      <c r="H964">
        <f ca="1">IF(AND(G964&lt;=O$3,RAND()&lt;=H$7),1,0)</f>
        <v>1</v>
      </c>
      <c r="I964">
        <f t="shared" ca="1" si="34"/>
        <v>914</v>
      </c>
      <c r="J964" s="80">
        <f t="shared" ca="1" si="33"/>
        <v>0.95807127882599585</v>
      </c>
    </row>
    <row r="965" spans="7:10" x14ac:dyDescent="0.2">
      <c r="G965" s="60">
        <v>955</v>
      </c>
      <c r="H965">
        <f ca="1">IF(AND(G965&lt;=O$3,RAND()&lt;=H$7),1,0)</f>
        <v>1</v>
      </c>
      <c r="I965">
        <f t="shared" ca="1" si="34"/>
        <v>915</v>
      </c>
      <c r="J965" s="80">
        <f t="shared" ca="1" si="33"/>
        <v>0.95811518324607325</v>
      </c>
    </row>
    <row r="966" spans="7:10" x14ac:dyDescent="0.2">
      <c r="G966" s="60">
        <v>956</v>
      </c>
      <c r="H966">
        <f ca="1">IF(AND(G966&lt;=O$3,RAND()&lt;=H$7),1,0)</f>
        <v>0</v>
      </c>
      <c r="I966">
        <f t="shared" ca="1" si="34"/>
        <v>915</v>
      </c>
      <c r="J966" s="80">
        <f t="shared" ca="1" si="33"/>
        <v>0.95711297071129708</v>
      </c>
    </row>
    <row r="967" spans="7:10" x14ac:dyDescent="0.2">
      <c r="G967" s="60">
        <v>957</v>
      </c>
      <c r="H967">
        <f ca="1">IF(AND(G967&lt;=O$3,RAND()&lt;=H$7),1,0)</f>
        <v>1</v>
      </c>
      <c r="I967">
        <f t="shared" ca="1" si="34"/>
        <v>916</v>
      </c>
      <c r="J967" s="80">
        <f t="shared" ca="1" si="33"/>
        <v>0.9571577847439916</v>
      </c>
    </row>
    <row r="968" spans="7:10" x14ac:dyDescent="0.2">
      <c r="G968" s="60">
        <v>958</v>
      </c>
      <c r="H968">
        <f ca="1">IF(AND(G968&lt;=O$3,RAND()&lt;=H$7),1,0)</f>
        <v>0</v>
      </c>
      <c r="I968">
        <f t="shared" ca="1" si="34"/>
        <v>916</v>
      </c>
      <c r="J968" s="80">
        <f t="shared" ca="1" si="33"/>
        <v>0.95615866388308979</v>
      </c>
    </row>
    <row r="969" spans="7:10" x14ac:dyDescent="0.2">
      <c r="G969" s="60">
        <v>959</v>
      </c>
      <c r="H969">
        <f ca="1">IF(AND(G969&lt;=O$3,RAND()&lt;=H$7),1,0)</f>
        <v>1</v>
      </c>
      <c r="I969">
        <f t="shared" ca="1" si="34"/>
        <v>917</v>
      </c>
      <c r="J969" s="80">
        <f t="shared" ca="1" si="33"/>
        <v>0.95620437956204385</v>
      </c>
    </row>
    <row r="970" spans="7:10" x14ac:dyDescent="0.2">
      <c r="G970" s="60">
        <v>960</v>
      </c>
      <c r="H970">
        <f ca="1">IF(AND(G970&lt;=O$3,RAND()&lt;=H$7),1,0)</f>
        <v>1</v>
      </c>
      <c r="I970">
        <f t="shared" ca="1" si="34"/>
        <v>918</v>
      </c>
      <c r="J970" s="80">
        <f t="shared" ca="1" si="33"/>
        <v>0.95625000000000004</v>
      </c>
    </row>
    <row r="971" spans="7:10" x14ac:dyDescent="0.2">
      <c r="G971" s="60">
        <v>961</v>
      </c>
      <c r="H971">
        <f ca="1">IF(AND(G971&lt;=O$3,RAND()&lt;=H$7),1,0)</f>
        <v>1</v>
      </c>
      <c r="I971">
        <f t="shared" ca="1" si="34"/>
        <v>919</v>
      </c>
      <c r="J971" s="80">
        <f t="shared" ca="1" si="33"/>
        <v>0.95629552549427677</v>
      </c>
    </row>
    <row r="972" spans="7:10" x14ac:dyDescent="0.2">
      <c r="G972" s="60">
        <v>962</v>
      </c>
      <c r="H972">
        <f ca="1">IF(AND(G972&lt;=O$3,RAND()&lt;=H$7),1,0)</f>
        <v>1</v>
      </c>
      <c r="I972">
        <f t="shared" ca="1" si="34"/>
        <v>920</v>
      </c>
      <c r="J972" s="80">
        <f t="shared" ref="J972:J1010" ca="1" si="35">I972/G972</f>
        <v>0.95634095634095639</v>
      </c>
    </row>
    <row r="973" spans="7:10" x14ac:dyDescent="0.2">
      <c r="G973" s="60">
        <v>963</v>
      </c>
      <c r="H973">
        <f ca="1">IF(AND(G973&lt;=O$3,RAND()&lt;=H$7),1,0)</f>
        <v>1</v>
      </c>
      <c r="I973">
        <f t="shared" ref="I973:I1010" ca="1" si="36">H973+I972</f>
        <v>921</v>
      </c>
      <c r="J973" s="80">
        <f t="shared" ca="1" si="35"/>
        <v>0.95638629283489096</v>
      </c>
    </row>
    <row r="974" spans="7:10" x14ac:dyDescent="0.2">
      <c r="G974" s="60">
        <v>964</v>
      </c>
      <c r="H974">
        <f ca="1">IF(AND(G974&lt;=O$3,RAND()&lt;=H$7),1,0)</f>
        <v>1</v>
      </c>
      <c r="I974">
        <f t="shared" ca="1" si="36"/>
        <v>922</v>
      </c>
      <c r="J974" s="80">
        <f t="shared" ca="1" si="35"/>
        <v>0.95643153526970959</v>
      </c>
    </row>
    <row r="975" spans="7:10" x14ac:dyDescent="0.2">
      <c r="G975" s="60">
        <v>965</v>
      </c>
      <c r="H975">
        <f ca="1">IF(AND(G975&lt;=O$3,RAND()&lt;=H$7),1,0)</f>
        <v>1</v>
      </c>
      <c r="I975">
        <f t="shared" ca="1" si="36"/>
        <v>923</v>
      </c>
      <c r="J975" s="80">
        <f t="shared" ca="1" si="35"/>
        <v>0.95647668393782381</v>
      </c>
    </row>
    <row r="976" spans="7:10" x14ac:dyDescent="0.2">
      <c r="G976" s="60">
        <v>966</v>
      </c>
      <c r="H976">
        <f ca="1">IF(AND(G976&lt;=O$3,RAND()&lt;=H$7),1,0)</f>
        <v>0</v>
      </c>
      <c r="I976">
        <f t="shared" ca="1" si="36"/>
        <v>923</v>
      </c>
      <c r="J976" s="80">
        <f t="shared" ca="1" si="35"/>
        <v>0.95548654244306419</v>
      </c>
    </row>
    <row r="977" spans="7:10" x14ac:dyDescent="0.2">
      <c r="G977" s="60">
        <v>967</v>
      </c>
      <c r="H977">
        <f ca="1">IF(AND(G977&lt;=O$3,RAND()&lt;=H$7),1,0)</f>
        <v>1</v>
      </c>
      <c r="I977">
        <f t="shared" ca="1" si="36"/>
        <v>924</v>
      </c>
      <c r="J977" s="80">
        <f t="shared" ca="1" si="35"/>
        <v>0.9555325749741469</v>
      </c>
    </row>
    <row r="978" spans="7:10" x14ac:dyDescent="0.2">
      <c r="G978" s="60">
        <v>968</v>
      </c>
      <c r="H978">
        <f ca="1">IF(AND(G978&lt;=O$3,RAND()&lt;=H$7),1,0)</f>
        <v>1</v>
      </c>
      <c r="I978">
        <f t="shared" ca="1" si="36"/>
        <v>925</v>
      </c>
      <c r="J978" s="80">
        <f t="shared" ca="1" si="35"/>
        <v>0.95557851239669422</v>
      </c>
    </row>
    <row r="979" spans="7:10" x14ac:dyDescent="0.2">
      <c r="G979" s="60">
        <v>969</v>
      </c>
      <c r="H979">
        <f ca="1">IF(AND(G979&lt;=O$3,RAND()&lt;=H$7),1,0)</f>
        <v>1</v>
      </c>
      <c r="I979">
        <f t="shared" ca="1" si="36"/>
        <v>926</v>
      </c>
      <c r="J979" s="80">
        <f t="shared" ca="1" si="35"/>
        <v>0.95562435500515996</v>
      </c>
    </row>
    <row r="980" spans="7:10" x14ac:dyDescent="0.2">
      <c r="G980" s="60">
        <v>970</v>
      </c>
      <c r="H980">
        <f ca="1">IF(AND(G980&lt;=O$3,RAND()&lt;=H$7),1,0)</f>
        <v>0</v>
      </c>
      <c r="I980">
        <f t="shared" ca="1" si="36"/>
        <v>926</v>
      </c>
      <c r="J980" s="80">
        <f t="shared" ca="1" si="35"/>
        <v>0.95463917525773201</v>
      </c>
    </row>
    <row r="981" spans="7:10" x14ac:dyDescent="0.2">
      <c r="G981" s="60">
        <v>971</v>
      </c>
      <c r="H981">
        <f ca="1">IF(AND(G981&lt;=O$3,RAND()&lt;=H$7),1,0)</f>
        <v>1</v>
      </c>
      <c r="I981">
        <f t="shared" ca="1" si="36"/>
        <v>927</v>
      </c>
      <c r="J981" s="80">
        <f t="shared" ca="1" si="35"/>
        <v>0.95468589083419153</v>
      </c>
    </row>
    <row r="982" spans="7:10" x14ac:dyDescent="0.2">
      <c r="G982" s="60">
        <v>972</v>
      </c>
      <c r="H982">
        <f ca="1">IF(AND(G982&lt;=O$3,RAND()&lt;=H$7),1,0)</f>
        <v>1</v>
      </c>
      <c r="I982">
        <f t="shared" ca="1" si="36"/>
        <v>928</v>
      </c>
      <c r="J982" s="80">
        <f t="shared" ca="1" si="35"/>
        <v>0.95473251028806583</v>
      </c>
    </row>
    <row r="983" spans="7:10" x14ac:dyDescent="0.2">
      <c r="G983" s="60">
        <v>973</v>
      </c>
      <c r="H983">
        <f ca="1">IF(AND(G983&lt;=O$3,RAND()&lt;=H$7),1,0)</f>
        <v>1</v>
      </c>
      <c r="I983">
        <f t="shared" ca="1" si="36"/>
        <v>929</v>
      </c>
      <c r="J983" s="80">
        <f t="shared" ca="1" si="35"/>
        <v>0.95477903391572461</v>
      </c>
    </row>
    <row r="984" spans="7:10" x14ac:dyDescent="0.2">
      <c r="G984" s="60">
        <v>974</v>
      </c>
      <c r="H984">
        <f ca="1">IF(AND(G984&lt;=O$3,RAND()&lt;=H$7),1,0)</f>
        <v>1</v>
      </c>
      <c r="I984">
        <f t="shared" ca="1" si="36"/>
        <v>930</v>
      </c>
      <c r="J984" s="80">
        <f t="shared" ca="1" si="35"/>
        <v>0.95482546201232033</v>
      </c>
    </row>
    <row r="985" spans="7:10" x14ac:dyDescent="0.2">
      <c r="G985" s="60">
        <v>975</v>
      </c>
      <c r="H985">
        <f ca="1">IF(AND(G985&lt;=O$3,RAND()&lt;=H$7),1,0)</f>
        <v>1</v>
      </c>
      <c r="I985">
        <f t="shared" ca="1" si="36"/>
        <v>931</v>
      </c>
      <c r="J985" s="80">
        <f t="shared" ca="1" si="35"/>
        <v>0.95487179487179485</v>
      </c>
    </row>
    <row r="986" spans="7:10" x14ac:dyDescent="0.2">
      <c r="G986" s="60">
        <v>976</v>
      </c>
      <c r="H986">
        <f ca="1">IF(AND(G986&lt;=O$3,RAND()&lt;=H$7),1,0)</f>
        <v>1</v>
      </c>
      <c r="I986">
        <f t="shared" ca="1" si="36"/>
        <v>932</v>
      </c>
      <c r="J986" s="80">
        <f t="shared" ca="1" si="35"/>
        <v>0.95491803278688525</v>
      </c>
    </row>
    <row r="987" spans="7:10" x14ac:dyDescent="0.2">
      <c r="G987" s="60">
        <v>977</v>
      </c>
      <c r="H987">
        <f ca="1">IF(AND(G987&lt;=O$3,RAND()&lt;=H$7),1,0)</f>
        <v>1</v>
      </c>
      <c r="I987">
        <f t="shared" ca="1" si="36"/>
        <v>933</v>
      </c>
      <c r="J987" s="80">
        <f t="shared" ca="1" si="35"/>
        <v>0.95496417604912998</v>
      </c>
    </row>
    <row r="988" spans="7:10" x14ac:dyDescent="0.2">
      <c r="G988" s="60">
        <v>978</v>
      </c>
      <c r="H988">
        <f ca="1">IF(AND(G988&lt;=O$3,RAND()&lt;=H$7),1,0)</f>
        <v>0</v>
      </c>
      <c r="I988">
        <f t="shared" ca="1" si="36"/>
        <v>933</v>
      </c>
      <c r="J988" s="80">
        <f t="shared" ca="1" si="35"/>
        <v>0.95398773006134974</v>
      </c>
    </row>
    <row r="989" spans="7:10" x14ac:dyDescent="0.2">
      <c r="G989" s="60">
        <v>979</v>
      </c>
      <c r="H989">
        <f ca="1">IF(AND(G989&lt;=O$3,RAND()&lt;=H$7),1,0)</f>
        <v>1</v>
      </c>
      <c r="I989">
        <f t="shared" ca="1" si="36"/>
        <v>934</v>
      </c>
      <c r="J989" s="80">
        <f t="shared" ca="1" si="35"/>
        <v>0.95403472931562816</v>
      </c>
    </row>
    <row r="990" spans="7:10" x14ac:dyDescent="0.2">
      <c r="G990" s="60">
        <v>980</v>
      </c>
      <c r="H990">
        <f ca="1">IF(AND(G990&lt;=O$3,RAND()&lt;=H$7),1,0)</f>
        <v>1</v>
      </c>
      <c r="I990">
        <f t="shared" ca="1" si="36"/>
        <v>935</v>
      </c>
      <c r="J990" s="80">
        <f t="shared" ca="1" si="35"/>
        <v>0.95408163265306123</v>
      </c>
    </row>
    <row r="991" spans="7:10" x14ac:dyDescent="0.2">
      <c r="G991" s="60">
        <v>981</v>
      </c>
      <c r="H991">
        <f ca="1">IF(AND(G991&lt;=O$3,RAND()&lt;=H$7),1,0)</f>
        <v>1</v>
      </c>
      <c r="I991">
        <f t="shared" ca="1" si="36"/>
        <v>936</v>
      </c>
      <c r="J991" s="80">
        <f t="shared" ca="1" si="35"/>
        <v>0.95412844036697253</v>
      </c>
    </row>
    <row r="992" spans="7:10" x14ac:dyDescent="0.2">
      <c r="G992" s="60">
        <v>982</v>
      </c>
      <c r="H992">
        <f ca="1">IF(AND(G992&lt;=O$3,RAND()&lt;=H$7),1,0)</f>
        <v>1</v>
      </c>
      <c r="I992">
        <f t="shared" ca="1" si="36"/>
        <v>937</v>
      </c>
      <c r="J992" s="80">
        <f t="shared" ca="1" si="35"/>
        <v>0.95417515274949083</v>
      </c>
    </row>
    <row r="993" spans="7:10" x14ac:dyDescent="0.2">
      <c r="G993" s="60">
        <v>983</v>
      </c>
      <c r="H993">
        <f ca="1">IF(AND(G993&lt;=O$3,RAND()&lt;=H$7),1,0)</f>
        <v>1</v>
      </c>
      <c r="I993">
        <f t="shared" ca="1" si="36"/>
        <v>938</v>
      </c>
      <c r="J993" s="80">
        <f t="shared" ca="1" si="35"/>
        <v>0.95422177009155651</v>
      </c>
    </row>
    <row r="994" spans="7:10" x14ac:dyDescent="0.2">
      <c r="G994" s="60">
        <v>984</v>
      </c>
      <c r="H994">
        <f ca="1">IF(AND(G994&lt;=O$3,RAND()&lt;=H$7),1,0)</f>
        <v>1</v>
      </c>
      <c r="I994">
        <f t="shared" ca="1" si="36"/>
        <v>939</v>
      </c>
      <c r="J994" s="80">
        <f t="shared" ca="1" si="35"/>
        <v>0.95426829268292679</v>
      </c>
    </row>
    <row r="995" spans="7:10" x14ac:dyDescent="0.2">
      <c r="G995" s="60">
        <v>985</v>
      </c>
      <c r="H995">
        <f ca="1">IF(AND(G995&lt;=O$3,RAND()&lt;=H$7),1,0)</f>
        <v>1</v>
      </c>
      <c r="I995">
        <f t="shared" ca="1" si="36"/>
        <v>940</v>
      </c>
      <c r="J995" s="80">
        <f t="shared" ca="1" si="35"/>
        <v>0.95431472081218272</v>
      </c>
    </row>
    <row r="996" spans="7:10" x14ac:dyDescent="0.2">
      <c r="G996" s="60">
        <v>986</v>
      </c>
      <c r="H996">
        <f ca="1">IF(AND(G996&lt;=O$3,RAND()&lt;=H$7),1,0)</f>
        <v>1</v>
      </c>
      <c r="I996">
        <f t="shared" ca="1" si="36"/>
        <v>941</v>
      </c>
      <c r="J996" s="80">
        <f t="shared" ca="1" si="35"/>
        <v>0.95436105476673427</v>
      </c>
    </row>
    <row r="997" spans="7:10" x14ac:dyDescent="0.2">
      <c r="G997" s="60">
        <v>987</v>
      </c>
      <c r="H997">
        <f ca="1">IF(AND(G997&lt;=O$3,RAND()&lt;=H$7),1,0)</f>
        <v>1</v>
      </c>
      <c r="I997">
        <f t="shared" ca="1" si="36"/>
        <v>942</v>
      </c>
      <c r="J997" s="80">
        <f t="shared" ca="1" si="35"/>
        <v>0.95440729483282671</v>
      </c>
    </row>
    <row r="998" spans="7:10" x14ac:dyDescent="0.2">
      <c r="G998" s="60">
        <v>988</v>
      </c>
      <c r="H998">
        <f ca="1">IF(AND(G998&lt;=O$3,RAND()&lt;=H$7),1,0)</f>
        <v>1</v>
      </c>
      <c r="I998">
        <f t="shared" ca="1" si="36"/>
        <v>943</v>
      </c>
      <c r="J998" s="80">
        <f t="shared" ca="1" si="35"/>
        <v>0.95445344129554655</v>
      </c>
    </row>
    <row r="999" spans="7:10" x14ac:dyDescent="0.2">
      <c r="G999" s="60">
        <v>989</v>
      </c>
      <c r="H999">
        <f ca="1">IF(AND(G999&lt;=O$3,RAND()&lt;=H$7),1,0)</f>
        <v>1</v>
      </c>
      <c r="I999">
        <f t="shared" ca="1" si="36"/>
        <v>944</v>
      </c>
      <c r="J999" s="80">
        <f t="shared" ca="1" si="35"/>
        <v>0.95449949443882709</v>
      </c>
    </row>
    <row r="1000" spans="7:10" x14ac:dyDescent="0.2">
      <c r="G1000" s="60">
        <v>990</v>
      </c>
      <c r="H1000">
        <f ca="1">IF(AND(G1000&lt;=O$3,RAND()&lt;=H$7),1,0)</f>
        <v>1</v>
      </c>
      <c r="I1000">
        <f t="shared" ca="1" si="36"/>
        <v>945</v>
      </c>
      <c r="J1000" s="80">
        <f t="shared" ca="1" si="35"/>
        <v>0.95454545454545459</v>
      </c>
    </row>
    <row r="1001" spans="7:10" x14ac:dyDescent="0.2">
      <c r="G1001" s="60">
        <v>991</v>
      </c>
      <c r="H1001">
        <f ca="1">IF(AND(G1001&lt;=O$3,RAND()&lt;=H$7),1,0)</f>
        <v>1</v>
      </c>
      <c r="I1001">
        <f t="shared" ca="1" si="36"/>
        <v>946</v>
      </c>
      <c r="J1001" s="80">
        <f t="shared" ca="1" si="35"/>
        <v>0.95459132189707363</v>
      </c>
    </row>
    <row r="1002" spans="7:10" x14ac:dyDescent="0.2">
      <c r="G1002" s="60">
        <v>992</v>
      </c>
      <c r="H1002">
        <f ca="1">IF(AND(G1002&lt;=O$3,RAND()&lt;=H$7),1,0)</f>
        <v>1</v>
      </c>
      <c r="I1002">
        <f t="shared" ca="1" si="36"/>
        <v>947</v>
      </c>
      <c r="J1002" s="80">
        <f t="shared" ca="1" si="35"/>
        <v>0.95463709677419351</v>
      </c>
    </row>
    <row r="1003" spans="7:10" x14ac:dyDescent="0.2">
      <c r="G1003" s="60">
        <v>993</v>
      </c>
      <c r="H1003">
        <f ca="1">IF(AND(G1003&lt;=O$3,RAND()&lt;=H$7),1,0)</f>
        <v>1</v>
      </c>
      <c r="I1003">
        <f t="shared" ca="1" si="36"/>
        <v>948</v>
      </c>
      <c r="J1003" s="80">
        <f t="shared" ca="1" si="35"/>
        <v>0.9546827794561934</v>
      </c>
    </row>
    <row r="1004" spans="7:10" x14ac:dyDescent="0.2">
      <c r="G1004" s="60">
        <v>994</v>
      </c>
      <c r="H1004">
        <f ca="1">IF(AND(G1004&lt;=O$3,RAND()&lt;=H$7),1,0)</f>
        <v>1</v>
      </c>
      <c r="I1004">
        <f t="shared" ca="1" si="36"/>
        <v>949</v>
      </c>
      <c r="J1004" s="80">
        <f t="shared" ca="1" si="35"/>
        <v>0.95472837022132795</v>
      </c>
    </row>
    <row r="1005" spans="7:10" x14ac:dyDescent="0.2">
      <c r="G1005" s="60">
        <v>995</v>
      </c>
      <c r="H1005">
        <f ca="1">IF(AND(G1005&lt;=O$3,RAND()&lt;=H$7),1,0)</f>
        <v>1</v>
      </c>
      <c r="I1005">
        <f t="shared" ca="1" si="36"/>
        <v>950</v>
      </c>
      <c r="J1005" s="80">
        <f t="shared" ca="1" si="35"/>
        <v>0.95477386934673369</v>
      </c>
    </row>
    <row r="1006" spans="7:10" x14ac:dyDescent="0.2">
      <c r="G1006" s="60">
        <v>996</v>
      </c>
      <c r="H1006">
        <f ca="1">IF(AND(G1006&lt;=O$3,RAND()&lt;=H$7),1,0)</f>
        <v>1</v>
      </c>
      <c r="I1006">
        <f t="shared" ca="1" si="36"/>
        <v>951</v>
      </c>
      <c r="J1006" s="80">
        <f t="shared" ca="1" si="35"/>
        <v>0.95481927710843373</v>
      </c>
    </row>
    <row r="1007" spans="7:10" x14ac:dyDescent="0.2">
      <c r="G1007" s="60">
        <v>997</v>
      </c>
      <c r="H1007">
        <f ca="1">IF(AND(G1007&lt;=O$3,RAND()&lt;=H$7),1,0)</f>
        <v>1</v>
      </c>
      <c r="I1007">
        <f t="shared" ca="1" si="36"/>
        <v>952</v>
      </c>
      <c r="J1007" s="80">
        <f t="shared" ca="1" si="35"/>
        <v>0.95486459378134403</v>
      </c>
    </row>
    <row r="1008" spans="7:10" x14ac:dyDescent="0.2">
      <c r="G1008" s="60">
        <v>998</v>
      </c>
      <c r="H1008">
        <f ca="1">IF(AND(G1008&lt;=O$3,RAND()&lt;=H$7),1,0)</f>
        <v>1</v>
      </c>
      <c r="I1008">
        <f t="shared" ca="1" si="36"/>
        <v>953</v>
      </c>
      <c r="J1008" s="80">
        <f t="shared" ca="1" si="35"/>
        <v>0.95490981963927857</v>
      </c>
    </row>
    <row r="1009" spans="7:10" x14ac:dyDescent="0.2">
      <c r="G1009" s="60">
        <v>999</v>
      </c>
      <c r="H1009">
        <f ca="1">IF(AND(G1009&lt;=O$3,RAND()&lt;=H$7),1,0)</f>
        <v>1</v>
      </c>
      <c r="I1009">
        <f t="shared" ca="1" si="36"/>
        <v>954</v>
      </c>
      <c r="J1009" s="80">
        <f t="shared" ca="1" si="35"/>
        <v>0.95495495495495497</v>
      </c>
    </row>
    <row r="1010" spans="7:10" x14ac:dyDescent="0.2">
      <c r="G1010" s="60">
        <v>1000</v>
      </c>
      <c r="H1010">
        <f ca="1">IF(AND(G1010&lt;=O$3,RAND()&lt;=H$7),1,0)</f>
        <v>1</v>
      </c>
      <c r="I1010">
        <f t="shared" ca="1" si="36"/>
        <v>955</v>
      </c>
      <c r="J1010" s="80">
        <f t="shared" ca="1" si="35"/>
        <v>0.95499999999999996</v>
      </c>
    </row>
  </sheetData>
  <dataValidations count="2">
    <dataValidation type="list" allowBlank="1" showInputMessage="1" showErrorMessage="1" sqref="F2" xr:uid="{27C06DAD-0AC2-4766-8A9B-15C29DD5982E}">
      <formula1>$A$2:$A$32</formula1>
    </dataValidation>
    <dataValidation type="list" allowBlank="1" showInputMessage="1" showErrorMessage="1" sqref="G7" xr:uid="{B9772F89-B4C0-48A4-889E-167463ED89F5}">
      <formula1>$G$2:$G$5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Feuil1</vt:lpstr>
      <vt:lpstr>Cozy farm</vt:lpstr>
      <vt:lpstr>Feuil3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Zhien Sun</dc:creator>
  <dcterms:created xsi:type="dcterms:W3CDTF">2026-06-08T15:16:07Z</dcterms:created>
</cp:coreProperties>
</file>